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sx_lite"/>
  <workbookPr/>
  <bookViews>
    <workbookView xWindow="0" yWindow="0" windowWidth="25600" windowHeight="15000"/>
  </bookViews>
  <sheets>
    <sheet name="README" sheetId="1" r:id="rId1"/>
    <sheet name="Sources" sheetId="2" r:id="rId2"/>
    <sheet name="Assumptions" sheetId="3" r:id="rId3"/>
    <sheet name="Inputs_MSFT" sheetId="4" r:id="rId4"/>
    <sheet name="DCF_MSFT" sheetId="5" r:id="rId5"/>
    <sheet name="Sensitivity_MSFT" sheetId="6" r:id="rId6"/>
    <sheet name="Inputs_CAT" sheetId="7" r:id="rId7"/>
    <sheet name="DCF_CAT" sheetId="8" r:id="rId8"/>
    <sheet name="Sensitivity_CAT" sheetId="9" r:id="rId9"/>
    <sheet name="Inputs_INTC" sheetId="10" r:id="rId10"/>
    <sheet name="DCF_INTC" sheetId="11" r:id="rId11"/>
    <sheet name="Sensitivity_INTC" sheetId="12" r:id="rId12"/>
    <sheet name="Inputs_VZ" sheetId="13" r:id="rId13"/>
    <sheet name="DCF_VZ" sheetId="14" r:id="rId14"/>
    <sheet name="Sensitivity_VZ" sheetId="15" r:id="rId15"/>
    <sheet name="Summary &amp; Reconciliation" sheetId="16" r:id="rId16"/>
    <sheet name="Research Outlook" sheetId="17" r:id="rId17"/>
    <sheet name="Validation Checks" sheetId="18" r:id="rId18"/>
  </sheets>
  <calcPr calcId="999999" fullCalcOnLoad="1"/>
</workbook>
</file>

<file path=xl/styles.xml><?xml version="1.0" encoding="utf-8"?>
<styleSheet xmlns="http://schemas.openxmlformats.org/spreadsheetml/2006/main">
  <numFmts count="4">
    <numFmt numFmtId="164" formatCode="$#,##0"/>
    <numFmt numFmtId="165" formatCode="yyyy-mm-dd"/>
    <numFmt numFmtId="166" formatCode="#,##0.000000"/>
    <numFmt numFmtId="167" formatCode="0.00&quot;x&quot;"/>
  </numFmts>
  <fonts count="27">
    <font>
      <sz val="11"/>
      <name val="Calibri"/>
      <color rgb="FF000000"/>
    </font>
    <font>
      <b/>
      <sz val="16"/>
      <name val="Calibri"/>
      <color rgb="FF000000"/>
    </font>
    <font>
      <i/>
      <sz val="11"/>
      <name val="Calibri"/>
      <color rgb="FF555555"/>
    </font>
    <font>
      <b/>
      <sz val="12"/>
      <name val="Calibri"/>
      <color rgb="FFFFFFFF"/>
    </font>
    <font>
      <b/>
      <sz val="11"/>
      <name val="Calibri"/>
      <color rgb="FF000000"/>
    </font>
    <font>
      <b/>
      <sz val="11"/>
      <name val="Calibri"/>
      <color rgb="FF000000"/>
    </font>
    <font>
      <b/>
      <sz val="11"/>
      <name val="Calibri"/>
      <color rgb="FF000000"/>
    </font>
    <font>
      <sz val="11"/>
      <name val="Calibri"/>
      <color rgb="FF000000"/>
    </font>
    <font>
      <b/>
      <sz val="11"/>
      <name val="Calibri"/>
      <color rgb="FF000000"/>
    </font>
    <font>
      <i/>
      <sz val="9"/>
      <name val="Calibri"/>
      <color rgb="FF666666"/>
    </font>
    <font>
      <sz val="11"/>
      <name val="Calibri"/>
      <color rgb="FF0000CC"/>
    </font>
    <font>
      <sz val="11"/>
      <name val="Calibri"/>
      <color rgb="FF0000CC"/>
    </font>
    <font>
      <sz val="11"/>
      <name val="Calibri"/>
      <color rgb="FF0000CC"/>
    </font>
    <font>
      <sz val="11"/>
      <name val="Calibri"/>
      <color rgb="FF0000CC"/>
    </font>
    <font>
      <sz val="11"/>
      <name val="Calibri"/>
      <color rgb="FF0000CC"/>
    </font>
    <font>
      <sz val="11"/>
      <name val="Calibri"/>
      <color rgb="FF000000"/>
    </font>
    <font>
      <sz val="11"/>
      <name val="Calibri"/>
      <color rgb="FF000000"/>
    </font>
    <font>
      <sz val="11"/>
      <name val="Calibri"/>
      <color rgb="FF000000"/>
    </font>
    <font>
      <sz val="11"/>
      <name val="Calibri"/>
      <color rgb="FF000000"/>
    </font>
    <font>
      <sz val="11"/>
      <name val="Calibri"/>
      <color rgb="FF000000"/>
    </font>
    <font>
      <sz val="11"/>
      <name val="Calibri"/>
      <color rgb="FF000000"/>
    </font>
    <font>
      <sz val="11"/>
      <name val="Calibri"/>
      <color rgb="FF000000"/>
    </font>
    <font>
      <b/>
      <sz val="11"/>
      <name val="Calibri"/>
      <color rgb="FF006100"/>
    </font>
    <font>
      <b/>
      <sz val="11"/>
      <name val="Calibri"/>
      <color rgb="FF9C0006"/>
    </font>
    <font>
      <b/>
      <sz val="11"/>
      <name val="Calibri"/>
      <color rgb="FF9C6500"/>
    </font>
    <font>
      <i/>
      <sz val="9"/>
      <name val="Calibri"/>
      <color rgb="FF444444"/>
    </font>
    <font>
      <sz val="11"/>
      <name val="Calibri"/>
      <color rgb="FF000000"/>
    </font>
  </fonts>
  <fills count="8">
    <fill>
      <patternFill patternType="none"/>
    </fill>
    <fill>
      <patternFill patternType="gray125"/>
    </fill>
    <fill>
      <patternFill patternType="solid">
        <fgColor rgb="FF1F4E78"/>
        <bgColor indexed="64"/>
      </patternFill>
    </fill>
    <fill>
      <patternFill patternType="solid">
        <fgColor rgb="FFD9E1F2"/>
        <bgColor indexed="64"/>
      </patternFill>
    </fill>
    <fill>
      <patternFill patternType="solid">
        <fgColor rgb="FFF2F2F2"/>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applyFont="1" applyFill="1" applyBorder="1" applyNumberFormat="1" applyAlignment="0"/>
    <xf numFmtId="0" fontId="1" fillId="0" borderId="0" xfId="0" applyFont="1" applyFill="1" applyBorder="1" applyNumberFormat="1" applyAlignment="0"/>
    <xf numFmtId="0" fontId="2" fillId="0" borderId="0" xfId="0" applyFont="1" applyFill="1" applyBorder="1" applyNumberFormat="1" applyAlignment="0"/>
    <xf numFmtId="0" fontId="3" fillId="2" borderId="0" xfId="0" applyFont="1" applyFill="1" applyBorder="1" applyNumberFormat="1" applyAlignment="0"/>
    <xf numFmtId="0" fontId="4" fillId="3" borderId="1" xfId="0" applyFont="1" applyFill="1" applyBorder="1" applyNumberFormat="1" applyAlignment="0"/>
    <xf numFmtId="0" fontId="5" fillId="3" borderId="1" xfId="0" applyFont="1" applyFill="1" applyBorder="1" applyNumberFormat="1" applyAlignment="1">
      <alignment horizontal="center" vertical="center"/>
    </xf>
    <xf numFmtId="0" fontId="6" fillId="3" borderId="1" xfId="0" applyFont="1" applyFill="1" applyBorder="1" applyNumberFormat="1" applyAlignment="1">
      <alignment wrapText="1" vertical="top"/>
    </xf>
    <xf numFmtId="0" fontId="7" fillId="0" borderId="1" xfId="0" applyFont="1" applyFill="1" applyBorder="1" applyNumberFormat="1" applyAlignment="0"/>
    <xf numFmtId="0" fontId="8" fillId="0" borderId="1" xfId="0" applyFont="1" applyFill="1" applyBorder="1" applyNumberFormat="1" applyAlignment="0"/>
    <xf numFmtId="0" fontId="9" fillId="0" borderId="0" xfId="0" applyFont="1" applyFill="1" applyBorder="1" applyNumberFormat="1" applyAlignment="1">
      <alignment wrapText="1" vertical="top"/>
    </xf>
    <xf numFmtId="3" fontId="10" fillId="0" borderId="1" xfId="0" applyFont="1" applyFill="1" applyBorder="1" applyNumberFormat="1" applyAlignment="0"/>
    <xf numFmtId="164" fontId="11" fillId="0" borderId="1" xfId="0" applyFont="1" applyFill="1" applyBorder="1" applyNumberFormat="1" applyAlignment="0"/>
    <xf numFmtId="10" fontId="12" fillId="0" borderId="1" xfId="0" applyFont="1" applyFill="1" applyBorder="1" applyNumberFormat="1" applyAlignment="0"/>
    <xf numFmtId="0" fontId="13" fillId="0" borderId="1" xfId="0" applyFont="1" applyFill="1" applyBorder="1" applyNumberFormat="1" applyAlignment="0"/>
    <xf numFmtId="165" fontId="14" fillId="0" borderId="1" xfId="0" applyFont="1" applyFill="1" applyBorder="1" applyNumberFormat="1" applyAlignment="0"/>
    <xf numFmtId="166" fontId="15" fillId="4" borderId="1" xfId="0" applyFont="1" applyFill="1" applyBorder="1" applyNumberFormat="1" applyAlignment="0"/>
    <xf numFmtId="164" fontId="16" fillId="4" borderId="1" xfId="0" applyFont="1" applyFill="1" applyBorder="1" applyNumberFormat="1" applyAlignment="0"/>
    <xf numFmtId="10" fontId="17" fillId="4" borderId="1" xfId="0" applyFont="1" applyFill="1" applyBorder="1" applyNumberFormat="1" applyAlignment="0"/>
    <xf numFmtId="4" fontId="18" fillId="4" borderId="1" xfId="0" applyFont="1" applyFill="1" applyBorder="1" applyNumberFormat="1" applyAlignment="0"/>
    <xf numFmtId="44" fontId="19" fillId="4" borderId="1" xfId="0" applyFont="1" applyFill="1" applyBorder="1" applyNumberFormat="1" applyAlignment="0"/>
    <xf numFmtId="167" fontId="20" fillId="4" borderId="1" xfId="0" applyFont="1" applyFill="1" applyBorder="1" applyNumberFormat="1" applyAlignment="0"/>
    <xf numFmtId="0" fontId="21" fillId="4" borderId="1" xfId="0" applyFont="1" applyFill="1" applyBorder="1" applyNumberFormat="1" applyAlignment="0"/>
    <xf numFmtId="0" fontId="22" fillId="5" borderId="1" xfId="0" applyFont="1" applyFill="1" applyBorder="1" applyNumberFormat="1" applyAlignment="1">
      <alignment horizontal="center" vertical="center"/>
    </xf>
    <xf numFmtId="0" fontId="23" fillId="6" borderId="1" xfId="0" applyFont="1" applyFill="1" applyBorder="1" applyNumberFormat="1" applyAlignment="1">
      <alignment horizontal="center" vertical="center"/>
    </xf>
    <xf numFmtId="0" fontId="24" fillId="7" borderId="1" xfId="0" applyFont="1" applyFill="1" applyBorder="1" applyNumberFormat="1" applyAlignment="1">
      <alignment horizontal="center" vertical="center"/>
    </xf>
    <xf numFmtId="0" fontId="25" fillId="0" borderId="0" xfId="0" applyFont="1" applyFill="1" applyBorder="1" applyNumberFormat="1" applyAlignment="1">
      <alignment wrapText="1" vertical="top"/>
    </xf>
    <xf numFmtId="0" fontId="26" fillId="0" borderId="1" xfId="0" applyFont="1" applyFill="1" applyBorder="1" applyNumberFormat="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
<Relationship Id="rId19" Type="http://schemas.openxmlformats.org/officeDocument/2006/relationships/styles" Target="styles.xml"/>
</Relationships>
</file>

<file path=xl/worksheets/sheet1.xml><?xml version="1.0" encoding="utf-8"?>
<worksheet xmlns="http://schemas.openxmlformats.org/spreadsheetml/2006/main">
  <dimension ref="A1:H37"/>
  <sheetViews>
    <sheetView workbookViewId="0"/>
  </sheetViews>
  <sheetFormatPr defaultRowHeight="15"/>
  <cols>
    <col min="1" max="1" width="26" customWidth="1"/>
    <col min="2" max="2" width="70" customWidth="1"/>
    <col min="3" max="3" width="32" customWidth="1"/>
    <col min="4" max="4" width="16" customWidth="1"/>
    <col min="5" max="5" width="16" customWidth="1"/>
  </cols>
  <sheetData>
    <row r="1">
      <c r="A1" s="1" t="inlineStr">
        <is>
          <t xml:space="preserve">Independent DCF Validation Workbook</t>
        </is>
      </c>
    </row>
    <row r="2">
      <c r="A2" s="2" t="inlineStr">
        <is>
          <t xml:space="preserve">Track A Phase 2A — Independent spreadsheet validator, built in a fresh session with no exposure to this repository's DCF/WACC implementation.</t>
        </is>
      </c>
    </row>
    <row r="4">
      <c r="A4" s="3" t="inlineStr">
        <is>
          <t xml:space="preserve">Purpose</t>
        </is>
      </c>
      <c r="B4" s="3"/>
      <c r="C4" s="3"/>
      <c r="D4" s="3"/>
      <c r="E4" s="3"/>
      <c r="F4" s="3"/>
      <c r="G4" s="3"/>
      <c r="H4" s="3"/>
    </row>
    <row r="5" ht="105" customHeight="1">
      <c r="A5" s="26" t="inlineStr">
        <is>
          <t xml:space="preserve">This workbook independently reconstructs the Discounted Cash Flow (DCF) and WACC/CAPM calculations described in docs/model-specifications/dcf.md and docs/model-specifications/wacc-capm.md, entered as real, cell-by-cell Excel formulas from the written specification's prose and equations — never by reading, importing, or copying formulas from src/dcf_model/dcf.py or any other implementation file in this repository. Its purpose is to provide a second, mechanically independent calculation path that could catch a systematic formula bug the codebase's own test suite could never catch (a test written to match an incorrect implementation would still pass). See docs/independent-validation-plan.md and L-012 in docs/limitations-register.md.</t>
        </is>
      </c>
    </row>
    <row r="7">
      <c r="A7" s="3" t="inlineStr">
        <is>
          <t xml:space="preserve">What this workbook does NOT do</t>
        </is>
      </c>
      <c r="B7" s="3"/>
      <c r="C7" s="3"/>
      <c r="D7" s="3"/>
      <c r="E7" s="3"/>
      <c r="F7" s="3"/>
      <c r="G7" s="3"/>
      <c r="H7" s="3"/>
    </row>
    <row r="8" ht="60" customHeight="1">
      <c r="A8" s="26" t="inlineStr">
        <is>
          <t xml:space="preserve">It does not import, execute, or call any code from this repository. It does not compare its own output against a live run of the codebase — the 'codebase output' columns on the Summary &amp; Reconciliation sheet are deliberately left blank, to be filled in by a separate future session per the validation plan's explicit two-session design. It makes no investment recommendation of any kind.</t>
        </is>
      </c>
    </row>
    <row r="10">
      <c r="A10" s="3" t="inlineStr">
        <is>
          <t xml:space="preserve">Sheet inventory</t>
        </is>
      </c>
      <c r="B10" s="3"/>
      <c r="C10" s="3"/>
      <c r="D10" s="3"/>
      <c r="E10" s="3"/>
      <c r="F10" s="3"/>
      <c r="G10" s="3"/>
      <c r="H10" s="3"/>
    </row>
    <row r="11">
      <c r="A11" s="4" t="inlineStr">
        <is>
          <t xml:space="preserve">Sheet</t>
        </is>
      </c>
      <c r="B11" s="4" t="inlineStr">
        <is>
          <t xml:space="preserve">Contents</t>
        </is>
      </c>
    </row>
    <row r="12">
      <c r="A12" s="8" t="inlineStr">
        <is>
          <t xml:space="preserve">README</t>
        </is>
      </c>
      <c r="B12" s="26" t="inlineStr">
        <is>
          <t xml:space="preserve">This sheet.</t>
        </is>
      </c>
    </row>
    <row r="13">
      <c r="A13" s="8" t="inlineStr">
        <is>
          <t xml:space="preserve">Sources</t>
        </is>
      </c>
      <c r="B13" s="26" t="inlineStr">
        <is>
          <t xml:space="preserve">Every data source, hostname, and retrieval detail used to build this workbook.</t>
        </is>
      </c>
    </row>
    <row r="14">
      <c r="A14" s="8" t="inlineStr">
        <is>
          <t xml:space="preserve">Assumptions</t>
        </is>
      </c>
      <c r="B14" s="26" t="inlineStr">
        <is>
          <t xml:space="preserve">Every shared modeling assumption, with its source and rationale.</t>
        </is>
      </c>
    </row>
    <row r="15">
      <c r="A15" s="8" t="inlineStr">
        <is>
          <t xml:space="preserve">Summary &amp; Reconciliation</t>
        </is>
      </c>
      <c r="B15" s="26" t="inlineStr">
        <is>
          <t xml:space="preserve">Cross-company summary of every key output, plus the (currently blank) reconciliation-vs-codebase table.</t>
        </is>
      </c>
    </row>
    <row r="16">
      <c r="A16" s="8" t="inlineStr">
        <is>
          <t xml:space="preserve">Inputs_&lt;TICKER&gt; (x4)</t>
        </is>
      </c>
      <c r="B16" s="26" t="inlineStr">
        <is>
          <t xml:space="preserve">Frozen raw facts and assumptions for one company — all hardcoded input cells (blue font).</t>
        </is>
      </c>
    </row>
    <row r="17">
      <c r="A17" s="8" t="inlineStr">
        <is>
          <t xml:space="preserve">DCF_&lt;TICKER&gt; (x4)</t>
        </is>
      </c>
      <c r="B17" s="26" t="inlineStr">
        <is>
          <t xml:space="preserve">Every DCF/WACC formula for one company (black font, gray fill = computed, never hardcoded), with spec-section labels and local Validation Checks.</t>
        </is>
      </c>
    </row>
    <row r="18">
      <c r="A18" s="8" t="inlineStr">
        <is>
          <t xml:space="preserve">Sensitivity_&lt;TICKER&gt; (x4)</t>
        </is>
      </c>
      <c r="B18" s="26" t="inlineStr">
        <is>
          <t xml:space="preserve">One-variable and two-way sensitivity tables for one company, with direction checks.</t>
        </is>
      </c>
    </row>
    <row r="19">
      <c r="A19" s="8" t="inlineStr">
        <is>
          <t xml:space="preserve">Research Outlook</t>
        </is>
      </c>
      <c r="B19" s="26" t="inlineStr">
        <is>
          <t xml:space="preserve">Narrative interpretation of the independent findings, fragility discussion, and the profitability-is-not-established disclaimer.</t>
        </is>
      </c>
    </row>
    <row r="20">
      <c r="A20" s="8" t="inlineStr">
        <is>
          <t xml:space="preserve">Validation Checks</t>
        </is>
      </c>
      <c r="B20" s="26" t="inlineStr">
        <is>
          <t xml:space="preserve">Cross-company rollup of every PASS/FAIL/PENDING check, plus the sign-off checklist from independent-validation-plan.md.</t>
        </is>
      </c>
    </row>
    <row r="22">
      <c r="A22" s="3" t="inlineStr">
        <is>
          <t xml:space="preserve">Legend</t>
        </is>
      </c>
      <c r="B22" s="3"/>
      <c r="C22" s="3"/>
      <c r="D22" s="3"/>
      <c r="E22" s="3"/>
      <c r="F22" s="3"/>
      <c r="G22" s="3"/>
      <c r="H22" s="3"/>
    </row>
    <row r="23">
      <c r="A23" s="13" t="inlineStr">
        <is>
          <t xml:space="preserve">Blue text</t>
        </is>
      </c>
      <c r="B23" s="26" t="inlineStr">
        <is>
          <t xml:space="preserve">Hardcoded input — a frozen fact or a stated assumption. Never a formula.</t>
        </is>
      </c>
    </row>
    <row r="24">
      <c r="A24" s="21" t="inlineStr">
        <is>
          <t xml:space="preserve">Black text, gray fill</t>
        </is>
      </c>
      <c r="B24" s="26" t="inlineStr">
        <is>
          <t xml:space="preserve">A live formula, computed from other cells. Never a pasted/hardcoded result.</t>
        </is>
      </c>
    </row>
    <row r="25">
      <c r="A25" s="22" t="inlineStr">
        <is>
          <t xml:space="preserve">PASS</t>
        </is>
      </c>
      <c r="B25" s="26" t="inlineStr">
        <is>
          <t xml:space="preserve">Check succeeded.</t>
        </is>
      </c>
    </row>
    <row r="26">
      <c r="A26" s="23" t="inlineStr">
        <is>
          <t xml:space="preserve">FAIL</t>
        </is>
      </c>
      <c r="B26" s="26" t="inlineStr">
        <is>
          <t xml:space="preserve">Check failed — investigated and documented (never silently forced to PASS).</t>
        </is>
      </c>
    </row>
    <row r="27">
      <c r="A27" s="24" t="inlineStr">
        <is>
          <t xml:space="preserve">PENDING</t>
        </is>
      </c>
      <c r="B27" s="26" t="inlineStr">
        <is>
          <t xml:space="preserve">Cannot be evaluated yet (e.g. awaiting the codebase-output comparison from a separate future session).</t>
        </is>
      </c>
    </row>
    <row r="29">
      <c r="A29" s="3" t="inlineStr">
        <is>
          <t xml:space="preserve">Companies validated</t>
        </is>
      </c>
      <c r="B29" s="3"/>
      <c r="C29" s="3"/>
      <c r="D29" s="3"/>
      <c r="E29" s="3"/>
      <c r="F29" s="3"/>
      <c r="G29" s="3"/>
      <c r="H29" s="3"/>
    </row>
    <row r="30" ht="30" customHeight="1">
      <c r="A30" s="4" t="inlineStr">
        <is>
          <t xml:space="preserve">Ticker</t>
        </is>
      </c>
      <c r="B30" s="4" t="inlineStr">
        <is>
          <t xml:space="preserve">Entity</t>
        </is>
      </c>
      <c r="C30" s="6" t="inlineStr">
        <is>
          <t xml:space="preserve">Profile (confirmed from frozen data)</t>
        </is>
      </c>
      <c r="D30" s="4" t="inlineStr">
        <is>
          <t xml:space="preserve">Revenue CAGR</t>
        </is>
      </c>
      <c r="E30" s="4" t="inlineStr">
        <is>
          <t xml:space="preserve">Avg Op Margin</t>
        </is>
      </c>
    </row>
    <row r="31" ht="30" customHeight="1">
      <c r="A31" s="8" t="inlineStr">
        <is>
          <t xml:space="preserve">MSFT</t>
        </is>
      </c>
      <c r="B31" s="7" t="inlineStr">
        <is>
          <t xml:space="preserve">MICROSOFT CORPORATION</t>
        </is>
      </c>
      <c r="C31" s="26" t="inlineStr">
        <is>
          <t xml:space="preserve">Large-cap, capital-light, high-margin</t>
        </is>
      </c>
      <c r="D31" s="7" t="inlineStr">
        <is>
          <t xml:space="preserve">13.74%</t>
        </is>
      </c>
      <c r="E31" s="7" t="inlineStr">
        <is>
          <t xml:space="preserve">44.18%</t>
        </is>
      </c>
    </row>
    <row r="32" ht="30" customHeight="1">
      <c r="A32" s="8" t="inlineStr">
        <is>
          <t xml:space="preserve">CAT</t>
        </is>
      </c>
      <c r="B32" s="7" t="inlineStr">
        <is>
          <t xml:space="preserve">CATERPILLAR INC</t>
        </is>
      </c>
      <c r="C32" s="26" t="inlineStr">
        <is>
          <t xml:space="preserve">Capital-intensive, moderate leverage</t>
        </is>
      </c>
      <c r="D32" s="7" t="inlineStr">
        <is>
          <t xml:space="preserve">7.31%</t>
        </is>
      </c>
      <c r="E32" s="7" t="inlineStr">
        <is>
          <t xml:space="preserve">16.56%</t>
        </is>
      </c>
    </row>
    <row r="33" ht="30" customHeight="1">
      <c r="A33" s="8" t="inlineStr">
        <is>
          <t xml:space="preserve">INTC</t>
        </is>
      </c>
      <c r="B33" s="7" t="inlineStr">
        <is>
          <t xml:space="preserve">INTEL CORP</t>
        </is>
      </c>
      <c r="C33" s="26" t="inlineStr">
        <is>
          <t xml:space="preserve">Mature, negative/near-zero recent revenue growth</t>
        </is>
      </c>
      <c r="D33" s="7" t="inlineStr">
        <is>
          <t xml:space="preserve">-9.55%</t>
        </is>
      </c>
      <c r="E33" s="7" t="inlineStr">
        <is>
          <t xml:space="preserve">0.46%</t>
        </is>
      </c>
    </row>
    <row r="34" ht="30" customHeight="1">
      <c r="A34" s="8" t="inlineStr">
        <is>
          <t xml:space="preserve">VZ</t>
        </is>
      </c>
      <c r="B34" s="7" t="inlineStr">
        <is>
          <t xml:space="preserve">VERIZON COMMUNICATIONS INC</t>
        </is>
      </c>
      <c r="C34" s="26" t="inlineStr">
        <is>
          <t xml:space="preserve">Meaningfully leveraged (recommended 4th profile)</t>
        </is>
      </c>
      <c r="D34" s="7" t="inlineStr">
        <is>
          <t xml:space="preserve">0.85%</t>
        </is>
      </c>
      <c r="E34" s="7" t="inlineStr">
        <is>
          <t xml:space="preserve">21.22%</t>
        </is>
      </c>
    </row>
    <row r="36">
      <c r="A36" s="3" t="inlineStr">
        <is>
          <t xml:space="preserve">Reproducibility</t>
        </is>
      </c>
      <c r="B36" s="3"/>
      <c r="C36" s="3"/>
      <c r="D36" s="3"/>
      <c r="E36" s="3"/>
      <c r="F36" s="3"/>
      <c r="G36" s="3"/>
      <c r="H36" s="3"/>
    </row>
    <row r="37" ht="60" customHeight="1">
      <c r="A37" s="26" t="inlineStr">
        <is>
          <t xml:space="preserve">Generated by build_workbook_v2.py (this directory), which loads snapshots/*.json and writes every formula programmatically via xlsx_lite.py (a small stdlib-only OOXML writer — openpyxl, xlsxwriter, and LibreOffice were not available in this build environment, and installing dependencies is out of scope for this task). Re-run: python3 build_workbook_v2.py</t>
        </is>
      </c>
    </row>
  </sheetData>
  <mergeCells count="10">
    <mergeCell ref="A1:G1"/>
    <mergeCell ref="A4:H4"/>
    <mergeCell ref="A5:G5"/>
    <mergeCell ref="A7:H7"/>
    <mergeCell ref="A8:G8"/>
    <mergeCell ref="A10:H10"/>
    <mergeCell ref="A22:H22"/>
    <mergeCell ref="A29:H29"/>
    <mergeCell ref="A36:H36"/>
    <mergeCell ref="A37:G37"/>
  </mergeCells>
</worksheet>
</file>

<file path=xl/worksheets/sheet2.xml><?xml version="1.0" encoding="utf-8"?>
<worksheet xmlns="http://schemas.openxmlformats.org/spreadsheetml/2006/main">
  <dimension ref="A1:H90"/>
  <sheetViews>
    <sheetView workbookViewId="0"/>
  </sheetViews>
  <sheetFormatPr defaultRowHeight="15"/>
  <cols>
    <col min="1" max="1" width="30" customWidth="1"/>
    <col min="2" max="2" width="24" customWidth="1"/>
    <col min="3" max="3" width="40" customWidth="1"/>
    <col min="4" max="4" width="20" customWidth="1"/>
    <col min="5" max="5" width="24" customWidth="1"/>
    <col min="6" max="6" width="38" customWidth="1"/>
    <col min="7" max="7" width="60" customWidth="1"/>
  </cols>
  <sheetData>
    <row r="1">
      <c r="A1" s="1" t="inlineStr">
        <is>
          <t xml:space="preserve">Data Sources</t>
        </is>
      </c>
    </row>
    <row r="2">
      <c r="A2" s="2" t="inlineStr">
        <is>
          <t xml:space="preserve">Full per-field provenance is in source_manifest.csv alongside this workbook. This sheet summarizes.</t>
        </is>
      </c>
    </row>
    <row r="4">
      <c r="A4" s="3" t="inlineStr">
        <is>
          <t xml:space="preserve">Hostnames contacted (read-only, unauthenticated)</t>
        </is>
      </c>
      <c r="B4" s="3"/>
      <c r="C4" s="3"/>
      <c r="D4" s="3"/>
      <c r="E4" s="3"/>
      <c r="F4" s="3"/>
      <c r="G4" s="3"/>
      <c r="H4" s="3"/>
    </row>
    <row r="5">
      <c r="A5" s="4" t="inlineStr">
        <is>
          <t xml:space="preserve">Hostname</t>
        </is>
      </c>
      <c r="B5" s="4" t="inlineStr">
        <is>
          <t xml:space="preserve">Purpose</t>
        </is>
      </c>
      <c r="C5" s="4" t="inlineStr">
        <is>
          <t xml:space="preserve">Endpoint pattern used</t>
        </is>
      </c>
    </row>
    <row r="6">
      <c r="A6" s="7" t="inlineStr">
        <is>
          <t xml:space="preserve">www.sec.gov</t>
        </is>
      </c>
      <c r="B6" s="7" t="inlineStr">
        <is>
          <t xml:space="preserve">CIK ticker lookup</t>
        </is>
      </c>
      <c r="C6" s="25" t="inlineStr">
        <is>
          <t xml:space="preserve">https://www.sec.gov/files/company_tickers.json</t>
        </is>
      </c>
    </row>
    <row r="7">
      <c r="A7" s="7" t="inlineStr">
        <is>
          <t xml:space="preserve">data.sec.gov</t>
        </is>
      </c>
      <c r="B7" s="7" t="inlineStr">
        <is>
          <t xml:space="preserve">Primary financial-statement facts (XBRL)</t>
        </is>
      </c>
      <c r="C7" s="25" t="inlineStr">
        <is>
          <t xml:space="preserve">https://data.sec.gov/api/xbrl/companyfacts/CIK{10-digit}.json</t>
        </is>
      </c>
    </row>
    <row r="8">
      <c r="A8" s="7" t="inlineStr">
        <is>
          <t xml:space="preserve">query1/query2.finance.yahoo.com (via yfinance)</t>
        </is>
      </c>
      <c r="B8" s="7" t="inlineStr">
        <is>
          <t xml:space="preserve">Current price, shares outstanding, beta, sector</t>
        </is>
      </c>
      <c r="C8" s="25" t="inlineStr">
        <is>
          <t xml:space="preserve">yfinance Ticker.info / Ticker.fast_info</t>
        </is>
      </c>
    </row>
    <row r="10">
      <c r="A10" s="3" t="inlineStr">
        <is>
          <t xml:space="preserve">MSFT — MICROSOFT CORPORATION (CIK 0000789019)</t>
        </is>
      </c>
      <c r="B10" s="3"/>
      <c r="C10" s="3"/>
      <c r="D10" s="3"/>
      <c r="E10" s="3"/>
      <c r="F10" s="3"/>
      <c r="G10" s="3"/>
      <c r="H10" s="3"/>
    </row>
    <row r="11">
      <c r="A11" s="4" t="inlineStr">
        <is>
          <t xml:space="preserve">Field</t>
        </is>
      </c>
      <c r="B11" s="4" t="inlineStr">
        <is>
          <t xml:space="preserve">Fiscal Period / Timestamp</t>
        </is>
      </c>
      <c r="C11" s="4" t="inlineStr">
        <is>
          <t xml:space="preserve">XBRL Tag / Source</t>
        </is>
      </c>
      <c r="D11" s="4" t="inlineStr">
        <is>
          <t xml:space="preserve">Filing Accession</t>
        </is>
      </c>
      <c r="E11" s="4" t="inlineStr">
        <is>
          <t xml:space="preserve">Filed / Retrieved Date</t>
        </is>
      </c>
      <c r="F11" s="4" t="inlineStr">
        <is>
          <t xml:space="preserve">Provenance</t>
        </is>
      </c>
      <c r="G11" s="4" t="inlineStr">
        <is>
          <t xml:space="preserve">Source URL</t>
        </is>
      </c>
    </row>
    <row r="12">
      <c r="A12" s="7" t="inlineStr">
        <is>
          <t xml:space="preserve">Revenue</t>
        </is>
      </c>
      <c r="B12" s="7" t="inlineStr">
        <is>
          <t xml:space="preserve">2022-06-30</t>
        </is>
      </c>
      <c r="C12" s="25" t="inlineStr">
        <is>
          <t xml:space="preserve">RevenueFromContractWithCustomerExcludingAssessedTax</t>
        </is>
      </c>
      <c r="D12" s="25" t="inlineStr">
        <is>
          <t xml:space="preserve">0001564590-22-026876</t>
        </is>
      </c>
      <c r="E12" s="7" t="inlineStr">
        <is>
          <t xml:space="preserve">2022-07-28</t>
        </is>
      </c>
      <c r="F12" s="7" t="inlineStr">
        <is>
          <t xml:space="preserve">reported</t>
        </is>
      </c>
      <c r="G12" s="25" t="inlineStr">
        <is>
          <t xml:space="preserve">https://www.sec.gov/Archives/edgar/data/789019/000156459022026876/0001564590-22-026876-index.htm</t>
        </is>
      </c>
    </row>
    <row r="13">
      <c r="A13" s="7" t="inlineStr">
        <is>
          <t xml:space="preserve">EBIT/Operating Income</t>
        </is>
      </c>
      <c r="B13" s="7" t="inlineStr">
        <is>
          <t xml:space="preserve">2022-06-30</t>
        </is>
      </c>
      <c r="C13" s="25" t="inlineStr">
        <is>
          <t xml:space="preserve">OperatingIncomeLoss</t>
        </is>
      </c>
      <c r="D13" s="25" t="inlineStr">
        <is>
          <t xml:space="preserve">0001564590-22-026876</t>
        </is>
      </c>
      <c r="E13" s="7" t="inlineStr">
        <is>
          <t xml:space="preserve">2022-07-28</t>
        </is>
      </c>
      <c r="F13" s="7" t="inlineStr">
        <is>
          <t xml:space="preserve">reported</t>
        </is>
      </c>
      <c r="G13" s="25" t="inlineStr">
        <is>
          <t xml:space="preserve">https://www.sec.gov/Archives/edgar/data/789019/000156459022026876/0001564590-22-026876-index.htm</t>
        </is>
      </c>
    </row>
    <row r="14">
      <c r="A14" s="7" t="inlineStr">
        <is>
          <t xml:space="preserve">Revenue</t>
        </is>
      </c>
      <c r="B14" s="7" t="inlineStr">
        <is>
          <t xml:space="preserve">2023-06-30</t>
        </is>
      </c>
      <c r="C14" s="25" t="inlineStr">
        <is>
          <t xml:space="preserve">RevenueFromContractWithCustomerExcludingAssessedTax</t>
        </is>
      </c>
      <c r="D14" s="25" t="inlineStr">
        <is>
          <t xml:space="preserve">0000950170-23-035122</t>
        </is>
      </c>
      <c r="E14" s="7" t="inlineStr">
        <is>
          <t xml:space="preserve">2023-07-27</t>
        </is>
      </c>
      <c r="F14" s="7" t="inlineStr">
        <is>
          <t xml:space="preserve">reported</t>
        </is>
      </c>
      <c r="G14" s="25" t="inlineStr">
        <is>
          <t xml:space="preserve">https://www.sec.gov/Archives/edgar/data/789019/000095017023035122/0000950170-23-035122-index.htm</t>
        </is>
      </c>
    </row>
    <row r="15">
      <c r="A15" s="7" t="inlineStr">
        <is>
          <t xml:space="preserve">EBIT/Operating Income</t>
        </is>
      </c>
      <c r="B15" s="7" t="inlineStr">
        <is>
          <t xml:space="preserve">2023-06-30</t>
        </is>
      </c>
      <c r="C15" s="25" t="inlineStr">
        <is>
          <t xml:space="preserve">OperatingIncomeLoss</t>
        </is>
      </c>
      <c r="D15" s="25" t="inlineStr">
        <is>
          <t xml:space="preserve">0000950170-23-035122</t>
        </is>
      </c>
      <c r="E15" s="7" t="inlineStr">
        <is>
          <t xml:space="preserve">2023-07-27</t>
        </is>
      </c>
      <c r="F15" s="7" t="inlineStr">
        <is>
          <t xml:space="preserve">reported</t>
        </is>
      </c>
      <c r="G15" s="25" t="inlineStr">
        <is>
          <t xml:space="preserve">https://www.sec.gov/Archives/edgar/data/789019/000095017023035122/0000950170-23-035122-index.htm</t>
        </is>
      </c>
    </row>
    <row r="16">
      <c r="A16" s="7" t="inlineStr">
        <is>
          <t xml:space="preserve">Revenue</t>
        </is>
      </c>
      <c r="B16" s="7" t="inlineStr">
        <is>
          <t xml:space="preserve">2024-06-30</t>
        </is>
      </c>
      <c r="C16" s="25" t="inlineStr">
        <is>
          <t xml:space="preserve">RevenueFromContractWithCustomerExcludingAssessedTax</t>
        </is>
      </c>
      <c r="D16" s="25" t="inlineStr">
        <is>
          <t xml:space="preserve">0000950170-24-087843</t>
        </is>
      </c>
      <c r="E16" s="7" t="inlineStr">
        <is>
          <t xml:space="preserve">2024-07-30</t>
        </is>
      </c>
      <c r="F16" s="7" t="inlineStr">
        <is>
          <t xml:space="preserve">reported</t>
        </is>
      </c>
      <c r="G16" s="25" t="inlineStr">
        <is>
          <t xml:space="preserve">https://www.sec.gov/Archives/edgar/data/789019/000095017024087843/0000950170-24-087843-index.htm</t>
        </is>
      </c>
    </row>
    <row r="17">
      <c r="A17" s="7" t="inlineStr">
        <is>
          <t xml:space="preserve">EBIT/Operating Income</t>
        </is>
      </c>
      <c r="B17" s="7" t="inlineStr">
        <is>
          <t xml:space="preserve">2024-06-30</t>
        </is>
      </c>
      <c r="C17" s="25" t="inlineStr">
        <is>
          <t xml:space="preserve">OperatingIncomeLoss</t>
        </is>
      </c>
      <c r="D17" s="25" t="inlineStr">
        <is>
          <t xml:space="preserve">0000950170-24-087843</t>
        </is>
      </c>
      <c r="E17" s="7" t="inlineStr">
        <is>
          <t xml:space="preserve">2024-07-30</t>
        </is>
      </c>
      <c r="F17" s="7" t="inlineStr">
        <is>
          <t xml:space="preserve">reported</t>
        </is>
      </c>
      <c r="G17" s="25" t="inlineStr">
        <is>
          <t xml:space="preserve">https://www.sec.gov/Archives/edgar/data/789019/000095017024087843/0000950170-24-087843-index.htm</t>
        </is>
      </c>
    </row>
    <row r="18">
      <c r="A18" s="7" t="inlineStr">
        <is>
          <t xml:space="preserve">Revenue</t>
        </is>
      </c>
      <c r="B18" s="7" t="inlineStr">
        <is>
          <t xml:space="preserve">2025-06-30</t>
        </is>
      </c>
      <c r="C18" s="25" t="inlineStr">
        <is>
          <t xml:space="preserve">RevenueFromContractWithCustomerExcludingAssessedTax</t>
        </is>
      </c>
      <c r="D18" s="25" t="inlineStr">
        <is>
          <t xml:space="preserve">0000950170-25-100235</t>
        </is>
      </c>
      <c r="E18" s="7" t="inlineStr">
        <is>
          <t xml:space="preserve">2025-07-30</t>
        </is>
      </c>
      <c r="F18" s="7" t="inlineStr">
        <is>
          <t xml:space="preserve">reported</t>
        </is>
      </c>
      <c r="G18" s="25" t="inlineStr">
        <is>
          <t xml:space="preserve">https://www.sec.gov/Archives/edgar/data/789019/000095017025100235/0000950170-25-100235-index.htm</t>
        </is>
      </c>
    </row>
    <row r="19">
      <c r="A19" s="7" t="inlineStr">
        <is>
          <t xml:space="preserve">EBIT/Operating Income</t>
        </is>
      </c>
      <c r="B19" s="7" t="inlineStr">
        <is>
          <t xml:space="preserve">2025-06-30</t>
        </is>
      </c>
      <c r="C19" s="25" t="inlineStr">
        <is>
          <t xml:space="preserve">OperatingIncomeLoss</t>
        </is>
      </c>
      <c r="D19" s="25" t="inlineStr">
        <is>
          <t xml:space="preserve">0000950170-25-100235</t>
        </is>
      </c>
      <c r="E19" s="7" t="inlineStr">
        <is>
          <t xml:space="preserve">2025-07-30</t>
        </is>
      </c>
      <c r="F19" s="7" t="inlineStr">
        <is>
          <t xml:space="preserve">reported</t>
        </is>
      </c>
      <c r="G19" s="25" t="inlineStr">
        <is>
          <t xml:space="preserve">https://www.sec.gov/Archives/edgar/data/789019/000095017025100235/0000950170-25-100235-index.htm</t>
        </is>
      </c>
    </row>
    <row r="20">
      <c r="A20" s="7" t="inlineStr">
        <is>
          <t xml:space="preserve">Revenue</t>
        </is>
      </c>
      <c r="B20" s="7" t="inlineStr">
        <is>
          <t xml:space="preserve">2026-06-30</t>
        </is>
      </c>
      <c r="C20" s="25" t="inlineStr">
        <is>
          <t xml:space="preserve">RevenueFromContractWithCustomerExcludingAssessedTax</t>
        </is>
      </c>
      <c r="D20" s="25" t="inlineStr">
        <is>
          <t xml:space="preserve">0001193125-26-323660</t>
        </is>
      </c>
      <c r="E20" s="7" t="inlineStr">
        <is>
          <t xml:space="preserve">2026-07-29</t>
        </is>
      </c>
      <c r="F20" s="7" t="inlineStr">
        <is>
          <t xml:space="preserve">reported</t>
        </is>
      </c>
      <c r="G20" s="25" t="inlineStr">
        <is>
          <t xml:space="preserve">https://www.sec.gov/Archives/edgar/data/789019/000119312526323660/0001193125-26-323660-index.htm</t>
        </is>
      </c>
    </row>
    <row r="21">
      <c r="A21" s="7" t="inlineStr">
        <is>
          <t xml:space="preserve">EBIT/Operating Income</t>
        </is>
      </c>
      <c r="B21" s="7" t="inlineStr">
        <is>
          <t xml:space="preserve">2026-06-30</t>
        </is>
      </c>
      <c r="C21" s="25" t="inlineStr">
        <is>
          <t xml:space="preserve">OperatingIncomeLoss</t>
        </is>
      </c>
      <c r="D21" s="25" t="inlineStr">
        <is>
          <t xml:space="preserve">0001193125-26-323660</t>
        </is>
      </c>
      <c r="E21" s="7" t="inlineStr">
        <is>
          <t xml:space="preserve">2026-07-29</t>
        </is>
      </c>
      <c r="F21" s="7" t="inlineStr">
        <is>
          <t xml:space="preserve">reported</t>
        </is>
      </c>
      <c r="G21" s="25" t="inlineStr">
        <is>
          <t xml:space="preserve">https://www.sec.gov/Archives/edgar/data/789019/000119312526323660/0001193125-26-323660-index.htm</t>
        </is>
      </c>
    </row>
    <row r="22">
      <c r="A22" s="7" t="inlineStr">
        <is>
          <t xml:space="preserve">Pretax Income (latest)</t>
        </is>
      </c>
      <c r="B22" s="7" t="inlineStr">
        <is>
          <t xml:space="preserve">2026-06-30</t>
        </is>
      </c>
      <c r="C22" s="25" t="inlineStr">
        <is>
          <t xml:space="preserve">IncomeLossFromContinuingOperationsBeforeIncomeTaxesExtraordinaryItemsNoncontrollingInterest</t>
        </is>
      </c>
      <c r="D22" s="25" t="inlineStr">
        <is>
          <t xml:space="preserve">0001193125-26-323660</t>
        </is>
      </c>
      <c r="E22" s="7" t="inlineStr">
        <is>
          <t xml:space="preserve">2026-07-29</t>
        </is>
      </c>
      <c r="F22" s="7" t="inlineStr">
        <is>
          <t xml:space="preserve">reported</t>
        </is>
      </c>
      <c r="G22" s="25" t="inlineStr">
        <is>
          <t xml:space="preserve">https://www.sec.gov/Archives/edgar/data/789019/000119312526323660/0001193125-26-323660-index.htm</t>
        </is>
      </c>
    </row>
    <row r="23">
      <c r="A23" s="7" t="inlineStr">
        <is>
          <t xml:space="preserve">Tax Provision (latest)</t>
        </is>
      </c>
      <c r="B23" s="7" t="inlineStr">
        <is>
          <t xml:space="preserve">2026-06-30</t>
        </is>
      </c>
      <c r="C23" s="25" t="inlineStr">
        <is>
          <t xml:space="preserve">IncomeTaxExpenseBenefit</t>
        </is>
      </c>
      <c r="D23" s="25" t="inlineStr">
        <is>
          <t xml:space="preserve">0001193125-26-323660</t>
        </is>
      </c>
      <c r="E23" s="7" t="inlineStr">
        <is>
          <t xml:space="preserve">2026-07-29</t>
        </is>
      </c>
      <c r="F23" s="7" t="inlineStr">
        <is>
          <t xml:space="preserve">reported</t>
        </is>
      </c>
      <c r="G23" s="25" t="inlineStr">
        <is>
          <t xml:space="preserve">https://www.sec.gov/Archives/edgar/data/789019/000119312526323660/0001193125-26-323660-index.htm</t>
        </is>
      </c>
    </row>
    <row r="24">
      <c r="A24" s="7" t="inlineStr">
        <is>
          <t xml:space="preserve">Interest Expense (latest)</t>
        </is>
      </c>
      <c r="B24" s="7" t="inlineStr">
        <is>
          <t xml:space="preserve">2026-06-30</t>
        </is>
      </c>
      <c r="C24" s="25" t="inlineStr">
        <is>
          <t xml:space="preserve">InterestExpenseNonoperating</t>
        </is>
      </c>
      <c r="D24" s="25" t="inlineStr">
        <is>
          <t xml:space="preserve">0001193125-26-323660</t>
        </is>
      </c>
      <c r="E24" s="7" t="inlineStr">
        <is>
          <t xml:space="preserve">2026-07-29</t>
        </is>
      </c>
      <c r="F24" s="7" t="inlineStr">
        <is>
          <t xml:space="preserve">reported</t>
        </is>
      </c>
      <c r="G24" s="25" t="inlineStr">
        <is>
          <t xml:space="preserve">https://www.sec.gov/Archives/edgar/data/789019/000119312526323660/0001193125-26-323660-index.htm</t>
        </is>
      </c>
    </row>
    <row r="25">
      <c r="A25" s="7" t="inlineStr">
        <is>
          <t xml:space="preserve">Cash &amp; Equivalents (latest)</t>
        </is>
      </c>
      <c r="B25" s="7" t="inlineStr">
        <is>
          <t xml:space="preserve">2026-06-30</t>
        </is>
      </c>
      <c r="C25" s="25" t="inlineStr">
        <is>
          <t xml:space="preserve">CashAndCashEquivalentsAtCarryingValue</t>
        </is>
      </c>
      <c r="D25" s="25" t="inlineStr">
        <is>
          <t xml:space="preserve">0001193125-26-323660</t>
        </is>
      </c>
      <c r="E25" s="7" t="inlineStr">
        <is>
          <t xml:space="preserve">2026-07-29</t>
        </is>
      </c>
      <c r="F25" s="7" t="inlineStr">
        <is>
          <t xml:space="preserve">reported</t>
        </is>
      </c>
      <c r="G25" s="25" t="inlineStr">
        <is>
          <t xml:space="preserve">https://www.sec.gov/Archives/edgar/data/789019/000119312526323660/0001193125-26-323660-index.htm</t>
        </is>
      </c>
    </row>
    <row r="26">
      <c r="A26" s="7" t="inlineStr">
        <is>
          <t xml:space="preserve">Total Debt component: LongTermDebtCurrent</t>
        </is>
      </c>
      <c r="B26" s="7" t="inlineStr">
        <is>
          <t xml:space="preserve">2026-06-30</t>
        </is>
      </c>
      <c r="C26" s="25" t="inlineStr">
        <is>
          <t xml:space="preserve">LongTermDebtCurrent</t>
        </is>
      </c>
      <c r="D26" s="25" t="inlineStr">
        <is>
          <t xml:space="preserve">0001193125-26-323660</t>
        </is>
      </c>
      <c r="E26" s="7" t="inlineStr">
        <is>
          <t xml:space="preserve">2026-07-29</t>
        </is>
      </c>
      <c r="F26" s="7" t="inlineStr">
        <is>
          <t xml:space="preserve">reported (component)</t>
        </is>
      </c>
      <c r="G26" s="25" t="inlineStr">
        <is>
          <t xml:space="preserve">https://www.sec.gov/Archives/edgar/data/789019/000119312526323660/0001193125-26-323660-index.htm</t>
        </is>
      </c>
    </row>
    <row r="27">
      <c r="A27" s="7" t="inlineStr">
        <is>
          <t xml:space="preserve">Total Debt component: LongTermDebtNoncurrent</t>
        </is>
      </c>
      <c r="B27" s="7" t="inlineStr">
        <is>
          <t xml:space="preserve">2026-06-30</t>
        </is>
      </c>
      <c r="C27" s="25" t="inlineStr">
        <is>
          <t xml:space="preserve">LongTermDebtNoncurrent</t>
        </is>
      </c>
      <c r="D27" s="25" t="inlineStr">
        <is>
          <t xml:space="preserve">0001193125-26-323660</t>
        </is>
      </c>
      <c r="E27" s="7" t="inlineStr">
        <is>
          <t xml:space="preserve">2026-07-29</t>
        </is>
      </c>
      <c r="F27" s="7" t="inlineStr">
        <is>
          <t xml:space="preserve">reported (component)</t>
        </is>
      </c>
      <c r="G27" s="25" t="inlineStr">
        <is>
          <t xml:space="preserve">https://www.sec.gov/Archives/edgar/data/789019/000119312526323660/0001193125-26-323660-index.htm</t>
        </is>
      </c>
    </row>
    <row r="28">
      <c r="A28" s="8" t="inlineStr">
        <is>
          <t xml:space="preserve">Total Debt (latest, derived)</t>
        </is>
      </c>
      <c r="B28" s="7" t="inlineStr">
        <is>
          <t xml:space="preserve">2026-06-30</t>
        </is>
      </c>
      <c r="C28" s="25" t="inlineStr">
        <is>
          <t xml:space="preserve">Total Debt = LongTermDebtNoncurrent ($31,067,000,000) + LongTermDebtCurrent ($9,227,000,000) = $40,294,000,000</t>
        </is>
      </c>
      <c r="D28" s="25" t="inlineStr">
        <is>
          <t xml:space="preserve">0001193125-26-323660</t>
        </is>
      </c>
      <c r="E28" s="7" t="inlineStr">
        <is>
          <t xml:space="preserve">2026-07-29</t>
        </is>
      </c>
      <c r="F28" s="7" t="inlineStr">
        <is>
          <t xml:space="preserve">derived (sum of components above)</t>
        </is>
      </c>
      <c r="G28" s="25" t="inlineStr">
        <is>
          <t xml:space="preserve">https://www.sec.gov/Archives/edgar/data/789019/000119312526323660/0001193125-26-323660-index.htm</t>
        </is>
      </c>
    </row>
    <row r="29">
      <c r="A29" s="7" t="inlineStr">
        <is>
          <t xml:space="preserve">Price / Shares / Beta / Sector</t>
        </is>
      </c>
      <c r="B29" s="7" t="inlineStr">
        <is>
          <t xml:space="preserve">2026-08-17T17:22:55.505484+00:00</t>
        </is>
      </c>
      <c r="C29" s="25" t="inlineStr">
        <is>
          <t xml:space="preserve">yfinance Ticker.info</t>
        </is>
      </c>
      <c r="E29" s="7" t="inlineStr">
        <is>
          <t xml:space="preserve">2026-08-17T17:22:55.505484+00:00</t>
        </is>
      </c>
      <c r="F29" s="7" t="inlineStr">
        <is>
          <t xml:space="preserve">reported (unchanged from original freeze)</t>
        </is>
      </c>
      <c r="G29" s="25" t="inlineStr">
        <is>
          <t xml:space="preserve">https://finance.yahoo.com/quote/MSFT</t>
        </is>
      </c>
    </row>
    <row r="31">
      <c r="A31" s="3" t="inlineStr">
        <is>
          <t xml:space="preserve">CAT — CATERPILLAR INC (CIK 0000018230)</t>
        </is>
      </c>
      <c r="B31" s="3"/>
      <c r="C31" s="3"/>
      <c r="D31" s="3"/>
      <c r="E31" s="3"/>
      <c r="F31" s="3"/>
      <c r="G31" s="3"/>
      <c r="H31" s="3"/>
    </row>
    <row r="32">
      <c r="A32" s="4" t="inlineStr">
        <is>
          <t xml:space="preserve">Field</t>
        </is>
      </c>
      <c r="B32" s="4" t="inlineStr">
        <is>
          <t xml:space="preserve">Fiscal Period / Timestamp</t>
        </is>
      </c>
      <c r="C32" s="4" t="inlineStr">
        <is>
          <t xml:space="preserve">XBRL Tag / Source</t>
        </is>
      </c>
      <c r="D32" s="4" t="inlineStr">
        <is>
          <t xml:space="preserve">Filing Accession</t>
        </is>
      </c>
      <c r="E32" s="4" t="inlineStr">
        <is>
          <t xml:space="preserve">Filed / Retrieved Date</t>
        </is>
      </c>
      <c r="F32" s="4" t="inlineStr">
        <is>
          <t xml:space="preserve">Provenance</t>
        </is>
      </c>
      <c r="G32" s="4" t="inlineStr">
        <is>
          <t xml:space="preserve">Source URL</t>
        </is>
      </c>
    </row>
    <row r="33">
      <c r="A33" s="7" t="inlineStr">
        <is>
          <t xml:space="preserve">Revenue</t>
        </is>
      </c>
      <c r="B33" s="7" t="inlineStr">
        <is>
          <t xml:space="preserve">2021-12-31</t>
        </is>
      </c>
      <c r="C33" s="25" t="inlineStr">
        <is>
          <t xml:space="preserve">Revenues</t>
        </is>
      </c>
      <c r="D33" s="25" t="inlineStr">
        <is>
          <t xml:space="preserve">0000018230-22-000050</t>
        </is>
      </c>
      <c r="E33" s="7" t="inlineStr">
        <is>
          <t xml:space="preserve">2022-02-16</t>
        </is>
      </c>
      <c r="F33" s="7" t="inlineStr">
        <is>
          <t xml:space="preserve">reported</t>
        </is>
      </c>
      <c r="G33" s="25" t="inlineStr">
        <is>
          <t xml:space="preserve">https://www.sec.gov/Archives/edgar/data/18230/000001823022000050/0000018230-22-000050-index.htm</t>
        </is>
      </c>
    </row>
    <row r="34">
      <c r="A34" s="7" t="inlineStr">
        <is>
          <t xml:space="preserve">EBIT/Operating Income</t>
        </is>
      </c>
      <c r="B34" s="7" t="inlineStr">
        <is>
          <t xml:space="preserve">2021-12-31</t>
        </is>
      </c>
      <c r="C34" s="25" t="inlineStr">
        <is>
          <t xml:space="preserve">OperatingIncomeLoss</t>
        </is>
      </c>
      <c r="D34" s="25" t="inlineStr">
        <is>
          <t xml:space="preserve">0000018230-22-000050</t>
        </is>
      </c>
      <c r="E34" s="7" t="inlineStr">
        <is>
          <t xml:space="preserve">2022-02-16</t>
        </is>
      </c>
      <c r="F34" s="7" t="inlineStr">
        <is>
          <t xml:space="preserve">reported</t>
        </is>
      </c>
      <c r="G34" s="25" t="inlineStr">
        <is>
          <t xml:space="preserve">https://www.sec.gov/Archives/edgar/data/18230/000001823022000050/0000018230-22-000050-index.htm</t>
        </is>
      </c>
    </row>
    <row r="35">
      <c r="A35" s="7" t="inlineStr">
        <is>
          <t xml:space="preserve">Revenue</t>
        </is>
      </c>
      <c r="B35" s="7" t="inlineStr">
        <is>
          <t xml:space="preserve">2022-12-31</t>
        </is>
      </c>
      <c r="C35" s="25" t="inlineStr">
        <is>
          <t xml:space="preserve">Revenues</t>
        </is>
      </c>
      <c r="D35" s="25" t="inlineStr">
        <is>
          <t xml:space="preserve">0000018230-23-000011</t>
        </is>
      </c>
      <c r="E35" s="7" t="inlineStr">
        <is>
          <t xml:space="preserve">2023-02-15</t>
        </is>
      </c>
      <c r="F35" s="7" t="inlineStr">
        <is>
          <t xml:space="preserve">reported</t>
        </is>
      </c>
      <c r="G35" s="25" t="inlineStr">
        <is>
          <t xml:space="preserve">https://www.sec.gov/Archives/edgar/data/18230/000001823023000011/0000018230-23-000011-index.htm</t>
        </is>
      </c>
    </row>
    <row r="36">
      <c r="A36" s="7" t="inlineStr">
        <is>
          <t xml:space="preserve">EBIT/Operating Income</t>
        </is>
      </c>
      <c r="B36" s="7" t="inlineStr">
        <is>
          <t xml:space="preserve">2022-12-31</t>
        </is>
      </c>
      <c r="C36" s="25" t="inlineStr">
        <is>
          <t xml:space="preserve">OperatingIncomeLoss</t>
        </is>
      </c>
      <c r="D36" s="25" t="inlineStr">
        <is>
          <t xml:space="preserve">0000018230-23-000011</t>
        </is>
      </c>
      <c r="E36" s="7" t="inlineStr">
        <is>
          <t xml:space="preserve">2023-02-15</t>
        </is>
      </c>
      <c r="F36" s="7" t="inlineStr">
        <is>
          <t xml:space="preserve">reported</t>
        </is>
      </c>
      <c r="G36" s="25" t="inlineStr">
        <is>
          <t xml:space="preserve">https://www.sec.gov/Archives/edgar/data/18230/000001823023000011/0000018230-23-000011-index.htm</t>
        </is>
      </c>
    </row>
    <row r="37">
      <c r="A37" s="7" t="inlineStr">
        <is>
          <t xml:space="preserve">Revenue</t>
        </is>
      </c>
      <c r="B37" s="7" t="inlineStr">
        <is>
          <t xml:space="preserve">2023-12-31</t>
        </is>
      </c>
      <c r="C37" s="25" t="inlineStr">
        <is>
          <t xml:space="preserve">Revenues</t>
        </is>
      </c>
      <c r="D37" s="25" t="inlineStr">
        <is>
          <t xml:space="preserve">0000018230-24-000009</t>
        </is>
      </c>
      <c r="E37" s="7" t="inlineStr">
        <is>
          <t xml:space="preserve">2024-02-16</t>
        </is>
      </c>
      <c r="F37" s="7" t="inlineStr">
        <is>
          <t xml:space="preserve">reported</t>
        </is>
      </c>
      <c r="G37" s="25" t="inlineStr">
        <is>
          <t xml:space="preserve">https://www.sec.gov/Archives/edgar/data/18230/000001823024000009/0000018230-24-000009-index.htm</t>
        </is>
      </c>
    </row>
    <row r="38">
      <c r="A38" s="7" t="inlineStr">
        <is>
          <t xml:space="preserve">EBIT/Operating Income</t>
        </is>
      </c>
      <c r="B38" s="7" t="inlineStr">
        <is>
          <t xml:space="preserve">2023-12-31</t>
        </is>
      </c>
      <c r="C38" s="25" t="inlineStr">
        <is>
          <t xml:space="preserve">OperatingIncomeLoss</t>
        </is>
      </c>
      <c r="D38" s="25" t="inlineStr">
        <is>
          <t xml:space="preserve">0000018230-24-000009</t>
        </is>
      </c>
      <c r="E38" s="7" t="inlineStr">
        <is>
          <t xml:space="preserve">2024-02-16</t>
        </is>
      </c>
      <c r="F38" s="7" t="inlineStr">
        <is>
          <t xml:space="preserve">reported</t>
        </is>
      </c>
      <c r="G38" s="25" t="inlineStr">
        <is>
          <t xml:space="preserve">https://www.sec.gov/Archives/edgar/data/18230/000001823024000009/0000018230-24-000009-index.htm</t>
        </is>
      </c>
    </row>
    <row r="39">
      <c r="A39" s="7" t="inlineStr">
        <is>
          <t xml:space="preserve">Revenue</t>
        </is>
      </c>
      <c r="B39" s="7" t="inlineStr">
        <is>
          <t xml:space="preserve">2024-12-31</t>
        </is>
      </c>
      <c r="C39" s="25" t="inlineStr">
        <is>
          <t xml:space="preserve">Revenues</t>
        </is>
      </c>
      <c r="D39" s="25" t="inlineStr">
        <is>
          <t xml:space="preserve">0000018230-25-000008</t>
        </is>
      </c>
      <c r="E39" s="7" t="inlineStr">
        <is>
          <t xml:space="preserve">2025-02-14</t>
        </is>
      </c>
      <c r="F39" s="7" t="inlineStr">
        <is>
          <t xml:space="preserve">reported</t>
        </is>
      </c>
      <c r="G39" s="25" t="inlineStr">
        <is>
          <t xml:space="preserve">https://www.sec.gov/Archives/edgar/data/18230/000001823025000008/0000018230-25-000008-index.htm</t>
        </is>
      </c>
    </row>
    <row r="40">
      <c r="A40" s="7" t="inlineStr">
        <is>
          <t xml:space="preserve">EBIT/Operating Income</t>
        </is>
      </c>
      <c r="B40" s="7" t="inlineStr">
        <is>
          <t xml:space="preserve">2024-12-31</t>
        </is>
      </c>
      <c r="C40" s="25" t="inlineStr">
        <is>
          <t xml:space="preserve">OperatingIncomeLoss</t>
        </is>
      </c>
      <c r="D40" s="25" t="inlineStr">
        <is>
          <t xml:space="preserve">0000018230-25-000008</t>
        </is>
      </c>
      <c r="E40" s="7" t="inlineStr">
        <is>
          <t xml:space="preserve">2025-02-14</t>
        </is>
      </c>
      <c r="F40" s="7" t="inlineStr">
        <is>
          <t xml:space="preserve">reported</t>
        </is>
      </c>
      <c r="G40" s="25" t="inlineStr">
        <is>
          <t xml:space="preserve">https://www.sec.gov/Archives/edgar/data/18230/000001823025000008/0000018230-25-000008-index.htm</t>
        </is>
      </c>
    </row>
    <row r="41">
      <c r="A41" s="7" t="inlineStr">
        <is>
          <t xml:space="preserve">Revenue</t>
        </is>
      </c>
      <c r="B41" s="7" t="inlineStr">
        <is>
          <t xml:space="preserve">2025-12-31</t>
        </is>
      </c>
      <c r="C41" s="25" t="inlineStr">
        <is>
          <t xml:space="preserve">Revenues</t>
        </is>
      </c>
      <c r="D41" s="25" t="inlineStr">
        <is>
          <t xml:space="preserve">0000018230-26-000008</t>
        </is>
      </c>
      <c r="E41" s="7" t="inlineStr">
        <is>
          <t xml:space="preserve">2026-02-13</t>
        </is>
      </c>
      <c r="F41" s="7" t="inlineStr">
        <is>
          <t xml:space="preserve">reported</t>
        </is>
      </c>
      <c r="G41" s="25" t="inlineStr">
        <is>
          <t xml:space="preserve">https://www.sec.gov/Archives/edgar/data/18230/000001823026000008/0000018230-26-000008-index.htm</t>
        </is>
      </c>
    </row>
    <row r="42">
      <c r="A42" s="7" t="inlineStr">
        <is>
          <t xml:space="preserve">EBIT/Operating Income</t>
        </is>
      </c>
      <c r="B42" s="7" t="inlineStr">
        <is>
          <t xml:space="preserve">2025-12-31</t>
        </is>
      </c>
      <c r="C42" s="25" t="inlineStr">
        <is>
          <t xml:space="preserve">OperatingIncomeLoss</t>
        </is>
      </c>
      <c r="D42" s="25" t="inlineStr">
        <is>
          <t xml:space="preserve">0000018230-26-000008</t>
        </is>
      </c>
      <c r="E42" s="7" t="inlineStr">
        <is>
          <t xml:space="preserve">2026-02-13</t>
        </is>
      </c>
      <c r="F42" s="7" t="inlineStr">
        <is>
          <t xml:space="preserve">reported</t>
        </is>
      </c>
      <c r="G42" s="25" t="inlineStr">
        <is>
          <t xml:space="preserve">https://www.sec.gov/Archives/edgar/data/18230/000001823026000008/0000018230-26-000008-index.htm</t>
        </is>
      </c>
    </row>
    <row r="43">
      <c r="A43" s="7" t="inlineStr">
        <is>
          <t xml:space="preserve">Pretax Income (latest)</t>
        </is>
      </c>
      <c r="B43" s="7" t="inlineStr">
        <is>
          <t xml:space="preserve">2025-12-31</t>
        </is>
      </c>
      <c r="C43" s="25" t="inlineStr">
        <is>
          <t xml:space="preserve">IncomeLossFromContinuingOperationsBeforeIncomeTaxesMinorityInterestAndIncomeLossFromEquityMethodInvestments</t>
        </is>
      </c>
      <c r="D43" s="25" t="inlineStr">
        <is>
          <t xml:space="preserve">0000018230-26-000008</t>
        </is>
      </c>
      <c r="E43" s="7" t="inlineStr">
        <is>
          <t xml:space="preserve">2026-02-13</t>
        </is>
      </c>
      <c r="F43" s="7" t="inlineStr">
        <is>
          <t xml:space="preserve">reported</t>
        </is>
      </c>
      <c r="G43" s="25" t="inlineStr">
        <is>
          <t xml:space="preserve">https://www.sec.gov/Archives/edgar/data/18230/000001823026000008/0000018230-26-000008-index.htm</t>
        </is>
      </c>
    </row>
    <row r="44">
      <c r="A44" s="7" t="inlineStr">
        <is>
          <t xml:space="preserve">Tax Provision (latest)</t>
        </is>
      </c>
      <c r="B44" s="7" t="inlineStr">
        <is>
          <t xml:space="preserve">2025-12-31</t>
        </is>
      </c>
      <c r="C44" s="25" t="inlineStr">
        <is>
          <t xml:space="preserve">IncomeTaxExpenseBenefit</t>
        </is>
      </c>
      <c r="D44" s="25" t="inlineStr">
        <is>
          <t xml:space="preserve">0000018230-26-000008</t>
        </is>
      </c>
      <c r="E44" s="7" t="inlineStr">
        <is>
          <t xml:space="preserve">2026-02-13</t>
        </is>
      </c>
      <c r="F44" s="7" t="inlineStr">
        <is>
          <t xml:space="preserve">reported</t>
        </is>
      </c>
      <c r="G44" s="25" t="inlineStr">
        <is>
          <t xml:space="preserve">https://www.sec.gov/Archives/edgar/data/18230/000001823026000008/0000018230-26-000008-index.htm</t>
        </is>
      </c>
    </row>
    <row r="45">
      <c r="A45" s="7" t="inlineStr">
        <is>
          <t xml:space="preserve">Interest Expense (latest)</t>
        </is>
      </c>
      <c r="B45" s="7" t="inlineStr">
        <is>
          <t xml:space="preserve">2025-12-31</t>
        </is>
      </c>
      <c r="C45" s="25" t="inlineStr">
        <is>
          <t xml:space="preserve">InterestPaidNet</t>
        </is>
      </c>
      <c r="D45" s="25" t="inlineStr">
        <is>
          <t xml:space="preserve">0000018230-26-000008</t>
        </is>
      </c>
      <c r="E45" s="7" t="inlineStr">
        <is>
          <t xml:space="preserve">2026-02-13</t>
        </is>
      </c>
      <c r="F45" s="7" t="inlineStr">
        <is>
          <t xml:space="preserve">reported</t>
        </is>
      </c>
      <c r="G45" s="25" t="inlineStr">
        <is>
          <t xml:space="preserve">https://www.sec.gov/Archives/edgar/data/18230/000001823026000008/0000018230-26-000008-index.htm</t>
        </is>
      </c>
    </row>
    <row r="46">
      <c r="A46" s="7" t="inlineStr">
        <is>
          <t xml:space="preserve">Cash &amp; Equivalents (latest)</t>
        </is>
      </c>
      <c r="B46" s="7" t="inlineStr">
        <is>
          <t xml:space="preserve">2025-12-31</t>
        </is>
      </c>
      <c r="C46" s="25" t="inlineStr">
        <is>
          <t xml:space="preserve">CashAndCashEquivalentsAtCarryingValue</t>
        </is>
      </c>
      <c r="D46" s="25" t="inlineStr">
        <is>
          <t xml:space="preserve">0000018230-26-000008</t>
        </is>
      </c>
      <c r="E46" s="7" t="inlineStr">
        <is>
          <t xml:space="preserve">2026-02-13</t>
        </is>
      </c>
      <c r="F46" s="7" t="inlineStr">
        <is>
          <t xml:space="preserve">reported</t>
        </is>
      </c>
      <c r="G46" s="25" t="inlineStr">
        <is>
          <t xml:space="preserve">https://www.sec.gov/Archives/edgar/data/18230/000001823026000008/0000018230-26-000008-index.htm</t>
        </is>
      </c>
    </row>
    <row r="47">
      <c r="A47" s="7" t="inlineStr">
        <is>
          <t xml:space="preserve">Total Debt component: LongTermDebtNoncurrent</t>
        </is>
      </c>
      <c r="B47" s="7" t="inlineStr">
        <is>
          <t xml:space="preserve">2025-12-31</t>
        </is>
      </c>
      <c r="C47" s="25" t="inlineStr">
        <is>
          <t xml:space="preserve">LongTermDebtNoncurrent</t>
        </is>
      </c>
      <c r="D47" s="25" t="inlineStr">
        <is>
          <t xml:space="preserve">0000018230-26-000008</t>
        </is>
      </c>
      <c r="E47" s="7" t="inlineStr">
        <is>
          <t xml:space="preserve">2026-02-13</t>
        </is>
      </c>
      <c r="F47" s="7" t="inlineStr">
        <is>
          <t xml:space="preserve">reported (component)</t>
        </is>
      </c>
      <c r="G47" s="25" t="inlineStr">
        <is>
          <t xml:space="preserve">https://www.sec.gov/Archives/edgar/data/18230/000001823026000008/0000018230-26-000008-index.htm</t>
        </is>
      </c>
    </row>
    <row r="48">
      <c r="A48" s="7" t="inlineStr">
        <is>
          <t xml:space="preserve">Total Debt component: ShortTermBorrowings</t>
        </is>
      </c>
      <c r="B48" s="7" t="inlineStr">
        <is>
          <t xml:space="preserve">2025-12-31</t>
        </is>
      </c>
      <c r="C48" s="25" t="inlineStr">
        <is>
          <t xml:space="preserve">ShortTermBorrowings</t>
        </is>
      </c>
      <c r="D48" s="25" t="inlineStr">
        <is>
          <t xml:space="preserve">0000018230-26-000008</t>
        </is>
      </c>
      <c r="E48" s="7" t="inlineStr">
        <is>
          <t xml:space="preserve">2026-02-13</t>
        </is>
      </c>
      <c r="F48" s="7" t="inlineStr">
        <is>
          <t xml:space="preserve">reported (component)</t>
        </is>
      </c>
      <c r="G48" s="25" t="inlineStr">
        <is>
          <t xml:space="preserve">https://www.sec.gov/Archives/edgar/data/18230/000001823026000008/0000018230-26-000008-index.htm</t>
        </is>
      </c>
    </row>
    <row r="49">
      <c r="A49" s="8" t="inlineStr">
        <is>
          <t xml:space="preserve">Total Debt (latest, derived)</t>
        </is>
      </c>
      <c r="B49" s="7" t="inlineStr">
        <is>
          <t xml:space="preserve">2025-12-31</t>
        </is>
      </c>
      <c r="C49" s="25" t="inlineStr">
        <is>
          <t xml:space="preserve">Total Debt = LongTermDebtNoncurrent ($30,696,000,000) + ShortTermBorrowings ($5,514,000,000) = $36,210,000,000</t>
        </is>
      </c>
      <c r="D49" s="25" t="inlineStr">
        <is>
          <t xml:space="preserve">0000018230-26-000008</t>
        </is>
      </c>
      <c r="E49" s="7" t="inlineStr">
        <is>
          <t xml:space="preserve">2026-02-13</t>
        </is>
      </c>
      <c r="F49" s="7" t="inlineStr">
        <is>
          <t xml:space="preserve">derived (sum of components above)</t>
        </is>
      </c>
      <c r="G49" s="25" t="inlineStr">
        <is>
          <t xml:space="preserve">https://www.sec.gov/Archives/edgar/data/18230/000001823026000008/0000018230-26-000008-index.htm</t>
        </is>
      </c>
    </row>
    <row r="50">
      <c r="A50" s="7" t="inlineStr">
        <is>
          <t xml:space="preserve">Price / Shares / Beta / Sector</t>
        </is>
      </c>
      <c r="B50" s="7" t="inlineStr">
        <is>
          <t xml:space="preserve">2026-08-17T17:22:56.069590+00:00</t>
        </is>
      </c>
      <c r="C50" s="25" t="inlineStr">
        <is>
          <t xml:space="preserve">yfinance Ticker.info</t>
        </is>
      </c>
      <c r="E50" s="7" t="inlineStr">
        <is>
          <t xml:space="preserve">2026-08-17T17:22:56.069590+00:00</t>
        </is>
      </c>
      <c r="F50" s="7" t="inlineStr">
        <is>
          <t xml:space="preserve">reported (unchanged from original freeze)</t>
        </is>
      </c>
      <c r="G50" s="25" t="inlineStr">
        <is>
          <t xml:space="preserve">https://finance.yahoo.com/quote/CAT</t>
        </is>
      </c>
    </row>
    <row r="52">
      <c r="A52" s="3" t="inlineStr">
        <is>
          <t xml:space="preserve">INTC — INTEL CORP (CIK 0000050863)</t>
        </is>
      </c>
      <c r="B52" s="3"/>
      <c r="C52" s="3"/>
      <c r="D52" s="3"/>
      <c r="E52" s="3"/>
      <c r="F52" s="3"/>
      <c r="G52" s="3"/>
      <c r="H52" s="3"/>
    </row>
    <row r="53">
      <c r="A53" s="4" t="inlineStr">
        <is>
          <t xml:space="preserve">Field</t>
        </is>
      </c>
      <c r="B53" s="4" t="inlineStr">
        <is>
          <t xml:space="preserve">Fiscal Period / Timestamp</t>
        </is>
      </c>
      <c r="C53" s="4" t="inlineStr">
        <is>
          <t xml:space="preserve">XBRL Tag / Source</t>
        </is>
      </c>
      <c r="D53" s="4" t="inlineStr">
        <is>
          <t xml:space="preserve">Filing Accession</t>
        </is>
      </c>
      <c r="E53" s="4" t="inlineStr">
        <is>
          <t xml:space="preserve">Filed / Retrieved Date</t>
        </is>
      </c>
      <c r="F53" s="4" t="inlineStr">
        <is>
          <t xml:space="preserve">Provenance</t>
        </is>
      </c>
      <c r="G53" s="4" t="inlineStr">
        <is>
          <t xml:space="preserve">Source URL</t>
        </is>
      </c>
    </row>
    <row r="54">
      <c r="A54" s="7" t="inlineStr">
        <is>
          <t xml:space="preserve">Revenue</t>
        </is>
      </c>
      <c r="B54" s="7" t="inlineStr">
        <is>
          <t xml:space="preserve">2021-12-25</t>
        </is>
      </c>
      <c r="C54" s="25" t="inlineStr">
        <is>
          <t xml:space="preserve">RevenueFromContractWithCustomerExcludingAssessedTax</t>
        </is>
      </c>
      <c r="D54" s="25" t="inlineStr">
        <is>
          <t xml:space="preserve">0000050863-22-000007</t>
        </is>
      </c>
      <c r="E54" s="7" t="inlineStr">
        <is>
          <t xml:space="preserve">2022-01-27</t>
        </is>
      </c>
      <c r="F54" s="7" t="inlineStr">
        <is>
          <t xml:space="preserve">reported</t>
        </is>
      </c>
      <c r="G54" s="25" t="inlineStr">
        <is>
          <t xml:space="preserve">https://www.sec.gov/Archives/edgar/data/50863/000005086322000007/0000050863-22-000007-index.htm</t>
        </is>
      </c>
    </row>
    <row r="55">
      <c r="A55" s="7" t="inlineStr">
        <is>
          <t xml:space="preserve">EBIT/Operating Income</t>
        </is>
      </c>
      <c r="B55" s="7" t="inlineStr">
        <is>
          <t xml:space="preserve">2021-12-25</t>
        </is>
      </c>
      <c r="C55" s="25" t="inlineStr">
        <is>
          <t xml:space="preserve">OperatingIncomeLoss</t>
        </is>
      </c>
      <c r="D55" s="25" t="inlineStr">
        <is>
          <t xml:space="preserve">0000050863-22-000007</t>
        </is>
      </c>
      <c r="E55" s="7" t="inlineStr">
        <is>
          <t xml:space="preserve">2022-01-27</t>
        </is>
      </c>
      <c r="F55" s="7" t="inlineStr">
        <is>
          <t xml:space="preserve">reported</t>
        </is>
      </c>
      <c r="G55" s="25" t="inlineStr">
        <is>
          <t xml:space="preserve">https://www.sec.gov/Archives/edgar/data/50863/000005086322000007/0000050863-22-000007-index.htm</t>
        </is>
      </c>
    </row>
    <row r="56">
      <c r="A56" s="7" t="inlineStr">
        <is>
          <t xml:space="preserve">Revenue</t>
        </is>
      </c>
      <c r="B56" s="7" t="inlineStr">
        <is>
          <t xml:space="preserve">2022-12-31</t>
        </is>
      </c>
      <c r="C56" s="25" t="inlineStr">
        <is>
          <t xml:space="preserve">RevenueFromContractWithCustomerExcludingAssessedTax</t>
        </is>
      </c>
      <c r="D56" s="25" t="inlineStr">
        <is>
          <t xml:space="preserve">0000050863-23-000006</t>
        </is>
      </c>
      <c r="E56" s="7" t="inlineStr">
        <is>
          <t xml:space="preserve">2023-01-27</t>
        </is>
      </c>
      <c r="F56" s="7" t="inlineStr">
        <is>
          <t xml:space="preserve">reported</t>
        </is>
      </c>
      <c r="G56" s="25" t="inlineStr">
        <is>
          <t xml:space="preserve">https://www.sec.gov/Archives/edgar/data/50863/000005086323000006/0000050863-23-000006-index.htm</t>
        </is>
      </c>
    </row>
    <row r="57">
      <c r="A57" s="7" t="inlineStr">
        <is>
          <t xml:space="preserve">EBIT/Operating Income</t>
        </is>
      </c>
      <c r="B57" s="7" t="inlineStr">
        <is>
          <t xml:space="preserve">2022-12-31</t>
        </is>
      </c>
      <c r="C57" s="25" t="inlineStr">
        <is>
          <t xml:space="preserve">OperatingIncomeLoss</t>
        </is>
      </c>
      <c r="D57" s="25" t="inlineStr">
        <is>
          <t xml:space="preserve">0000050863-23-000006</t>
        </is>
      </c>
      <c r="E57" s="7" t="inlineStr">
        <is>
          <t xml:space="preserve">2023-01-27</t>
        </is>
      </c>
      <c r="F57" s="7" t="inlineStr">
        <is>
          <t xml:space="preserve">reported</t>
        </is>
      </c>
      <c r="G57" s="25" t="inlineStr">
        <is>
          <t xml:space="preserve">https://www.sec.gov/Archives/edgar/data/50863/000005086323000006/0000050863-23-000006-index.htm</t>
        </is>
      </c>
    </row>
    <row r="58">
      <c r="A58" s="7" t="inlineStr">
        <is>
          <t xml:space="preserve">Revenue</t>
        </is>
      </c>
      <c r="B58" s="7" t="inlineStr">
        <is>
          <t xml:space="preserve">2023-12-30</t>
        </is>
      </c>
      <c r="C58" s="25" t="inlineStr">
        <is>
          <t xml:space="preserve">RevenueFromContractWithCustomerExcludingAssessedTax</t>
        </is>
      </c>
      <c r="D58" s="25" t="inlineStr">
        <is>
          <t xml:space="preserve">0000050863-24-000010</t>
        </is>
      </c>
      <c r="E58" s="7" t="inlineStr">
        <is>
          <t xml:space="preserve">2024-01-26</t>
        </is>
      </c>
      <c r="F58" s="7" t="inlineStr">
        <is>
          <t xml:space="preserve">reported</t>
        </is>
      </c>
      <c r="G58" s="25" t="inlineStr">
        <is>
          <t xml:space="preserve">https://www.sec.gov/Archives/edgar/data/50863/000005086324000010/0000050863-24-000010-index.htm</t>
        </is>
      </c>
    </row>
    <row r="59">
      <c r="A59" s="7" t="inlineStr">
        <is>
          <t xml:space="preserve">EBIT/Operating Income</t>
        </is>
      </c>
      <c r="B59" s="7" t="inlineStr">
        <is>
          <t xml:space="preserve">2023-12-30</t>
        </is>
      </c>
      <c r="C59" s="25" t="inlineStr">
        <is>
          <t xml:space="preserve">OperatingIncomeLoss</t>
        </is>
      </c>
      <c r="D59" s="25" t="inlineStr">
        <is>
          <t xml:space="preserve">0000050863-24-000010</t>
        </is>
      </c>
      <c r="E59" s="7" t="inlineStr">
        <is>
          <t xml:space="preserve">2024-01-26</t>
        </is>
      </c>
      <c r="F59" s="7" t="inlineStr">
        <is>
          <t xml:space="preserve">reported</t>
        </is>
      </c>
      <c r="G59" s="25" t="inlineStr">
        <is>
          <t xml:space="preserve">https://www.sec.gov/Archives/edgar/data/50863/000005086324000010/0000050863-24-000010-index.htm</t>
        </is>
      </c>
    </row>
    <row r="60">
      <c r="A60" s="7" t="inlineStr">
        <is>
          <t xml:space="preserve">Revenue</t>
        </is>
      </c>
      <c r="B60" s="7" t="inlineStr">
        <is>
          <t xml:space="preserve">2024-12-28</t>
        </is>
      </c>
      <c r="C60" s="25" t="inlineStr">
        <is>
          <t xml:space="preserve">RevenueFromContractWithCustomerExcludingAssessedTax</t>
        </is>
      </c>
      <c r="D60" s="25" t="inlineStr">
        <is>
          <t xml:space="preserve">0000050863-25-000009</t>
        </is>
      </c>
      <c r="E60" s="7" t="inlineStr">
        <is>
          <t xml:space="preserve">2025-01-31</t>
        </is>
      </c>
      <c r="F60" s="7" t="inlineStr">
        <is>
          <t xml:space="preserve">reported</t>
        </is>
      </c>
      <c r="G60" s="25" t="inlineStr">
        <is>
          <t xml:space="preserve">https://www.sec.gov/Archives/edgar/data/50863/000005086325000009/0000050863-25-000009-index.htm</t>
        </is>
      </c>
    </row>
    <row r="61">
      <c r="A61" s="7" t="inlineStr">
        <is>
          <t xml:space="preserve">EBIT/Operating Income</t>
        </is>
      </c>
      <c r="B61" s="7" t="inlineStr">
        <is>
          <t xml:space="preserve">2024-12-28</t>
        </is>
      </c>
      <c r="C61" s="25" t="inlineStr">
        <is>
          <t xml:space="preserve">OperatingIncomeLoss</t>
        </is>
      </c>
      <c r="D61" s="25" t="inlineStr">
        <is>
          <t xml:space="preserve">0000050863-25-000009</t>
        </is>
      </c>
      <c r="E61" s="7" t="inlineStr">
        <is>
          <t xml:space="preserve">2025-01-31</t>
        </is>
      </c>
      <c r="F61" s="7" t="inlineStr">
        <is>
          <t xml:space="preserve">reported</t>
        </is>
      </c>
      <c r="G61" s="25" t="inlineStr">
        <is>
          <t xml:space="preserve">https://www.sec.gov/Archives/edgar/data/50863/000005086325000009/0000050863-25-000009-index.htm</t>
        </is>
      </c>
    </row>
    <row r="62">
      <c r="A62" s="7" t="inlineStr">
        <is>
          <t xml:space="preserve">Revenue</t>
        </is>
      </c>
      <c r="B62" s="7" t="inlineStr">
        <is>
          <t xml:space="preserve">2025-12-27</t>
        </is>
      </c>
      <c r="C62" s="25" t="inlineStr">
        <is>
          <t xml:space="preserve">RevenueFromContractWithCustomerExcludingAssessedTax</t>
        </is>
      </c>
      <c r="D62" s="25" t="inlineStr">
        <is>
          <t xml:space="preserve">0000050863-26-000011</t>
        </is>
      </c>
      <c r="E62" s="7" t="inlineStr">
        <is>
          <t xml:space="preserve">2026-01-23</t>
        </is>
      </c>
      <c r="F62" s="7" t="inlineStr">
        <is>
          <t xml:space="preserve">reported</t>
        </is>
      </c>
      <c r="G62" s="25" t="inlineStr">
        <is>
          <t xml:space="preserve">https://www.sec.gov/Archives/edgar/data/50863/000005086326000011/0000050863-26-000011-index.htm</t>
        </is>
      </c>
    </row>
    <row r="63">
      <c r="A63" s="7" t="inlineStr">
        <is>
          <t xml:space="preserve">EBIT/Operating Income</t>
        </is>
      </c>
      <c r="B63" s="7" t="inlineStr">
        <is>
          <t xml:space="preserve">2025-12-27</t>
        </is>
      </c>
      <c r="C63" s="25" t="inlineStr">
        <is>
          <t xml:space="preserve">OperatingIncomeLoss</t>
        </is>
      </c>
      <c r="D63" s="25" t="inlineStr">
        <is>
          <t xml:space="preserve">0000050863-26-000011</t>
        </is>
      </c>
      <c r="E63" s="7" t="inlineStr">
        <is>
          <t xml:space="preserve">2026-01-23</t>
        </is>
      </c>
      <c r="F63" s="7" t="inlineStr">
        <is>
          <t xml:space="preserve">reported</t>
        </is>
      </c>
      <c r="G63" s="25" t="inlineStr">
        <is>
          <t xml:space="preserve">https://www.sec.gov/Archives/edgar/data/50863/000005086326000011/0000050863-26-000011-index.htm</t>
        </is>
      </c>
    </row>
    <row r="64">
      <c r="A64" s="7" t="inlineStr">
        <is>
          <t xml:space="preserve">Pretax Income (latest)</t>
        </is>
      </c>
      <c r="B64" s="7" t="inlineStr">
        <is>
          <t xml:space="preserve">2025-12-27</t>
        </is>
      </c>
      <c r="C64" s="25" t="inlineStr">
        <is>
          <t xml:space="preserve">IncomeLossFromContinuingOperationsBeforeIncomeTaxesExtraordinaryItemsNoncontrollingInterest</t>
        </is>
      </c>
      <c r="D64" s="25" t="inlineStr">
        <is>
          <t xml:space="preserve">0000050863-26-000011</t>
        </is>
      </c>
      <c r="E64" s="7" t="inlineStr">
        <is>
          <t xml:space="preserve">2026-01-23</t>
        </is>
      </c>
      <c r="F64" s="7" t="inlineStr">
        <is>
          <t xml:space="preserve">reported</t>
        </is>
      </c>
      <c r="G64" s="25" t="inlineStr">
        <is>
          <t xml:space="preserve">https://www.sec.gov/Archives/edgar/data/50863/000005086326000011/0000050863-26-000011-index.htm</t>
        </is>
      </c>
    </row>
    <row r="65">
      <c r="A65" s="7" t="inlineStr">
        <is>
          <t xml:space="preserve">Tax Provision (latest)</t>
        </is>
      </c>
      <c r="B65" s="7" t="inlineStr">
        <is>
          <t xml:space="preserve">2025-12-27</t>
        </is>
      </c>
      <c r="C65" s="25" t="inlineStr">
        <is>
          <t xml:space="preserve">IncomeTaxExpenseBenefit</t>
        </is>
      </c>
      <c r="D65" s="25" t="inlineStr">
        <is>
          <t xml:space="preserve">0000050863-26-000011</t>
        </is>
      </c>
      <c r="E65" s="7" t="inlineStr">
        <is>
          <t xml:space="preserve">2026-01-23</t>
        </is>
      </c>
      <c r="F65" s="7" t="inlineStr">
        <is>
          <t xml:space="preserve">reported</t>
        </is>
      </c>
      <c r="G65" s="25" t="inlineStr">
        <is>
          <t xml:space="preserve">https://www.sec.gov/Archives/edgar/data/50863/000005086326000011/0000050863-26-000011-index.htm</t>
        </is>
      </c>
    </row>
    <row r="66">
      <c r="A66" s="7" t="inlineStr">
        <is>
          <t xml:space="preserve">Interest Expense (latest)</t>
        </is>
      </c>
      <c r="B66" s="7" t="inlineStr">
        <is>
          <t xml:space="preserve">2025-12-27</t>
        </is>
      </c>
      <c r="C66" s="25" t="inlineStr">
        <is>
          <t xml:space="preserve">InterestExpenseNonoperating</t>
        </is>
      </c>
      <c r="D66" s="25" t="inlineStr">
        <is>
          <t xml:space="preserve">0000050863-26-000011</t>
        </is>
      </c>
      <c r="E66" s="7" t="inlineStr">
        <is>
          <t xml:space="preserve">2026-01-23</t>
        </is>
      </c>
      <c r="F66" s="7" t="inlineStr">
        <is>
          <t xml:space="preserve">reported</t>
        </is>
      </c>
      <c r="G66" s="25" t="inlineStr">
        <is>
          <t xml:space="preserve">https://www.sec.gov/Archives/edgar/data/50863/000005086326000011/0000050863-26-000011-index.htm</t>
        </is>
      </c>
    </row>
    <row r="67">
      <c r="A67" s="7" t="inlineStr">
        <is>
          <t xml:space="preserve">Cash &amp; Equivalents (latest)</t>
        </is>
      </c>
      <c r="B67" s="7" t="inlineStr">
        <is>
          <t xml:space="preserve">2025-12-27</t>
        </is>
      </c>
      <c r="C67" s="25" t="inlineStr">
        <is>
          <t xml:space="preserve">CashAndCashEquivalentsAtCarryingValue</t>
        </is>
      </c>
      <c r="D67" s="25" t="inlineStr">
        <is>
          <t xml:space="preserve">0000050863-26-000011</t>
        </is>
      </c>
      <c r="E67" s="7" t="inlineStr">
        <is>
          <t xml:space="preserve">2026-01-23</t>
        </is>
      </c>
      <c r="F67" s="7" t="inlineStr">
        <is>
          <t xml:space="preserve">reported</t>
        </is>
      </c>
      <c r="G67" s="25" t="inlineStr">
        <is>
          <t xml:space="preserve">https://www.sec.gov/Archives/edgar/data/50863/000005086326000011/0000050863-26-000011-index.htm</t>
        </is>
      </c>
    </row>
    <row r="68">
      <c r="A68" s="7" t="inlineStr">
        <is>
          <t xml:space="preserve">Total Debt component: LongTermDebtCurrent</t>
        </is>
      </c>
      <c r="B68" s="7" t="inlineStr">
        <is>
          <t xml:space="preserve">2025-12-27</t>
        </is>
      </c>
      <c r="C68" s="25" t="inlineStr">
        <is>
          <t xml:space="preserve">LongTermDebtCurrent</t>
        </is>
      </c>
      <c r="D68" s="25" t="inlineStr">
        <is>
          <t xml:space="preserve">0000050863-26-000011</t>
        </is>
      </c>
      <c r="E68" s="7" t="inlineStr">
        <is>
          <t xml:space="preserve">2026-01-23</t>
        </is>
      </c>
      <c r="F68" s="7" t="inlineStr">
        <is>
          <t xml:space="preserve">reported (component)</t>
        </is>
      </c>
      <c r="G68" s="25" t="inlineStr">
        <is>
          <t xml:space="preserve">https://www.sec.gov/Archives/edgar/data/50863/000005086326000011/0000050863-26-000011-index.htm</t>
        </is>
      </c>
    </row>
    <row r="69">
      <c r="A69" s="7" t="inlineStr">
        <is>
          <t xml:space="preserve">Total Debt component: LongTermDebtNoncurrent</t>
        </is>
      </c>
      <c r="B69" s="7" t="inlineStr">
        <is>
          <t xml:space="preserve">2025-12-27</t>
        </is>
      </c>
      <c r="C69" s="25" t="inlineStr">
        <is>
          <t xml:space="preserve">LongTermDebtNoncurrent</t>
        </is>
      </c>
      <c r="D69" s="25" t="inlineStr">
        <is>
          <t xml:space="preserve">0000050863-26-000011</t>
        </is>
      </c>
      <c r="E69" s="7" t="inlineStr">
        <is>
          <t xml:space="preserve">2026-01-23</t>
        </is>
      </c>
      <c r="F69" s="7" t="inlineStr">
        <is>
          <t xml:space="preserve">reported (component)</t>
        </is>
      </c>
      <c r="G69" s="25" t="inlineStr">
        <is>
          <t xml:space="preserve">https://www.sec.gov/Archives/edgar/data/50863/000005086326000011/0000050863-26-000011-index.htm</t>
        </is>
      </c>
    </row>
    <row r="70">
      <c r="A70" s="8" t="inlineStr">
        <is>
          <t xml:space="preserve">Total Debt (latest, derived)</t>
        </is>
      </c>
      <c r="B70" s="7" t="inlineStr">
        <is>
          <t xml:space="preserve">2025-12-27</t>
        </is>
      </c>
      <c r="C70" s="25" t="inlineStr">
        <is>
          <t xml:space="preserve">Total Debt = LongTermDebtNoncurrent ($44,086,000,000) + LongTermDebtCurrent ($2,499,000,000) = $46,585,000,000</t>
        </is>
      </c>
      <c r="D70" s="25" t="inlineStr">
        <is>
          <t xml:space="preserve">0000050863-26-000011</t>
        </is>
      </c>
      <c r="E70" s="7" t="inlineStr">
        <is>
          <t xml:space="preserve">2026-01-23</t>
        </is>
      </c>
      <c r="F70" s="7" t="inlineStr">
        <is>
          <t xml:space="preserve">derived (sum of components above)</t>
        </is>
      </c>
      <c r="G70" s="25" t="inlineStr">
        <is>
          <t xml:space="preserve">https://www.sec.gov/Archives/edgar/data/50863/000005086326000011/0000050863-26-000011-index.htm</t>
        </is>
      </c>
    </row>
    <row r="71">
      <c r="A71" s="7" t="inlineStr">
        <is>
          <t xml:space="preserve">Price / Shares / Beta / Sector</t>
        </is>
      </c>
      <c r="B71" s="7" t="inlineStr">
        <is>
          <t xml:space="preserve">2026-08-17T17:22:56.613849+00:00</t>
        </is>
      </c>
      <c r="C71" s="25" t="inlineStr">
        <is>
          <t xml:space="preserve">yfinance Ticker.info</t>
        </is>
      </c>
      <c r="E71" s="7" t="inlineStr">
        <is>
          <t xml:space="preserve">2026-08-17T17:22:56.613849+00:00</t>
        </is>
      </c>
      <c r="F71" s="7" t="inlineStr">
        <is>
          <t xml:space="preserve">reported (unchanged from original freeze)</t>
        </is>
      </c>
      <c r="G71" s="25" t="inlineStr">
        <is>
          <t xml:space="preserve">https://finance.yahoo.com/quote/INTC</t>
        </is>
      </c>
    </row>
    <row r="73">
      <c r="A73" s="3" t="inlineStr">
        <is>
          <t xml:space="preserve">VZ — VERIZON COMMUNICATIONS INC (CIK 0000732712)</t>
        </is>
      </c>
      <c r="B73" s="3"/>
      <c r="C73" s="3"/>
      <c r="D73" s="3"/>
      <c r="E73" s="3"/>
      <c r="F73" s="3"/>
      <c r="G73" s="3"/>
      <c r="H73" s="3"/>
    </row>
    <row r="74">
      <c r="A74" s="4" t="inlineStr">
        <is>
          <t xml:space="preserve">Field</t>
        </is>
      </c>
      <c r="B74" s="4" t="inlineStr">
        <is>
          <t xml:space="preserve">Fiscal Period / Timestamp</t>
        </is>
      </c>
      <c r="C74" s="4" t="inlineStr">
        <is>
          <t xml:space="preserve">XBRL Tag / Source</t>
        </is>
      </c>
      <c r="D74" s="4" t="inlineStr">
        <is>
          <t xml:space="preserve">Filing Accession</t>
        </is>
      </c>
      <c r="E74" s="4" t="inlineStr">
        <is>
          <t xml:space="preserve">Filed / Retrieved Date</t>
        </is>
      </c>
      <c r="F74" s="4" t="inlineStr">
        <is>
          <t xml:space="preserve">Provenance</t>
        </is>
      </c>
      <c r="G74" s="4" t="inlineStr">
        <is>
          <t xml:space="preserve">Source URL</t>
        </is>
      </c>
    </row>
    <row r="75">
      <c r="A75" s="7" t="inlineStr">
        <is>
          <t xml:space="preserve">Revenue</t>
        </is>
      </c>
      <c r="B75" s="7" t="inlineStr">
        <is>
          <t xml:space="preserve">2021-12-31</t>
        </is>
      </c>
      <c r="C75" s="25" t="inlineStr">
        <is>
          <t xml:space="preserve">Revenues</t>
        </is>
      </c>
      <c r="D75" s="25" t="inlineStr">
        <is>
          <t xml:space="preserve">0000732712-22-000008</t>
        </is>
      </c>
      <c r="E75" s="7" t="inlineStr">
        <is>
          <t xml:space="preserve">2022-02-11</t>
        </is>
      </c>
      <c r="F75" s="7" t="inlineStr">
        <is>
          <t xml:space="preserve">reported</t>
        </is>
      </c>
      <c r="G75" s="25" t="inlineStr">
        <is>
          <t xml:space="preserve">https://www.sec.gov/Archives/edgar/data/732712/000073271222000008/0000732712-22-000008-index.htm</t>
        </is>
      </c>
    </row>
    <row r="76">
      <c r="A76" s="7" t="inlineStr">
        <is>
          <t xml:space="preserve">EBIT/Operating Income</t>
        </is>
      </c>
      <c r="B76" s="7" t="inlineStr">
        <is>
          <t xml:space="preserve">2021-12-31</t>
        </is>
      </c>
      <c r="C76" s="25" t="inlineStr">
        <is>
          <t xml:space="preserve">OperatingIncomeLoss</t>
        </is>
      </c>
      <c r="D76" s="25" t="inlineStr">
        <is>
          <t xml:space="preserve">0000732712-22-000008</t>
        </is>
      </c>
      <c r="E76" s="7" t="inlineStr">
        <is>
          <t xml:space="preserve">2022-02-11</t>
        </is>
      </c>
      <c r="F76" s="7" t="inlineStr">
        <is>
          <t xml:space="preserve">reported</t>
        </is>
      </c>
      <c r="G76" s="25" t="inlineStr">
        <is>
          <t xml:space="preserve">https://www.sec.gov/Archives/edgar/data/732712/000073271222000008/0000732712-22-000008-index.htm</t>
        </is>
      </c>
    </row>
    <row r="77">
      <c r="A77" s="7" t="inlineStr">
        <is>
          <t xml:space="preserve">Revenue</t>
        </is>
      </c>
      <c r="B77" s="7" t="inlineStr">
        <is>
          <t xml:space="preserve">2022-12-31</t>
        </is>
      </c>
      <c r="C77" s="25" t="inlineStr">
        <is>
          <t xml:space="preserve">Revenues</t>
        </is>
      </c>
      <c r="D77" s="25" t="inlineStr">
        <is>
          <t xml:space="preserve">0000732712-23-000012</t>
        </is>
      </c>
      <c r="E77" s="7" t="inlineStr">
        <is>
          <t xml:space="preserve">2023-02-10</t>
        </is>
      </c>
      <c r="F77" s="7" t="inlineStr">
        <is>
          <t xml:space="preserve">reported</t>
        </is>
      </c>
      <c r="G77" s="25" t="inlineStr">
        <is>
          <t xml:space="preserve">https://www.sec.gov/Archives/edgar/data/732712/000073271223000012/0000732712-23-000012-index.htm</t>
        </is>
      </c>
    </row>
    <row r="78">
      <c r="A78" s="7" t="inlineStr">
        <is>
          <t xml:space="preserve">EBIT/Operating Income</t>
        </is>
      </c>
      <c r="B78" s="7" t="inlineStr">
        <is>
          <t xml:space="preserve">2022-12-31</t>
        </is>
      </c>
      <c r="C78" s="25" t="inlineStr">
        <is>
          <t xml:space="preserve">OperatingIncomeLoss</t>
        </is>
      </c>
      <c r="D78" s="25" t="inlineStr">
        <is>
          <t xml:space="preserve">0000732712-23-000012</t>
        </is>
      </c>
      <c r="E78" s="7" t="inlineStr">
        <is>
          <t xml:space="preserve">2023-02-10</t>
        </is>
      </c>
      <c r="F78" s="7" t="inlineStr">
        <is>
          <t xml:space="preserve">reported</t>
        </is>
      </c>
      <c r="G78" s="25" t="inlineStr">
        <is>
          <t xml:space="preserve">https://www.sec.gov/Archives/edgar/data/732712/000073271223000012/0000732712-23-000012-index.htm</t>
        </is>
      </c>
    </row>
    <row r="79">
      <c r="A79" s="7" t="inlineStr">
        <is>
          <t xml:space="preserve">Revenue</t>
        </is>
      </c>
      <c r="B79" s="7" t="inlineStr">
        <is>
          <t xml:space="preserve">2023-12-31</t>
        </is>
      </c>
      <c r="C79" s="25" t="inlineStr">
        <is>
          <t xml:space="preserve">Revenues</t>
        </is>
      </c>
      <c r="D79" s="25" t="inlineStr">
        <is>
          <t xml:space="preserve">0000732712-24-000010</t>
        </is>
      </c>
      <c r="E79" s="7" t="inlineStr">
        <is>
          <t xml:space="preserve">2024-02-09</t>
        </is>
      </c>
      <c r="F79" s="7" t="inlineStr">
        <is>
          <t xml:space="preserve">reported</t>
        </is>
      </c>
      <c r="G79" s="25" t="inlineStr">
        <is>
          <t xml:space="preserve">https://www.sec.gov/Archives/edgar/data/732712/000073271224000010/0000732712-24-000010-index.htm</t>
        </is>
      </c>
    </row>
    <row r="80">
      <c r="A80" s="7" t="inlineStr">
        <is>
          <t xml:space="preserve">EBIT/Operating Income</t>
        </is>
      </c>
      <c r="B80" s="7" t="inlineStr">
        <is>
          <t xml:space="preserve">2023-12-31</t>
        </is>
      </c>
      <c r="C80" s="25" t="inlineStr">
        <is>
          <t xml:space="preserve">OperatingIncomeLoss</t>
        </is>
      </c>
      <c r="D80" s="25" t="inlineStr">
        <is>
          <t xml:space="preserve">0000732712-24-000010</t>
        </is>
      </c>
      <c r="E80" s="7" t="inlineStr">
        <is>
          <t xml:space="preserve">2024-02-09</t>
        </is>
      </c>
      <c r="F80" s="7" t="inlineStr">
        <is>
          <t xml:space="preserve">reported</t>
        </is>
      </c>
      <c r="G80" s="25" t="inlineStr">
        <is>
          <t xml:space="preserve">https://www.sec.gov/Archives/edgar/data/732712/000073271224000010/0000732712-24-000010-index.htm</t>
        </is>
      </c>
    </row>
    <row r="81">
      <c r="A81" s="7" t="inlineStr">
        <is>
          <t xml:space="preserve">Revenue</t>
        </is>
      </c>
      <c r="B81" s="7" t="inlineStr">
        <is>
          <t xml:space="preserve">2024-12-31</t>
        </is>
      </c>
      <c r="C81" s="25" t="inlineStr">
        <is>
          <t xml:space="preserve">Revenues</t>
        </is>
      </c>
      <c r="D81" s="25" t="inlineStr">
        <is>
          <t xml:space="preserve">0000732712-25-000006</t>
        </is>
      </c>
      <c r="E81" s="7" t="inlineStr">
        <is>
          <t xml:space="preserve">2025-02-12</t>
        </is>
      </c>
      <c r="F81" s="7" t="inlineStr">
        <is>
          <t xml:space="preserve">reported</t>
        </is>
      </c>
      <c r="G81" s="25" t="inlineStr">
        <is>
          <t xml:space="preserve">https://www.sec.gov/Archives/edgar/data/732712/000073271225000006/0000732712-25-000006-index.htm</t>
        </is>
      </c>
    </row>
    <row r="82">
      <c r="A82" s="7" t="inlineStr">
        <is>
          <t xml:space="preserve">EBIT/Operating Income</t>
        </is>
      </c>
      <c r="B82" s="7" t="inlineStr">
        <is>
          <t xml:space="preserve">2024-12-31</t>
        </is>
      </c>
      <c r="C82" s="25" t="inlineStr">
        <is>
          <t xml:space="preserve">OperatingIncomeLoss</t>
        </is>
      </c>
      <c r="D82" s="25" t="inlineStr">
        <is>
          <t xml:space="preserve">0000732712-25-000006</t>
        </is>
      </c>
      <c r="E82" s="7" t="inlineStr">
        <is>
          <t xml:space="preserve">2025-02-12</t>
        </is>
      </c>
      <c r="F82" s="7" t="inlineStr">
        <is>
          <t xml:space="preserve">reported</t>
        </is>
      </c>
      <c r="G82" s="25" t="inlineStr">
        <is>
          <t xml:space="preserve">https://www.sec.gov/Archives/edgar/data/732712/000073271225000006/0000732712-25-000006-index.htm</t>
        </is>
      </c>
    </row>
    <row r="83">
      <c r="A83" s="7" t="inlineStr">
        <is>
          <t xml:space="preserve">Revenue</t>
        </is>
      </c>
      <c r="B83" s="7" t="inlineStr">
        <is>
          <t xml:space="preserve">2025-12-31</t>
        </is>
      </c>
      <c r="C83" s="25" t="inlineStr">
        <is>
          <t xml:space="preserve">Revenues</t>
        </is>
      </c>
      <c r="D83" s="25" t="inlineStr">
        <is>
          <t xml:space="preserve">0000732712-26-000007</t>
        </is>
      </c>
      <c r="E83" s="7" t="inlineStr">
        <is>
          <t xml:space="preserve">2026-02-17</t>
        </is>
      </c>
      <c r="F83" s="7" t="inlineStr">
        <is>
          <t xml:space="preserve">reported</t>
        </is>
      </c>
      <c r="G83" s="25" t="inlineStr">
        <is>
          <t xml:space="preserve">https://www.sec.gov/Archives/edgar/data/732712/000073271226000007/0000732712-26-000007-index.htm</t>
        </is>
      </c>
    </row>
    <row r="84">
      <c r="A84" s="7" t="inlineStr">
        <is>
          <t xml:space="preserve">EBIT/Operating Income</t>
        </is>
      </c>
      <c r="B84" s="7" t="inlineStr">
        <is>
          <t xml:space="preserve">2025-12-31</t>
        </is>
      </c>
      <c r="C84" s="25" t="inlineStr">
        <is>
          <t xml:space="preserve">OperatingIncomeLoss</t>
        </is>
      </c>
      <c r="D84" s="25" t="inlineStr">
        <is>
          <t xml:space="preserve">0000732712-26-000007</t>
        </is>
      </c>
      <c r="E84" s="7" t="inlineStr">
        <is>
          <t xml:space="preserve">2026-02-17</t>
        </is>
      </c>
      <c r="F84" s="7" t="inlineStr">
        <is>
          <t xml:space="preserve">reported</t>
        </is>
      </c>
      <c r="G84" s="25" t="inlineStr">
        <is>
          <t xml:space="preserve">https://www.sec.gov/Archives/edgar/data/732712/000073271226000007/0000732712-26-000007-index.htm</t>
        </is>
      </c>
    </row>
    <row r="85">
      <c r="A85" s="7" t="inlineStr">
        <is>
          <t xml:space="preserve">Pretax Income (latest)</t>
        </is>
      </c>
      <c r="B85" s="7" t="inlineStr">
        <is>
          <t xml:space="preserve">2025-12-31</t>
        </is>
      </c>
      <c r="C85" s="25" t="inlineStr">
        <is>
          <t xml:space="preserve">IncomeLossFromContinuingOperationsBeforeIncomeTaxesExtraordinaryItemsNoncontrollingInterest</t>
        </is>
      </c>
      <c r="D85" s="25" t="inlineStr">
        <is>
          <t xml:space="preserve">0000732712-26-000007</t>
        </is>
      </c>
      <c r="E85" s="7" t="inlineStr">
        <is>
          <t xml:space="preserve">2026-02-17</t>
        </is>
      </c>
      <c r="F85" s="7" t="inlineStr">
        <is>
          <t xml:space="preserve">reported</t>
        </is>
      </c>
      <c r="G85" s="25" t="inlineStr">
        <is>
          <t xml:space="preserve">https://www.sec.gov/Archives/edgar/data/732712/000073271226000007/0000732712-26-000007-index.htm</t>
        </is>
      </c>
    </row>
    <row r="86">
      <c r="A86" s="7" t="inlineStr">
        <is>
          <t xml:space="preserve">Tax Provision (latest)</t>
        </is>
      </c>
      <c r="B86" s="7" t="inlineStr">
        <is>
          <t xml:space="preserve">2025-12-31</t>
        </is>
      </c>
      <c r="C86" s="25" t="inlineStr">
        <is>
          <t xml:space="preserve">IncomeTaxExpenseBenefit</t>
        </is>
      </c>
      <c r="D86" s="25" t="inlineStr">
        <is>
          <t xml:space="preserve">0000732712-26-000007</t>
        </is>
      </c>
      <c r="E86" s="7" t="inlineStr">
        <is>
          <t xml:space="preserve">2026-02-17</t>
        </is>
      </c>
      <c r="F86" s="7" t="inlineStr">
        <is>
          <t xml:space="preserve">reported</t>
        </is>
      </c>
      <c r="G86" s="25" t="inlineStr">
        <is>
          <t xml:space="preserve">https://www.sec.gov/Archives/edgar/data/732712/000073271226000007/0000732712-26-000007-index.htm</t>
        </is>
      </c>
    </row>
    <row r="87">
      <c r="A87" s="7" t="inlineStr">
        <is>
          <t xml:space="preserve">Interest Expense (latest)</t>
        </is>
      </c>
      <c r="B87" s="7" t="inlineStr">
        <is>
          <t xml:space="preserve">2025-12-31</t>
        </is>
      </c>
      <c r="C87" s="25" t="inlineStr">
        <is>
          <t xml:space="preserve">InterestExpenseNonoperating</t>
        </is>
      </c>
      <c r="D87" s="25" t="inlineStr">
        <is>
          <t xml:space="preserve">0000732712-26-000007</t>
        </is>
      </c>
      <c r="E87" s="7" t="inlineStr">
        <is>
          <t xml:space="preserve">2026-02-17</t>
        </is>
      </c>
      <c r="F87" s="7" t="inlineStr">
        <is>
          <t xml:space="preserve">reported</t>
        </is>
      </c>
      <c r="G87" s="25" t="inlineStr">
        <is>
          <t xml:space="preserve">https://www.sec.gov/Archives/edgar/data/732712/000073271226000007/0000732712-26-000007-index.htm</t>
        </is>
      </c>
    </row>
    <row r="88">
      <c r="A88" s="7" t="inlineStr">
        <is>
          <t xml:space="preserve">Cash &amp; Equivalents (latest)</t>
        </is>
      </c>
      <c r="B88" s="7" t="inlineStr">
        <is>
          <t xml:space="preserve">2025-12-31</t>
        </is>
      </c>
      <c r="C88" s="25" t="inlineStr">
        <is>
          <t xml:space="preserve">CashAndCashEquivalentsAtCarryingValue</t>
        </is>
      </c>
      <c r="D88" s="25" t="inlineStr">
        <is>
          <t xml:space="preserve">0000732712-26-000007</t>
        </is>
      </c>
      <c r="E88" s="7" t="inlineStr">
        <is>
          <t xml:space="preserve">2026-02-17</t>
        </is>
      </c>
      <c r="F88" s="7" t="inlineStr">
        <is>
          <t xml:space="preserve">reported</t>
        </is>
      </c>
      <c r="G88" s="25" t="inlineStr">
        <is>
          <t xml:space="preserve">https://www.sec.gov/Archives/edgar/data/732712/000073271226000007/0000732712-26-000007-index.htm</t>
        </is>
      </c>
    </row>
    <row r="89">
      <c r="A89" s="8" t="inlineStr">
        <is>
          <t xml:space="preserve">Total Debt (latest, reported)</t>
        </is>
      </c>
      <c r="B89" s="7" t="inlineStr">
        <is>
          <t xml:space="preserve">2025-12-31</t>
        </is>
      </c>
      <c r="C89" s="25" t="inlineStr">
        <is>
          <t xml:space="preserve">DebtLongtermAndShorttermCombinedAmount</t>
        </is>
      </c>
      <c r="D89" s="25" t="inlineStr">
        <is>
          <t xml:space="preserve">0000732712-26-000007</t>
        </is>
      </c>
      <c r="E89" s="7" t="inlineStr">
        <is>
          <t xml:space="preserve">2026-02-17</t>
        </is>
      </c>
      <c r="F89" s="7" t="inlineStr">
        <is>
          <t xml:space="preserve">reported</t>
        </is>
      </c>
      <c r="G89" s="25" t="inlineStr">
        <is>
          <t xml:space="preserve">https://www.sec.gov/Archives/edgar/data/732712/000073271226000007/0000732712-26-000007-index.htm</t>
        </is>
      </c>
    </row>
    <row r="90">
      <c r="A90" s="7" t="inlineStr">
        <is>
          <t xml:space="preserve">Price / Shares / Beta / Sector</t>
        </is>
      </c>
      <c r="B90" s="7" t="inlineStr">
        <is>
          <t xml:space="preserve">2026-08-17T17:22:57.201272+00:00</t>
        </is>
      </c>
      <c r="C90" s="25" t="inlineStr">
        <is>
          <t xml:space="preserve">yfinance Ticker.info</t>
        </is>
      </c>
      <c r="E90" s="7" t="inlineStr">
        <is>
          <t xml:space="preserve">2026-08-17T17:22:57.201272+00:00</t>
        </is>
      </c>
      <c r="F90" s="7" t="inlineStr">
        <is>
          <t xml:space="preserve">reported (unchanged from original freeze)</t>
        </is>
      </c>
      <c r="G90" s="25" t="inlineStr">
        <is>
          <t xml:space="preserve">https://finance.yahoo.com/quote/VZ</t>
        </is>
      </c>
    </row>
  </sheetData>
  <mergeCells count="6">
    <mergeCell ref="A1:G1"/>
    <mergeCell ref="A4:H4"/>
    <mergeCell ref="A10:H10"/>
    <mergeCell ref="A31:H31"/>
    <mergeCell ref="A52:H52"/>
    <mergeCell ref="A73:H73"/>
  </mergeCells>
</worksheet>
</file>

<file path=xl/worksheets/sheet3.xml><?xml version="1.0" encoding="utf-8"?>
<worksheet xmlns="http://schemas.openxmlformats.org/spreadsheetml/2006/main">
  <dimension ref="A1:H25"/>
  <sheetViews>
    <sheetView workbookViewId="0"/>
  </sheetViews>
  <sheetFormatPr defaultRowHeight="15"/>
  <cols>
    <col min="1" max="1" width="10" customWidth="1"/>
    <col min="2" max="2" width="20" customWidth="1"/>
    <col min="3" max="3" width="30" customWidth="1"/>
    <col min="4" max="4" width="22" customWidth="1"/>
    <col min="5" max="5" width="30" customWidth="1"/>
    <col min="6" max="6" width="70" customWidth="1"/>
  </cols>
  <sheetData>
    <row r="1">
      <c r="A1" s="1" t="inlineStr">
        <is>
          <t xml:space="preserve">Assumptions</t>
        </is>
      </c>
    </row>
    <row r="2">
      <c r="A2" s="2" t="inlineStr">
        <is>
          <t xml:space="preserve">Per docs/assumptions-register.md and the task's shared-assumption directive.</t>
        </is>
      </c>
    </row>
    <row r="4">
      <c r="A4" s="3" t="inlineStr">
        <is>
          <t xml:space="preserve">Shared assumptions (identical for every company unless noted)</t>
        </is>
      </c>
      <c r="B4" s="3"/>
      <c r="C4" s="3"/>
      <c r="D4" s="3"/>
      <c r="E4" s="3"/>
      <c r="F4" s="3"/>
      <c r="G4" s="3"/>
      <c r="H4" s="3"/>
    </row>
    <row r="5">
      <c r="A5" s="4" t="inlineStr">
        <is>
          <t xml:space="preserve">Assumption</t>
        </is>
      </c>
      <c r="B5" s="4" t="inlineStr">
        <is>
          <t xml:space="preserve">Value</t>
        </is>
      </c>
      <c r="C5" s="4" t="inlineStr">
        <is>
          <t xml:space="preserve">Register ID</t>
        </is>
      </c>
      <c r="D5" s="4" t="inlineStr">
        <is>
          <t xml:space="preserve">Rationale</t>
        </is>
      </c>
    </row>
    <row r="6">
      <c r="A6" s="7" t="inlineStr">
        <is>
          <t xml:space="preserve">Risk-free rate</t>
        </is>
      </c>
      <c r="B6" s="8" t="inlineStr">
        <is>
          <t xml:space="preserve">4.0%</t>
        </is>
      </c>
      <c r="C6" s="7" t="inlineStr">
        <is>
          <t xml:space="preserve">A-001</t>
        </is>
      </c>
      <c r="D6" s="26" t="inlineStr">
        <is>
          <t xml:space="preserve">10Y Treasury proxy; fixed per task directive rather than a live fetch (SEC/yfinance macro endpoints not required here).</t>
        </is>
      </c>
    </row>
    <row r="7">
      <c r="A7" s="7" t="inlineStr">
        <is>
          <t xml:space="preserve">Market risk premium</t>
        </is>
      </c>
      <c r="B7" s="8" t="inlineStr">
        <is>
          <t xml:space="preserve">5.5%</t>
        </is>
      </c>
      <c r="C7" s="7" t="inlineStr">
        <is>
          <t xml:space="preserve">A-009</t>
        </is>
      </c>
      <c r="D7" s="26" t="inlineStr">
        <is>
          <t xml:space="preserve">Standard long-run U.S. equity risk premium estimate.</t>
        </is>
      </c>
    </row>
    <row r="8">
      <c r="A8" s="7" t="inlineStr">
        <is>
          <t xml:space="preserve">Terminal growth rate</t>
        </is>
      </c>
      <c r="B8" s="8" t="inlineStr">
        <is>
          <t xml:space="preserve">2.5%</t>
        </is>
      </c>
      <c r="C8" s="7" t="inlineStr">
        <is>
          <t xml:space="preserve">A-003</t>
        </is>
      </c>
      <c r="D8" s="26" t="inlineStr">
        <is>
          <t xml:space="preserve">Roughly tracks long-run nominal GDP growth; bounded well under typical WACC.</t>
        </is>
      </c>
    </row>
    <row r="9">
      <c r="A9" s="7" t="inlineStr">
        <is>
          <t xml:space="preserve">Projection period</t>
        </is>
      </c>
      <c r="B9" s="8" t="inlineStr">
        <is>
          <t xml:space="preserve">5 years</t>
        </is>
      </c>
      <c r="C9" s="7" t="inlineStr">
        <is>
          <t xml:space="preserve">—</t>
        </is>
      </c>
      <c r="D9" s="26" t="inlineStr">
        <is>
          <t xml:space="preserve">Standard explicit DCF forecast window.</t>
        </is>
      </c>
    </row>
    <row r="10">
      <c r="A10" s="7" t="inlineStr">
        <is>
          <t xml:space="preserve">D&amp;A % of revenue</t>
        </is>
      </c>
      <c r="B10" s="8" t="inlineStr">
        <is>
          <t xml:space="preserve">3%</t>
        </is>
      </c>
      <c r="C10" s="7" t="inlineStr">
        <is>
          <t xml:space="preserve">A-004</t>
        </is>
      </c>
      <c r="D10" s="26" t="inlineStr">
        <is>
          <t xml:space="preserve">Fixed simplifying assumption, not derived per-company.</t>
        </is>
      </c>
    </row>
    <row r="11">
      <c r="A11" s="7" t="inlineStr">
        <is>
          <t xml:space="preserve">CapEx % of revenue</t>
        </is>
      </c>
      <c r="B11" s="8" t="inlineStr">
        <is>
          <t xml:space="preserve">4%</t>
        </is>
      </c>
      <c r="C11" s="7" t="inlineStr">
        <is>
          <t xml:space="preserve">A-004</t>
        </is>
      </c>
      <c r="D11" s="26" t="inlineStr">
        <is>
          <t xml:space="preserve">Fixed simplifying assumption, not derived per-company.</t>
        </is>
      </c>
    </row>
    <row r="12">
      <c r="A12" s="7" t="inlineStr">
        <is>
          <t xml:space="preserve">ΔNWC % of revenue change</t>
        </is>
      </c>
      <c r="B12" s="8" t="inlineStr">
        <is>
          <t xml:space="preserve">1%</t>
        </is>
      </c>
      <c r="C12" s="7" t="inlineStr">
        <is>
          <t xml:space="preserve">A-004</t>
        </is>
      </c>
      <c r="D12" s="26" t="inlineStr">
        <is>
          <t xml:space="preserve">Applied to the CHANGE in revenue, not revenue itself (avoids double-counting).</t>
        </is>
      </c>
    </row>
    <row r="13">
      <c r="A13" s="7" t="inlineStr">
        <is>
          <t xml:space="preserve">WACC clamp</t>
        </is>
      </c>
      <c r="B13" s="8" t="inlineStr">
        <is>
          <t xml:space="preserve">[5%, 20%]</t>
        </is>
      </c>
      <c r="C13" s="7" t="inlineStr">
        <is>
          <t xml:space="preserve">A-006</t>
        </is>
      </c>
      <c r="D13" s="26" t="inlineStr">
        <is>
          <t xml:space="preserve">Prevents a degenerate beta/rate combination from producing a nonsensical discount rate.</t>
        </is>
      </c>
    </row>
    <row r="14">
      <c r="A14" s="7" t="inlineStr">
        <is>
          <t xml:space="preserve">Terminal growth clamp</t>
        </is>
      </c>
      <c r="B14" s="8" t="inlineStr">
        <is>
          <t xml:space="preserve">[0%, 5%]</t>
        </is>
      </c>
      <c r="C14" s="7" t="inlineStr">
        <is>
          <t xml:space="preserve">spec (dcf.md)</t>
        </is>
      </c>
      <c r="D14" s="26" t="inlineStr">
        <is>
          <t xml:space="preserve">Keeps WACC−g well-behaved.</t>
        </is>
      </c>
    </row>
    <row r="15">
      <c r="A15" s="7" t="inlineStr">
        <is>
          <t xml:space="preserve">Historical revenue growth cap</t>
        </is>
      </c>
      <c r="B15" s="8" t="inlineStr">
        <is>
          <t xml:space="preserve">25% (uncapped below)</t>
        </is>
      </c>
      <c r="C15" s="7" t="inlineStr">
        <is>
          <t xml:space="preserve">A-002</t>
        </is>
      </c>
      <c r="D15" s="26" t="inlineStr">
        <is>
          <t xml:space="preserve">Caps a hyper-growth anomaly; deliberately NOT floored — a shrinking company's negative CAGR is used as-is.</t>
        </is>
      </c>
    </row>
    <row r="17">
      <c r="A17" s="3" t="inlineStr">
        <is>
          <t xml:space="preserve">Company-specific derived values &amp; disclosed fallbacks</t>
        </is>
      </c>
      <c r="B17" s="3"/>
      <c r="C17" s="3"/>
      <c r="D17" s="3"/>
      <c r="E17" s="3"/>
      <c r="F17" s="3"/>
      <c r="G17" s="3"/>
      <c r="H17" s="3"/>
    </row>
    <row r="18">
      <c r="A18" s="4" t="inlineStr">
        <is>
          <t xml:space="preserve">Ticker</t>
        </is>
      </c>
      <c r="B18" s="4" t="inlineStr">
        <is>
          <t xml:space="preserve">Tax Rate (derived)</t>
        </is>
      </c>
      <c r="C18" s="4" t="inlineStr">
        <is>
          <t xml:space="preserve">Method</t>
        </is>
      </c>
      <c r="D18" s="4" t="inlineStr">
        <is>
          <t xml:space="preserve">Cost of Debt (derived)</t>
        </is>
      </c>
      <c r="E18" s="4" t="inlineStr">
        <is>
          <t xml:space="preserve">Method</t>
        </is>
      </c>
      <c r="F18" s="4" t="inlineStr">
        <is>
          <t xml:space="preserve">Note</t>
        </is>
      </c>
    </row>
    <row r="19">
      <c r="A19" s="8" t="inlineStr">
        <is>
          <t xml:space="preserve">MSFT</t>
        </is>
      </c>
      <c r="B19" s="7" t="inlineStr">
        <is>
          <t xml:space="preserve">19.40%</t>
        </is>
      </c>
      <c r="C19" s="7" t="inlineStr">
        <is>
          <t xml:space="preserve">derived</t>
        </is>
      </c>
      <c r="D19" s="7" t="inlineStr">
        <is>
          <t xml:space="preserve">7.57%</t>
        </is>
      </c>
      <c r="E19" s="7" t="inlineStr">
        <is>
          <t xml:space="preserve">derived</t>
        </is>
      </c>
      <c r="F19" s="25" t="inlineStr">
        <is>
          <t xml:space="preserve"/>
        </is>
      </c>
    </row>
    <row r="20">
      <c r="A20" s="8" t="inlineStr">
        <is>
          <t xml:space="preserve">CAT</t>
        </is>
      </c>
      <c r="B20" s="7" t="inlineStr">
        <is>
          <t xml:space="preserve">23.98%</t>
        </is>
      </c>
      <c r="C20" s="7" t="inlineStr">
        <is>
          <t xml:space="preserve">derived</t>
        </is>
      </c>
      <c r="D20" s="7" t="inlineStr">
        <is>
          <t xml:space="preserve">5.09%</t>
        </is>
      </c>
      <c r="E20" s="7" t="inlineStr">
        <is>
          <t xml:space="preserve">derived</t>
        </is>
      </c>
      <c r="F20" s="25" t="inlineStr">
        <is>
          <t xml:space="preserve"/>
        </is>
      </c>
    </row>
    <row r="21">
      <c r="A21" s="8" t="inlineStr">
        <is>
          <t xml:space="preserve">INTC</t>
        </is>
      </c>
      <c r="B21" s="7" t="inlineStr">
        <is>
          <t xml:space="preserve">98.33%</t>
        </is>
      </c>
      <c r="C21" s="7" t="inlineStr">
        <is>
          <t xml:space="preserve">derived</t>
        </is>
      </c>
      <c r="D21" s="7" t="inlineStr">
        <is>
          <t xml:space="preserve">2.34%</t>
        </is>
      </c>
      <c r="E21" s="7" t="inlineStr">
        <is>
          <t xml:space="preserve">derived</t>
        </is>
      </c>
      <c r="F21" s="25" t="inlineStr">
        <is>
          <t xml:space="preserve">Tax rate 98.3% is technically in [0,1) but economically extreme — latest-year pretax income ($1.56B) is nearly fully offset by tax provision ($1.53B), likely a valuation-allowance/one-time effect on a slim profit base. Used as-is per spec (in-range values are not overridden); flagged prominently here and in Research Outlook, not silently smoothed.</t>
        </is>
      </c>
    </row>
    <row r="22">
      <c r="A22" s="8" t="inlineStr">
        <is>
          <t xml:space="preserve">VZ</t>
        </is>
      </c>
      <c r="B22" s="7" t="inlineStr">
        <is>
          <t xml:space="preserve">22.34%</t>
        </is>
      </c>
      <c r="C22" s="7" t="inlineStr">
        <is>
          <t xml:space="preserve">derived</t>
        </is>
      </c>
      <c r="D22" s="7" t="inlineStr">
        <is>
          <t xml:space="preserve">4.23%</t>
        </is>
      </c>
      <c r="E22" s="7" t="inlineStr">
        <is>
          <t xml:space="preserve">derived</t>
        </is>
      </c>
      <c r="F22" s="25" t="inlineStr">
        <is>
          <t xml:space="preserve"/>
        </is>
      </c>
    </row>
    <row r="24">
      <c r="A24" s="3" t="inlineStr">
        <is>
          <t xml:space="preserve">Missing-data fallbacks actually triggered in this validation</t>
        </is>
      </c>
      <c r="B24" s="3"/>
      <c r="C24" s="3"/>
      <c r="D24" s="3"/>
      <c r="E24" s="3"/>
      <c r="F24" s="3"/>
      <c r="G24" s="3"/>
      <c r="H24" s="3"/>
    </row>
    <row r="25" ht="60" customHeight="1">
      <c r="A25" s="26" t="inlineStr">
        <is>
          <t xml:space="preserve">None. All four companies had complete SEC EDGAR data for every required field (revenue, EBIT/operating income — one derived via Pretax+Interest for periods without a reported OperatingIncomeLoss tag, pretax income, tax provision, interest expense, total debt, cash) and complete yfinance market data (price, shares, beta, sector). No DEFAULT_TAX_RATE=21%, DEFAULT_COST_OF_DEBT=5%, DEFAULT_BETA=1.0, or DEFAULT_REVENUE_GROWTH/MARGIN fallback was triggered for any of the four companies — every derived value below is a genuine derivation from frozen facts, not a fallback default.</t>
        </is>
      </c>
    </row>
  </sheetData>
  <mergeCells count="5">
    <mergeCell ref="A1:G1"/>
    <mergeCell ref="A4:H4"/>
    <mergeCell ref="A17:H17"/>
    <mergeCell ref="A24:H24"/>
    <mergeCell ref="A25:F25"/>
  </mergeCells>
</worksheet>
</file>

<file path=xl/worksheets/sheet4.xml><?xml version="1.0" encoding="utf-8"?>
<worksheet xmlns="http://schemas.openxmlformats.org/spreadsheetml/2006/main">
  <dimension ref="A1:H38"/>
  <sheetViews>
    <sheetView workbookViewId="0">
      <pane xSplit="1" ySplit="4" topLeftCell="B5" activePane="bottomRight" state="frozen"/>
      <selection pane="bottomRight" activeCell="B5" sqref="B5"/>
    </sheetView>
  </sheetViews>
  <sheetFormatPr defaultRowHeight="15"/>
  <cols>
    <col min="1" max="1" width="42" customWidth="1"/>
    <col min="2" max="2" width="16" customWidth="1"/>
    <col min="3" max="3" width="16" customWidth="1"/>
    <col min="4" max="4" width="60" customWidth="1"/>
  </cols>
  <sheetData>
    <row r="1">
      <c r="A1" s="1" t="inlineStr">
        <is>
          <t xml:space="preserve">Inputs — MSFT (MICROSOFT CORPORATION)  |  Frozen 2026-08-17T17:23:45.327319+00:00</t>
        </is>
      </c>
    </row>
    <row r="2">
      <c r="A2" s="2" t="inlineStr">
        <is>
          <t xml:space="preserve">Profile: Large-cap, capital-light, high-margin  |  CIK 0000789019  |  All USD values are actual dollars (not thousands/millions) unless noted.</t>
        </is>
      </c>
    </row>
    <row r="4">
      <c r="A4" s="3" t="inlineStr">
        <is>
          <t xml:space="preserve">SECTION 1 — Historical Annual Data (SEC EDGAR, frozen)</t>
        </is>
      </c>
      <c r="B4" s="3"/>
      <c r="C4" s="3"/>
      <c r="D4" s="3"/>
      <c r="E4" s="3"/>
      <c r="F4" s="3"/>
      <c r="G4" s="3"/>
      <c r="H4" s="3"/>
    </row>
    <row r="5">
      <c r="A5" s="4" t="inlineStr">
        <is>
          <t xml:space="preserve">Fiscal Year End</t>
        </is>
      </c>
      <c r="B5" s="4" t="inlineStr">
        <is>
          <t xml:space="preserve">Revenue (USD)</t>
        </is>
      </c>
      <c r="C5" s="4" t="inlineStr">
        <is>
          <t xml:space="preserve">EBIT / Operating Income (USD)</t>
        </is>
      </c>
      <c r="D5" s="4" t="inlineStr">
        <is>
          <t xml:space="preserve">Provenance</t>
        </is>
      </c>
    </row>
    <row r="6">
      <c r="A6" s="14">
        <v>44742</v>
      </c>
      <c r="B6" s="11">
        <v>198270000000</v>
      </c>
      <c r="C6" s="11">
        <v>83383000000</v>
      </c>
      <c r="D6" s="25" t="inlineStr">
        <is>
          <t xml:space="preserve">XBRL tag: RevenueFromContractWithCustomerExcludingAssessedTax</t>
        </is>
      </c>
    </row>
    <row r="7">
      <c r="A7" s="14">
        <v>45107</v>
      </c>
      <c r="B7" s="11">
        <v>211915000000</v>
      </c>
      <c r="C7" s="11">
        <v>88523000000</v>
      </c>
      <c r="D7" s="25" t="inlineStr">
        <is>
          <t xml:space="preserve">XBRL tag: RevenueFromContractWithCustomerExcludingAssessedTax</t>
        </is>
      </c>
    </row>
    <row r="8">
      <c r="A8" s="14">
        <v>45473</v>
      </c>
      <c r="B8" s="11">
        <v>245122000000</v>
      </c>
      <c r="C8" s="11">
        <v>109433000000</v>
      </c>
      <c r="D8" s="25" t="inlineStr">
        <is>
          <t xml:space="preserve">XBRL tag: RevenueFromContractWithCustomerExcludingAssessedTax</t>
        </is>
      </c>
    </row>
    <row r="9">
      <c r="A9" s="14">
        <v>45838</v>
      </c>
      <c r="B9" s="11">
        <v>281724000000</v>
      </c>
      <c r="C9" s="11">
        <v>128528000000</v>
      </c>
      <c r="D9" s="25" t="inlineStr">
        <is>
          <t xml:space="preserve">XBRL tag: RevenueFromContractWithCustomerExcludingAssessedTax</t>
        </is>
      </c>
    </row>
    <row r="10">
      <c r="A10" s="14">
        <v>46203</v>
      </c>
      <c r="B10" s="11">
        <v>331839000000</v>
      </c>
      <c r="C10" s="11">
        <v>155237000000</v>
      </c>
      <c r="D10" s="25" t="inlineStr">
        <is>
          <t xml:space="preserve">XBRL tag: RevenueFromContractWithCustomerExcludingAssessedTax</t>
        </is>
      </c>
    </row>
    <row r="12">
      <c r="A12" s="3" t="inlineStr">
        <is>
          <t xml:space="preserve">SECTION 2 — Latest-Year Facts (SEC EDGAR, frozen)</t>
        </is>
      </c>
      <c r="B12" s="3"/>
      <c r="C12" s="3"/>
      <c r="D12" s="3"/>
      <c r="E12" s="3"/>
      <c r="F12" s="3"/>
      <c r="G12" s="3"/>
      <c r="H12" s="3"/>
    </row>
    <row r="13">
      <c r="A13" s="7" t="inlineStr">
        <is>
          <t xml:space="preserve">Latest Complete Fiscal Year End</t>
        </is>
      </c>
      <c r="B13" s="14">
        <v>46203</v>
      </c>
    </row>
    <row r="14">
      <c r="A14" s="7" t="inlineStr">
        <is>
          <t xml:space="preserve">Pretax Income (USD)</t>
        </is>
      </c>
      <c r="B14" s="11">
        <v>165934000000</v>
      </c>
    </row>
    <row r="15">
      <c r="A15" s="7" t="inlineStr">
        <is>
          <t xml:space="preserve">Tax Provision (USD)</t>
        </is>
      </c>
      <c r="B15" s="11">
        <v>32185000000</v>
      </c>
    </row>
    <row r="16">
      <c r="A16" s="7" t="inlineStr">
        <is>
          <t xml:space="preserve">Interest Expense (USD)</t>
        </is>
      </c>
      <c r="B16" s="11">
        <v>3051000000</v>
      </c>
      <c r="D16" s="25" t="inlineStr">
        <is>
          <t xml:space="preserve">Method: reported; tag: InterestExpenseNonoperating</t>
        </is>
      </c>
    </row>
    <row r="17">
      <c r="A17" s="7" t="inlineStr">
        <is>
          <t xml:space="preserve">Total Debt (USD)</t>
        </is>
      </c>
      <c r="B17" s="11">
        <v>40294000000.0</v>
      </c>
      <c r="D17" s="25" t="inlineStr">
        <is>
          <t xml:space="preserve">Total Debt = LongTermDebtNoncurrent ($31,067,000,000) + LongTermDebtCurrent ($9,227,000,000) = $40,294,000,000  |  Full per-component provenance (XBRL tag, accession, filed date, source URL): see Sources sheet.</t>
        </is>
      </c>
    </row>
    <row r="18">
      <c r="A18" s="7" t="inlineStr">
        <is>
          <t xml:space="preserve">Cash &amp; Equivalents (USD)</t>
        </is>
      </c>
      <c r="B18" s="11">
        <v>20935000000</v>
      </c>
    </row>
    <row r="20">
      <c r="A20" s="3" t="inlineStr">
        <is>
          <t xml:space="preserve">SECTION 3 — Market Data (Yahoo Finance via yfinance, frozen)</t>
        </is>
      </c>
      <c r="B20" s="3"/>
      <c r="C20" s="3"/>
      <c r="D20" s="3"/>
      <c r="E20" s="3"/>
      <c r="F20" s="3"/>
      <c r="G20" s="3"/>
      <c r="H20" s="3"/>
    </row>
    <row r="21">
      <c r="A21" s="7" t="inlineStr">
        <is>
          <t xml:space="preserve">Current Price (USD/share)</t>
        </is>
      </c>
      <c r="B21" s="11">
        <v>479.78</v>
      </c>
    </row>
    <row r="22">
      <c r="A22" s="7" t="inlineStr">
        <is>
          <t xml:space="preserve">Shares Outstanding</t>
        </is>
      </c>
      <c r="B22" s="10">
        <v>7425545491</v>
      </c>
    </row>
    <row r="23">
      <c r="A23" s="7" t="inlineStr">
        <is>
          <t xml:space="preserve">Beta (levered equity)</t>
        </is>
      </c>
      <c r="B23" s="10">
        <v>1.099</v>
      </c>
    </row>
    <row r="24">
      <c r="A24" s="7" t="inlineStr">
        <is>
          <t xml:space="preserve">Sector (GICS)</t>
        </is>
      </c>
      <c r="B24" s="13" t="inlineStr">
        <is>
          <t xml:space="preserve">Technology</t>
        </is>
      </c>
    </row>
    <row r="26">
      <c r="A26" s="3" t="inlineStr">
        <is>
          <t xml:space="preserve">SECTION 4 — Assumptions (shared across companies unless noted; assumptions-register.md)</t>
        </is>
      </c>
      <c r="B26" s="3"/>
      <c r="C26" s="3"/>
      <c r="D26" s="3"/>
      <c r="E26" s="3"/>
      <c r="F26" s="3"/>
      <c r="G26" s="3"/>
      <c r="H26" s="3"/>
    </row>
    <row r="27">
      <c r="A27" s="7" t="inlineStr">
        <is>
          <t xml:space="preserve">Risk-free rate (A-001)</t>
        </is>
      </c>
      <c r="B27" s="12">
        <v>0.04</v>
      </c>
    </row>
    <row r="28">
      <c r="A28" s="7" t="inlineStr">
        <is>
          <t xml:space="preserve">Market risk premium (A-009)</t>
        </is>
      </c>
      <c r="B28" s="12">
        <v>0.055</v>
      </c>
    </row>
    <row r="29">
      <c r="A29" s="7" t="inlineStr">
        <is>
          <t xml:space="preserve">Terminal growth rate, base case (A-003)</t>
        </is>
      </c>
      <c r="B29" s="12">
        <v>0.025</v>
      </c>
    </row>
    <row r="30">
      <c r="A30" s="7" t="inlineStr">
        <is>
          <t xml:space="preserve">Projection years</t>
        </is>
      </c>
      <c r="B30" s="10">
        <v>5</v>
      </c>
    </row>
    <row r="31">
      <c r="A31" s="7" t="inlineStr">
        <is>
          <t xml:space="preserve">D&amp;A % of revenue (A-004)</t>
        </is>
      </c>
      <c r="B31" s="12">
        <v>0.03</v>
      </c>
    </row>
    <row r="32">
      <c r="A32" s="7" t="inlineStr">
        <is>
          <t xml:space="preserve">CapEx % of revenue (A-004)</t>
        </is>
      </c>
      <c r="B32" s="12">
        <v>0.04</v>
      </c>
    </row>
    <row r="33">
      <c r="A33" s="7" t="inlineStr">
        <is>
          <t xml:space="preserve">ΔNWC % of revenue change (A-004)</t>
        </is>
      </c>
      <c r="B33" s="12">
        <v>0.01</v>
      </c>
    </row>
    <row r="34">
      <c r="A34" s="7" t="inlineStr">
        <is>
          <t xml:space="preserve">WACC clamp — minimum (A-006)</t>
        </is>
      </c>
      <c r="B34" s="12">
        <v>0.05</v>
      </c>
    </row>
    <row r="35">
      <c r="A35" s="7" t="inlineStr">
        <is>
          <t xml:space="preserve">WACC clamp — maximum (A-006)</t>
        </is>
      </c>
      <c r="B35" s="12">
        <v>0.2</v>
      </c>
    </row>
    <row r="36">
      <c r="A36" s="7" t="inlineStr">
        <is>
          <t xml:space="preserve">Terminal growth clamp — minimum</t>
        </is>
      </c>
      <c r="B36" s="12">
        <v>0.0</v>
      </c>
    </row>
    <row r="37">
      <c r="A37" s="7" t="inlineStr">
        <is>
          <t xml:space="preserve">Terminal growth clamp — maximum</t>
        </is>
      </c>
      <c r="B37" s="12">
        <v>0.05</v>
      </c>
    </row>
    <row r="38">
      <c r="A38" s="7" t="inlineStr">
        <is>
          <t xml:space="preserve">Historical revenue growth cap (A-002)</t>
        </is>
      </c>
      <c r="B38" s="12">
        <v>0.25</v>
      </c>
    </row>
  </sheetData>
  <mergeCells count="5">
    <mergeCell ref="A1:G1"/>
    <mergeCell ref="A4:H4"/>
    <mergeCell ref="A12:H12"/>
    <mergeCell ref="A20:H20"/>
    <mergeCell ref="A26:H26"/>
  </mergeCells>
</worksheet>
</file>

<file path=xl/worksheets/sheet5.xml><?xml version="1.0" encoding="utf-8"?>
<worksheet xmlns="http://schemas.openxmlformats.org/spreadsheetml/2006/main">
  <dimension ref="A1:H52"/>
  <sheetViews>
    <sheetView workbookViewId="0">
      <pane xSplit="1" ySplit="4" topLeftCell="B5" activePane="bottomRight" state="frozen"/>
      <selection pane="bottomRight" activeCell="B5" sqref="B5"/>
    </sheetView>
  </sheetViews>
  <sheetFormatPr defaultRowHeight="15"/>
  <cols>
    <col min="1" max="1" width="46" customWidth="1"/>
    <col min="2" max="2" width="17" customWidth="1"/>
    <col min="3" max="3" width="17" customWidth="1"/>
    <col min="4" max="4" width="17" customWidth="1"/>
    <col min="5" max="5" width="17" customWidth="1"/>
    <col min="6" max="6" width="17" customWidth="1"/>
    <col min="7" max="7" width="17" customWidth="1"/>
    <col min="8" max="8" width="55" customWidth="1"/>
  </cols>
  <sheetData>
    <row r="1">
      <c r="A1" s="1" t="inlineStr">
        <is>
          <t xml:space="preserve">DCF Valuation — MSFT (MICROSOFT CORPORATION)  [V2 — Track A Phase 2C]</t>
        </is>
      </c>
    </row>
    <row r="2">
      <c r="A2" s="2" t="inlineStr">
        <is>
          <t xml:space="preserve">Every formula below is entered independently from docs/model-specifications/dcf.md and wacc-capm.md prose/equations — never copied from src/dcf_model/dcf.py. V2: years_elapsed now uses actual fiscal-period-end date subtraction, per the Track A Phase 2C specification clarification (A-028/L-019) — see row below.</t>
        </is>
      </c>
    </row>
    <row r="4">
      <c r="A4" s="3" t="inlineStr">
        <is>
          <t xml:space="preserve">SECTION 1 — Historical Revenue CAGR &amp; Operating Margin  [dcf.md §Historical revenue-growth and operating-margin derivation]</t>
        </is>
      </c>
      <c r="B4" s="3"/>
      <c r="C4" s="3"/>
      <c r="D4" s="3"/>
      <c r="E4" s="3"/>
      <c r="F4" s="3"/>
      <c r="G4" s="3"/>
      <c r="H4" s="3"/>
    </row>
    <row r="5">
      <c r="A5" s="7" t="inlineStr">
        <is>
          <t xml:space="preserve">Years elapsed = (latest fiscal date − earliest fiscal date) / 365.25  [V2; A-028]</t>
        </is>
      </c>
      <c r="B5" s="15">
        <f>('Inputs_MSFT'!$A$10-'Inputs_MSFT'!$A$6)/365.25</f>
        <v>4.0</v>
      </c>
      <c r="D5" s="9" t="inlineStr">
        <is>
          <t xml:space="preserve">Spec: dcf.md — years_elapsed is ACTUAL elapsed calendar days between the earliest- and latest-dated valid observations / 365.25, never (periods−1) (A-028; Track A Phase 2C, resolving the ambiguity Phase 2B found).</t>
        </is>
      </c>
    </row>
    <row r="6">
      <c r="A6" s="7" t="inlineStr">
        <is>
          <t xml:space="preserve">Diagnostic — naive (N periods − 1) years [V1's convention; NOT used below]</t>
        </is>
      </c>
      <c r="B6" s="10">
        <v>4</v>
      </c>
      <c r="C6" s="22" t="inlineStr">
        <is>
          <t xml:space="preserve">REGULAR</t>
        </is>
      </c>
      <c r="D6" s="25" t="inlineStr">
        <is>
          <t xml:space="preserve">Fiscal calendar is evenly spaced for this company — actual years_elapsed equals the naive (N periods − 1) count to within floating-point noise, so V1 and V2 agree here by coincidence, not because (periods − 1) is a generally correct convention.</t>
        </is>
      </c>
    </row>
    <row r="8">
      <c r="A8" s="7" t="inlineStr">
        <is>
          <t xml:space="preserve">Raw Revenue CAGR = (Rev_latest/Rev_earliest)^(1/years) − 1</t>
        </is>
      </c>
      <c r="B8" s="17">
        <f>('Inputs_MSFT'!$B$10/'Inputs_MSFT'!$B$6)^(1/B5)-1</f>
        <v>0.1374114735301586</v>
      </c>
    </row>
    <row r="9">
      <c r="A9" s="7" t="inlineStr">
        <is>
          <t xml:space="preserve">Capped Revenue CAGR (cap A-002; NOT floored below)</t>
        </is>
      </c>
      <c r="B9" s="17">
        <f>MIN(B8,'Inputs_MSFT'!$B$38)</f>
        <v>0.1374114735301586</v>
      </c>
      <c r="D9" s="9" t="inlineStr">
        <is>
          <t xml:space="preserve">Spec: dcf.md — capped at MAX_REVENUE_GROWTH_RATE=25%, unbounded below (A-002)</t>
        </is>
      </c>
    </row>
    <row r="10">
      <c r="A10" s="7" t="inlineStr">
        <is>
          <t xml:space="preserve">Average Historical Operating Margin = simple average of EBIT_t/Revenue_t</t>
        </is>
      </c>
      <c r="B10" s="17">
        <f>('Inputs_MSFT'!$C$6/'Inputs_MSFT'!$B$6+'Inputs_MSFT'!$C$7/'Inputs_MSFT'!$B$7+'Inputs_MSFT'!$C$8/'Inputs_MSFT'!$B$8+'Inputs_MSFT'!$C$9/'Inputs_MSFT'!$B$9+'Inputs_MSFT'!$C$10/'Inputs_MSFT'!$B$10)/5</f>
        <v>0.4417504660304294</v>
      </c>
    </row>
    <row r="12">
      <c r="A12" s="3" t="inlineStr">
        <is>
          <t xml:space="preserve">SECTION 2 — WACC via CAPM  [wacc-capm.md §Formula]</t>
        </is>
      </c>
      <c r="B12" s="3"/>
      <c r="C12" s="3"/>
      <c r="D12" s="3"/>
      <c r="E12" s="3"/>
      <c r="F12" s="3"/>
      <c r="G12" s="3"/>
      <c r="H12" s="3"/>
    </row>
    <row r="13">
      <c r="A13" s="7" t="inlineStr">
        <is>
          <t xml:space="preserve">Market Capitalization = Price × Shares Outstanding</t>
        </is>
      </c>
      <c r="B13" s="16">
        <f>'Inputs_MSFT'!$B$21*'Inputs_MSFT'!$B$22</f>
        <v>3562628215671.98</v>
      </c>
    </row>
    <row r="14">
      <c r="A14" s="7" t="inlineStr">
        <is>
          <t xml:space="preserve">Effective Tax Rate = Tax Provision / Pretax Income (latest FY)</t>
        </is>
      </c>
      <c r="B14" s="17">
        <f>'Inputs_MSFT'!$B$15/'Inputs_MSFT'!$B$14</f>
        <v>0.19396265985271252</v>
      </c>
      <c r="D14" s="9" t="inlineStr">
        <is>
          <t xml:space="preserve">Method: derived. Spec: wacc-capm.md — derived as tax_provision/pretax_income, valid range [0,1); DEFAULT_TAX_RATE=21% only on missing data.</t>
        </is>
      </c>
    </row>
    <row r="15">
      <c r="A15" s="7" t="inlineStr">
        <is>
          <t xml:space="preserve">Cost of Debt = |Interest Expense| / Total Debt (latest FY)</t>
        </is>
      </c>
      <c r="B15" s="17">
        <f>ABS('Inputs_MSFT'!$B$16)/'Inputs_MSFT'!$B$17</f>
        <v>0.07571846925100512</v>
      </c>
    </row>
    <row r="16">
      <c r="A16" s="7" t="inlineStr">
        <is>
          <t xml:space="preserve">Cost of Equity (CAPM) = Rf + Beta × MRP</t>
        </is>
      </c>
      <c r="B16" s="17">
        <f>'Inputs_MSFT'!$B$27+'Inputs_MSFT'!$B$23*'Inputs_MSFT'!$B$28</f>
        <v>0.100445</v>
      </c>
    </row>
    <row r="17">
      <c r="A17" s="7" t="inlineStr">
        <is>
          <t xml:space="preserve">After-Tax Cost of Debt = Cost of Debt × (1 − Tax Rate)</t>
        </is>
      </c>
      <c r="B17" s="17">
        <f>B15*(1-B14)</f>
        <v>0.06103191355510434</v>
      </c>
    </row>
    <row r="18">
      <c r="A18" s="7" t="inlineStr">
        <is>
          <t xml:space="preserve">Weight of Equity = MktCap / (MktCap + Total Debt)</t>
        </is>
      </c>
      <c r="B18" s="17">
        <f>B13/(B13+'Inputs_MSFT'!$B$17)</f>
        <v>0.9888163003284586</v>
      </c>
    </row>
    <row r="19">
      <c r="A19" s="7" t="inlineStr">
        <is>
          <t xml:space="preserve">Weight of Debt = Total Debt / (MktCap + Total Debt)</t>
        </is>
      </c>
      <c r="B19" s="17">
        <f>'Inputs_MSFT'!$B$17/(B13+'Inputs_MSFT'!$B$17)</f>
        <v>0.011183699671541418</v>
      </c>
    </row>
    <row r="20">
      <c r="A20" s="7" t="inlineStr">
        <is>
          <t xml:space="preserve">Raw WACC = We×Re + Wd×Rd(after-tax)</t>
        </is>
      </c>
      <c r="B20" s="17">
        <f>B18*B16+B19*B17</f>
        <v>0.1000042158780718</v>
      </c>
    </row>
    <row r="21">
      <c r="A21" s="7" t="inlineStr">
        <is>
          <t xml:space="preserve">Final WACC — clamped to [5%,20%] (A-006), via MEDIAN(raw,min,max)</t>
        </is>
      </c>
      <c r="B21" s="17">
        <f>MEDIAN(B20,'Inputs_MSFT'!$B$34,'Inputs_MSFT'!$B$35)</f>
        <v>0.1000042158780718</v>
      </c>
      <c r="D21" s="9" t="inlineStr">
        <is>
          <t xml:space="preserve">MEDIAN(x,min,max) is a standard single-formula clamp: returns min if x&lt;min, max if x&gt;max, else x.</t>
        </is>
      </c>
    </row>
    <row r="23">
      <c r="A23" s="3" t="inlineStr">
        <is>
          <t xml:space="preserve">SECTION 3 — 5-Year Free Cash Flow Projection  [dcf.md §Free Cash Flow projection]</t>
        </is>
      </c>
      <c r="B23" s="3"/>
      <c r="C23" s="3"/>
      <c r="D23" s="3"/>
      <c r="E23" s="3"/>
      <c r="F23" s="3"/>
      <c r="G23" s="3"/>
      <c r="H23" s="3"/>
    </row>
    <row r="24">
      <c r="A24" s="4" t="inlineStr">
        <is>
          <t xml:space="preserve"/>
        </is>
      </c>
      <c r="B24" s="5" t="inlineStr">
        <is>
          <t xml:space="preserve">Year 0 (base, actual)</t>
        </is>
      </c>
      <c r="C24" s="5" t="inlineStr">
        <is>
          <t xml:space="preserve">Year 1</t>
        </is>
      </c>
      <c r="D24" s="5" t="inlineStr">
        <is>
          <t xml:space="preserve">Year 2</t>
        </is>
      </c>
      <c r="E24" s="5" t="inlineStr">
        <is>
          <t xml:space="preserve">Year 3</t>
        </is>
      </c>
      <c r="F24" s="5" t="inlineStr">
        <is>
          <t xml:space="preserve">Year 4</t>
        </is>
      </c>
      <c r="G24" s="5" t="inlineStr">
        <is>
          <t xml:space="preserve">Year 5</t>
        </is>
      </c>
    </row>
    <row r="25">
      <c r="A25" s="7" t="inlineStr">
        <is>
          <t xml:space="preserve">Revenue = Revenue_(t-1) × (1 + growth)</t>
        </is>
      </c>
      <c r="B25" s="16">
        <f>'Inputs_MSFT'!$B$10</f>
        <v>331839000000</v>
      </c>
      <c r="C25" s="16">
        <f>B25*(1+$B$9)</f>
        <v>377437485964.7743</v>
      </c>
      <c r="D25" s="16">
        <f>C25*(1+$B$9)</f>
        <v>429301727076.71246</v>
      </c>
      <c r="E25" s="16">
        <f>D25*(1+$B$9)</f>
        <v>488292709983.3655</v>
      </c>
      <c r="F25" s="16">
        <f>E25*(1+$B$9)</f>
        <v>555389730776.2141</v>
      </c>
      <c r="G25" s="16">
        <f>F25*(1+$B$9)</f>
        <v>631706652065.6918</v>
      </c>
    </row>
    <row r="26">
      <c r="A26" s="7" t="inlineStr">
        <is>
          <t xml:space="preserve">EBIT = Revenue × Operating Margin</t>
        </is>
      </c>
      <c r="C26" s="16">
        <f>C25*$B$10</f>
        <v>166733185322.2927</v>
      </c>
      <c r="D26" s="16">
        <f>D25*$B$10</f>
        <v>189644238003.80594</v>
      </c>
      <c r="E26" s="16">
        <f>E25*$B$10</f>
        <v>215703532194.413</v>
      </c>
      <c r="F26" s="16">
        <f>F25*$B$10</f>
        <v>245343672398.9073</v>
      </c>
      <c r="G26" s="16">
        <f>G25*$B$10</f>
        <v>279056707944.5416</v>
      </c>
    </row>
    <row r="27">
      <c r="A27" s="7" t="inlineStr">
        <is>
          <t xml:space="preserve">NOPAT = EBIT × (1 − Tax Rate)</t>
        </is>
      </c>
      <c r="C27" s="16">
        <f>C26*(1-$B$14)</f>
        <v>134393173211.46555</v>
      </c>
      <c r="D27" s="16">
        <f>D26*(1-$B$14)</f>
        <v>152860337174.84686</v>
      </c>
      <c r="E27" s="16">
        <f>E26*(1-$B$14)</f>
        <v>173865101350.35944</v>
      </c>
      <c r="F27" s="16">
        <f>F26*(1-$B$14)</f>
        <v>197756161122.3827</v>
      </c>
      <c r="G27" s="16">
        <f>G26*(1-$B$14)</f>
        <v>224930126621.87674</v>
      </c>
    </row>
    <row r="28">
      <c r="A28" s="7" t="inlineStr">
        <is>
          <t xml:space="preserve">D&amp;A = Revenue × D&amp;A% (A-004)</t>
        </is>
      </c>
      <c r="C28" s="16">
        <f>C25*'Inputs_MSFT'!$B$31</f>
        <v>11323124578.943228</v>
      </c>
      <c r="D28" s="16">
        <f>D25*'Inputs_MSFT'!$B$31</f>
        <v>12879051812.301373</v>
      </c>
      <c r="E28" s="16">
        <f>E25*'Inputs_MSFT'!$B$31</f>
        <v>14648781299.500963</v>
      </c>
      <c r="F28" s="16">
        <f>F25*'Inputs_MSFT'!$B$31</f>
        <v>16661691923.286423</v>
      </c>
      <c r="G28" s="16">
        <f>G25*'Inputs_MSFT'!$B$31</f>
        <v>18951199561.970753</v>
      </c>
    </row>
    <row r="29">
      <c r="A29" s="7" t="inlineStr">
        <is>
          <t xml:space="preserve">CapEx = Revenue × CapEx% (A-004)</t>
        </is>
      </c>
      <c r="C29" s="16">
        <f>C25*'Inputs_MSFT'!$B$32</f>
        <v>15097499438.590973</v>
      </c>
      <c r="D29" s="16">
        <f>D25*'Inputs_MSFT'!$B$32</f>
        <v>17172069083.068499</v>
      </c>
      <c r="E29" s="16">
        <f>E25*'Inputs_MSFT'!$B$32</f>
        <v>19531708399.33462</v>
      </c>
      <c r="F29" s="16">
        <f>F25*'Inputs_MSFT'!$B$32</f>
        <v>22215589231.048565</v>
      </c>
      <c r="G29" s="16">
        <f>G25*'Inputs_MSFT'!$B$32</f>
        <v>25268266082.62767</v>
      </c>
    </row>
    <row r="30">
      <c r="A30" s="7" t="inlineStr">
        <is>
          <t xml:space="preserve">ΔNWC = NWC% × (Revenue_t − Revenue_(t-1)) (A-004)</t>
        </is>
      </c>
      <c r="C30" s="16">
        <f>'Inputs_MSFT'!$B$33*(C25-B25)</f>
        <v>455984859.6477429</v>
      </c>
      <c r="D30" s="16">
        <f>'Inputs_MSFT'!$B$33*(D25-C25)</f>
        <v>518642411.1193817</v>
      </c>
      <c r="E30" s="16">
        <f>'Inputs_MSFT'!$B$33*(E25-D25)</f>
        <v>589909829.0665301</v>
      </c>
      <c r="F30" s="16">
        <f>'Inputs_MSFT'!$B$33*(F25-E25)</f>
        <v>670970207.9284863</v>
      </c>
      <c r="G30" s="16">
        <f>'Inputs_MSFT'!$B$33*(G25-F25)</f>
        <v>763169212.8947766</v>
      </c>
    </row>
    <row r="31">
      <c r="A31" s="7" t="inlineStr">
        <is>
          <t xml:space="preserve">Unlevered FCF = NOPAT + D&amp;A − CapEx − ΔNWC</t>
        </is>
      </c>
      <c r="C31" s="16">
        <f>C27+C28-C29-C30</f>
        <v>130162813492.17007</v>
      </c>
      <c r="D31" s="16">
        <f>D27+D28-D29-D30</f>
        <v>148048677492.96033</v>
      </c>
      <c r="E31" s="16">
        <f>E27+E28-E29-E30</f>
        <v>168392264421.45926</v>
      </c>
      <c r="F31" s="16">
        <f>F27+F28-F29-F30</f>
        <v>191531293606.69208</v>
      </c>
      <c r="G31" s="16">
        <f>G27+G28-G29-G30</f>
        <v>217849890888.32507</v>
      </c>
    </row>
    <row r="33">
      <c r="A33" s="3" t="inlineStr">
        <is>
          <t xml:space="preserve">SECTION 4 — Terminal Value (Gordon Growth)  [dcf.md §Terminal value]</t>
        </is>
      </c>
      <c r="B33" s="3"/>
      <c r="C33" s="3"/>
      <c r="D33" s="3"/>
      <c r="E33" s="3"/>
      <c r="F33" s="3"/>
      <c r="G33" s="3"/>
      <c r="H33" s="3"/>
    </row>
    <row r="34">
      <c r="A34" s="7" t="inlineStr">
        <is>
          <t xml:space="preserve">Terminal Value = FCF_Y5 × (1+g) / (WACC − g)</t>
        </is>
      </c>
      <c r="B34" s="16">
        <f>G31*(1+'Inputs_MSFT'!$B$29)/(B21-'Inputs_MSFT'!$B$29)</f>
        <v>2977114493450.9736</v>
      </c>
    </row>
    <row r="35">
      <c r="A35" s="7" t="inlineStr">
        <is>
          <t xml:space="preserve">Check: Final WACC &gt; Terminal Growth Rate?</t>
        </is>
      </c>
      <c r="B35" s="21" t="str">
        <f>IF(B21&gt;'Inputs_MSFT'!$B$29,"PASS","FAIL")</f>
        <v>PASS</v>
      </c>
    </row>
    <row r="37">
      <c r="A37" s="3" t="inlineStr">
        <is>
          <t xml:space="preserve">SECTION 5 — Discounting &amp; Enterprise-to-Equity Bridge  [dcf.md §Discounting and the Enterprise-to-Equity bridge]</t>
        </is>
      </c>
      <c r="B37" s="3"/>
      <c r="C37" s="3"/>
      <c r="D37" s="3"/>
      <c r="E37" s="3"/>
      <c r="F37" s="3"/>
      <c r="G37" s="3"/>
      <c r="H37" s="3"/>
    </row>
    <row r="38">
      <c r="A38" s="7" t="inlineStr">
        <is>
          <t xml:space="preserve">PV(FCF_t) = FCF_t / (1+WACC)^t</t>
        </is>
      </c>
      <c r="C38" s="16">
        <f>C31/(1+$B$21)^1</f>
        <v>118329376936.31326</v>
      </c>
      <c r="D38" s="16">
        <f>D31/(1+$B$21)^2</f>
        <v>122353341051.15459</v>
      </c>
      <c r="E38" s="16">
        <f>E31/(1+$B$21)^3</f>
        <v>126514145971.01637</v>
      </c>
      <c r="F38" s="16">
        <f>F31/(1+$B$21)^4</f>
        <v>130816445168.29153</v>
      </c>
      <c r="G38" s="16">
        <f>G31/(1+$B$21)^5</f>
        <v>135265050363.53088</v>
      </c>
    </row>
    <row r="39">
      <c r="A39" s="7" t="inlineStr">
        <is>
          <t xml:space="preserve">Sum of PV(FCF Years 1-5)</t>
        </is>
      </c>
      <c r="B39" s="16">
        <f>SUM(C38:G38)</f>
        <v>633278359490.3066</v>
      </c>
    </row>
    <row r="40">
      <c r="A40" s="7" t="inlineStr">
        <is>
          <t xml:space="preserve">PV(Terminal Value) = TV / (1+WACC)^5</t>
        </is>
      </c>
      <c r="B40" s="16">
        <f>B34/(1+B21)^5</f>
        <v>1848518446589.798</v>
      </c>
    </row>
    <row r="41">
      <c r="A41" s="7" t="inlineStr">
        <is>
          <t xml:space="preserve">Enterprise Value = Sum PV(FCF) + PV(Terminal Value)</t>
        </is>
      </c>
      <c r="B41" s="16">
        <f>B39+B40</f>
        <v>2481796806080.1045</v>
      </c>
    </row>
    <row r="42">
      <c r="A42" s="7" t="inlineStr">
        <is>
          <t xml:space="preserve">Equity Value = Enterprise Value − Total Debt + Cash</t>
        </is>
      </c>
      <c r="B42" s="16">
        <f>B41-'Inputs_MSFT'!$B$17+'Inputs_MSFT'!$B$18</f>
        <v>2462437806080.1045</v>
      </c>
    </row>
    <row r="43">
      <c r="A43" s="7" t="inlineStr">
        <is>
          <t xml:space="preserve">Intrinsic Value per Share = Equity Value / Shares Outstanding</t>
        </is>
      </c>
      <c r="B43" s="19">
        <f>B42/'Inputs_MSFT'!$B$22</f>
        <v>331.61709251726467</v>
      </c>
    </row>
    <row r="44">
      <c r="A44" s="7" t="inlineStr">
        <is>
          <t xml:space="preserve">Current Price / Intrinsic Value (descriptive ratio, NOT a recommendation)</t>
        </is>
      </c>
      <c r="B44" s="20">
        <f>'Inputs_MSFT'!$B$21/B43</f>
        <v>1.4467891155972958</v>
      </c>
    </row>
    <row r="46">
      <c r="A46" s="3" t="inlineStr">
        <is>
          <t xml:space="preserve">SECTION 6 — Validation Checks (local to this company)</t>
        </is>
      </c>
      <c r="B46" s="3"/>
      <c r="C46" s="3"/>
      <c r="D46" s="3"/>
      <c r="E46" s="3"/>
      <c r="F46" s="3"/>
      <c r="G46" s="3"/>
      <c r="H46" s="3"/>
    </row>
    <row r="47">
      <c r="A47" s="7" t="inlineStr">
        <is>
          <t xml:space="preserve">WACC within documented clamp [5%,20%]?</t>
        </is>
      </c>
      <c r="B47" s="22" t="str">
        <f>IF(AND(B21&gt;='Inputs_MSFT'!$B$34,B21&lt;='Inputs_MSFT'!$B$35),"PASS","FAIL")</f>
        <v>PASS</v>
      </c>
    </row>
    <row r="48">
      <c r="A48" s="7" t="inlineStr">
        <is>
          <t xml:space="preserve">Enterprise Value is a finite number?</t>
        </is>
      </c>
      <c r="B48" s="22" t="str">
        <f>IF(ISNUMBER(B41),"PASS","FAIL")</f>
        <v>PASS</v>
      </c>
    </row>
    <row r="49">
      <c r="A49" s="7" t="inlineStr">
        <is>
          <t xml:space="preserve">Intrinsic Value per Share is a finite number?</t>
        </is>
      </c>
      <c r="B49" s="22" t="str">
        <f>IF(ISNUMBER(B43),"PASS","FAIL")</f>
        <v>PASS</v>
      </c>
    </row>
    <row r="50">
      <c r="A50" s="7" t="inlineStr">
        <is>
          <t xml:space="preserve">Intrinsic Value per Share is positive?</t>
        </is>
      </c>
      <c r="B50" s="22" t="str">
        <f>IF(B43&gt;0,"PASS","FAIL")</f>
        <v>PASS</v>
      </c>
    </row>
    <row r="51">
      <c r="A51" s="7" t="inlineStr">
        <is>
          <t xml:space="preserve">Effective tax rate within valid [0,1) range?</t>
        </is>
      </c>
      <c r="B51" s="22" t="str">
        <f>IF(AND(B14&gt;=0,B14&lt;1),"PASS","FAIL")</f>
        <v>PASS</v>
      </c>
    </row>
    <row r="52">
      <c r="A52" s="7" t="inlineStr">
        <is>
          <t xml:space="preserve">Final WACC exceeds terminal growth rate?</t>
        </is>
      </c>
      <c r="B52" s="22" t="str">
        <f>IF(B21&gt;'Inputs_MSFT'!$B$29,"PASS","FAIL")</f>
        <v>PASS</v>
      </c>
    </row>
  </sheetData>
  <mergeCells count="7">
    <mergeCell ref="A1:G1"/>
    <mergeCell ref="A4:H4"/>
    <mergeCell ref="A12:H12"/>
    <mergeCell ref="A23:H23"/>
    <mergeCell ref="A33:H33"/>
    <mergeCell ref="A37:H37"/>
    <mergeCell ref="A46:H46"/>
  </mergeCells>
</worksheet>
</file>

<file path=xl/worksheets/sheet6.xml><?xml version="1.0" encoding="utf-8"?>
<worksheet xmlns="http://schemas.openxmlformats.org/spreadsheetml/2006/main">
  <dimension ref="A1:O60"/>
  <sheetViews>
    <sheetView workbookViewId="0">
      <pane xSplit="1" ySplit="2" topLeftCell="B3" activePane="bottomRight" state="frozen"/>
      <selection pane="bottomRight" activeCell="B3" sqref="B3"/>
    </sheetView>
  </sheetViews>
  <sheetFormatPr defaultRowHeight="15"/>
  <cols>
    <col min="1" max="1" width="14"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s>
  <sheetData>
    <row r="1">
      <c r="A1" s="1" t="inlineStr">
        <is>
          <t xml:space="preserve">Sensitivity Analysis — MSFT</t>
        </is>
      </c>
    </row>
    <row r="2">
      <c r="A2" s="2" t="inlineStr">
        <is>
          <t xml:space="preserve">One variable at a time, other inputs held at base case. Per docs/independent-validation-plan.md §Sensitivity tables.</t>
        </is>
      </c>
    </row>
    <row r="4">
      <c r="A4" s="3" t="inlineStr">
        <is>
          <t xml:space="preserve">TABLE 1 — WACC Sensitivity (range [5%,20%], base FCF path held fixed)  [dcf.md Terminal Value + discounting]</t>
        </is>
      </c>
      <c r="B4" s="3"/>
      <c r="C4" s="3"/>
      <c r="D4" s="3"/>
      <c r="E4" s="3"/>
    </row>
    <row r="5">
      <c r="A5" s="4" t="inlineStr">
        <is>
          <t xml:space="preserve">WACC</t>
        </is>
      </c>
      <c r="B5" s="4" t="inlineStr">
        <is>
          <t xml:space="preserve">Terminal Value</t>
        </is>
      </c>
      <c r="C5" s="4" t="inlineStr">
        <is>
          <t xml:space="preserve">Enterprise Value</t>
        </is>
      </c>
      <c r="D5" s="4" t="inlineStr">
        <is>
          <t xml:space="preserve">Equity Value</t>
        </is>
      </c>
      <c r="E5" s="4" t="inlineStr">
        <is>
          <t xml:space="preserve">Intrinsic Value/Share</t>
        </is>
      </c>
    </row>
    <row r="6">
      <c r="A6" s="12">
        <v>0.05</v>
      </c>
      <c r="B6" s="16">
        <f>IF($A$6&lt;='Inputs_MSFT'!$B$29,"n/a (WACC&lt;=g)",'DCF_MSFT'!$G$31*(1+'Inputs_MSFT'!$B$29)/($A$6-'Inputs_MSFT'!$B$29))</f>
        <v>8931845526421.326</v>
      </c>
      <c r="C6" s="16">
        <f>IF(B6="n/a (WACC&lt;=g)","n/a",SUMPRODUCT('DCF_MSFT'!$C$31:$G$31,1/(1+$A$6)^{1,2,3,4,5})+B6/(1+$A$6)^5)</f>
        <v>7730311712249.185</v>
      </c>
      <c r="D6" s="16">
        <f>IF(C6="n/a","n/a",C6-'Inputs_MSFT'!$B$17+'Inputs_MSFT'!$B$18)</f>
        <v>7710952712249.185</v>
      </c>
      <c r="E6" s="19">
        <f>IF(D6="n/a","n/a",D6/'Inputs_MSFT'!$B$22)</f>
        <v>1038.435859236888</v>
      </c>
    </row>
    <row r="7">
      <c r="A7" s="12">
        <v>0.075</v>
      </c>
      <c r="B7" s="16">
        <f>IF($A$7&lt;='Inputs_MSFT'!$B$29,"n/a (WACC&lt;=g)",'DCF_MSFT'!$G$31*(1+'Inputs_MSFT'!$B$29)/($A$7-'Inputs_MSFT'!$B$29))</f>
        <v>4465922763210.664</v>
      </c>
      <c r="C7" s="16">
        <f>IF(B7="n/a (WACC&lt;=g)","n/a",SUMPRODUCT('DCF_MSFT'!$C$31:$G$31,1/(1+$A$7)^{1,2,3,4,5})+B7/(1+$A$7)^5)</f>
        <v>3790683177169.7993</v>
      </c>
      <c r="D7" s="16">
        <f>IF(C7="n/a","n/a",C7-'Inputs_MSFT'!$B$17+'Inputs_MSFT'!$B$18)</f>
        <v>3771324177169.7993</v>
      </c>
      <c r="E7" s="19">
        <f>IF(D7="n/a","n/a",D7/'Inputs_MSFT'!$B$22)</f>
        <v>507.8851354073267</v>
      </c>
    </row>
    <row r="8">
      <c r="A8" s="12">
        <v>0.1</v>
      </c>
      <c r="B8" s="16">
        <f>IF($A$8&lt;='Inputs_MSFT'!$B$29,"n/a (WACC&lt;=g)",'DCF_MSFT'!$G$31*(1+'Inputs_MSFT'!$B$29)/($A$8-'Inputs_MSFT'!$B$29))</f>
        <v>2977281842140.442</v>
      </c>
      <c r="C8" s="16">
        <f>IF(B8="n/a (WACC&lt;=g)","n/a",SUMPRODUCT('DCF_MSFT'!$C$31:$G$31,1/(1+$A$8)^{1,2,3,4,5})+B8/(1+$A$8)^5)</f>
        <v>2481943583661.7646</v>
      </c>
      <c r="D8" s="16">
        <f>IF(C8="n/a","n/a",C8-'Inputs_MSFT'!$B$17+'Inputs_MSFT'!$B$18)</f>
        <v>2462584583661.7646</v>
      </c>
      <c r="E8" s="19">
        <f>IF(D8="n/a","n/a",D8/'Inputs_MSFT'!$B$22)</f>
        <v>331.63685908954386</v>
      </c>
    </row>
    <row r="9">
      <c r="A9" s="12">
        <v>0.125</v>
      </c>
      <c r="B9" s="16">
        <f>IF($A$9&lt;='Inputs_MSFT'!$B$29,"n/a (WACC&lt;=g)",'DCF_MSFT'!$G$31*(1+'Inputs_MSFT'!$B$29)/($A$9-'Inputs_MSFT'!$B$29))</f>
        <v>2232961381605.3315</v>
      </c>
      <c r="C9" s="16">
        <f>IF(B9="n/a (WACC&lt;=g)","n/a",SUMPRODUCT('DCF_MSFT'!$C$31:$G$31,1/(1+$A$9)^{1,2,3,4,5})+B9/(1+$A$9)^5)</f>
        <v>1830542468566.1836</v>
      </c>
      <c r="D9" s="16">
        <f>IF(C9="n/a","n/a",C9-'Inputs_MSFT'!$B$17+'Inputs_MSFT'!$B$18)</f>
        <v>1811183468566.1836</v>
      </c>
      <c r="E9" s="19">
        <f>IF(D9="n/a","n/a",D9/'Inputs_MSFT'!$B$22)</f>
        <v>243.9125140047147</v>
      </c>
    </row>
    <row r="10">
      <c r="A10" s="12">
        <v>0.15</v>
      </c>
      <c r="B10" s="16">
        <f>IF($A$10&lt;='Inputs_MSFT'!$B$29,"n/a (WACC&lt;=g)",'DCF_MSFT'!$G$31*(1+'Inputs_MSFT'!$B$29)/($A$10-'Inputs_MSFT'!$B$29))</f>
        <v>1786369105284.2654</v>
      </c>
      <c r="C10" s="16">
        <f>IF(B10="n/a (WACC&lt;=g)","n/a",SUMPRODUCT('DCF_MSFT'!$C$31:$G$31,1/(1+$A$10)^{1,2,3,4,5})+B10/(1+$A$10)^5)</f>
        <v>1441811468513.8008</v>
      </c>
      <c r="D10" s="16">
        <f>IF(C10="n/a","n/a",C10-'Inputs_MSFT'!$B$17+'Inputs_MSFT'!$B$18)</f>
        <v>1422452468513.8008</v>
      </c>
      <c r="E10" s="19">
        <f>IF(D10="n/a","n/a",D10/'Inputs_MSFT'!$B$22)</f>
        <v>191.56201658691054</v>
      </c>
    </row>
    <row r="11">
      <c r="A11" s="12">
        <v>0.175</v>
      </c>
      <c r="B11" s="16">
        <f>IF($A$11&lt;='Inputs_MSFT'!$B$29,"n/a (WACC&lt;=g)",'DCF_MSFT'!$G$31*(1+'Inputs_MSFT'!$B$29)/($A$11-'Inputs_MSFT'!$B$29))</f>
        <v>1488640921070.2212</v>
      </c>
      <c r="C11" s="16">
        <f>IF(B11="n/a (WACC&lt;=g)","n/a",SUMPRODUCT('DCF_MSFT'!$C$31:$G$31,1/(1+$A$11)^{1,2,3,4,5})+B11/(1+$A$11)^5)</f>
        <v>1184223827605.2573</v>
      </c>
      <c r="D11" s="16">
        <f>IF(C11="n/a","n/a",C11-'Inputs_MSFT'!$B$17+'Inputs_MSFT'!$B$18)</f>
        <v>1164864827605.2573</v>
      </c>
      <c r="E11" s="19">
        <f>IF(D11="n/a","n/a",D11/'Inputs_MSFT'!$B$22)</f>
        <v>156.87262693590807</v>
      </c>
    </row>
    <row r="12">
      <c r="A12" s="12">
        <v>0.2</v>
      </c>
      <c r="B12" s="16">
        <f>IF($A$12&lt;='Inputs_MSFT'!$B$29,"n/a (WACC&lt;=g)",'DCF_MSFT'!$G$31*(1+'Inputs_MSFT'!$B$29)/($A$12-'Inputs_MSFT'!$B$29))</f>
        <v>1275977932345.9038</v>
      </c>
      <c r="C12" s="16">
        <f>IF(B12="n/a (WACC&lt;=g)","n/a",SUMPRODUCT('DCF_MSFT'!$C$31:$G$31,1/(1+$A$12)^{1,2,3,4,5})+B12/(1+$A$12)^5)</f>
        <v>1001432276031.3629</v>
      </c>
      <c r="D12" s="16">
        <f>IF(C12="n/a","n/a",C12-'Inputs_MSFT'!$B$17+'Inputs_MSFT'!$B$18)</f>
        <v>982073276031.3629</v>
      </c>
      <c r="E12" s="19">
        <f>IF(D12="n/a","n/a",D12/'Inputs_MSFT'!$B$22)</f>
        <v>132.2560446531056</v>
      </c>
    </row>
    <row r="13" ht="45" customHeight="1">
      <c r="A13" s="26" t="inlineStr">
        <is>
          <t xml:space="preserve">Direction check: IV decreases as WACC rises?</t>
        </is>
      </c>
      <c r="B13" s="22" t="str">
        <f>IF(E6&gt;E12,"PASS (as expected)","FAIL — investigate (see note)")</f>
        <v>PASS (as expected)</v>
      </c>
    </row>
    <row r="16">
      <c r="A16" s="3" t="inlineStr">
        <is>
          <t xml:space="preserve">TABLE 2 — Terminal Growth Rate Sensitivity (range [0%,5%]); invalid where g&gt;=WACC</t>
        </is>
      </c>
      <c r="B16" s="3"/>
      <c r="C16" s="3"/>
      <c r="D16" s="3"/>
      <c r="E16" s="3"/>
    </row>
    <row r="17">
      <c r="A17" s="4" t="inlineStr">
        <is>
          <t xml:space="preserve">Terminal Growth g</t>
        </is>
      </c>
      <c r="B17" s="4" t="inlineStr">
        <is>
          <t xml:space="preserve">Terminal Value</t>
        </is>
      </c>
      <c r="C17" s="4" t="inlineStr">
        <is>
          <t xml:space="preserve">Enterprise Value</t>
        </is>
      </c>
      <c r="D17" s="4" t="inlineStr">
        <is>
          <t xml:space="preserve">Equity Value</t>
        </is>
      </c>
      <c r="E17" s="4" t="inlineStr">
        <is>
          <t xml:space="preserve">Intrinsic Value/Share</t>
        </is>
      </c>
    </row>
    <row r="18">
      <c r="A18" s="12">
        <v>0.0</v>
      </c>
      <c r="B18" s="16">
        <f>IF($A$18&gt;='DCF_MSFT'!$B$21,"n/a (g&gt;=WACC)",'DCF_MSFT'!$G$31*(1+$A$18)/('DCF_MSFT'!$B$21-$A$18))</f>
        <v>2178407069897.2764</v>
      </c>
      <c r="C18" s="16">
        <f>IF(B18="n/a (g&gt;=WACC)","n/a",'DCF_MSFT'!$B$39+B18/(1+'DCF_MSFT'!$B$21)^5)</f>
        <v>1985871839433.6938</v>
      </c>
      <c r="D18" s="16">
        <f>IF(C18="n/a","n/a",C18-'Inputs_MSFT'!$B$17+'Inputs_MSFT'!$B$18)</f>
        <v>1966512839433.6938</v>
      </c>
      <c r="E18" s="19">
        <f>IF(D18="n/a","n/a",D18/'Inputs_MSFT'!$B$22)</f>
        <v>264.8307577964704</v>
      </c>
    </row>
    <row r="19">
      <c r="A19" s="12">
        <v>0.01</v>
      </c>
      <c r="B19" s="16">
        <f>IF($A$19&gt;='DCF_MSFT'!$B$21,"n/a (g&gt;=WACC)",'DCF_MSFT'!$G$31*(1+$A$19)/('DCF_MSFT'!$B$21-$A$19))</f>
        <v>2444645371893.24</v>
      </c>
      <c r="C19" s="16">
        <f>IF(B19="n/a (g&gt;=WACC)","n/a",'DCF_MSFT'!$B$39+B19/(1+'DCF_MSFT'!$B$21)^5)</f>
        <v>2151181710287.1338</v>
      </c>
      <c r="D19" s="16">
        <f>IF(C19="n/a","n/a",C19-'Inputs_MSFT'!$B$17+'Inputs_MSFT'!$B$18)</f>
        <v>2131822710287.1338</v>
      </c>
      <c r="E19" s="19">
        <f>IF(D19="n/a","n/a",D19/'Inputs_MSFT'!$B$22)</f>
        <v>287.0930779255169</v>
      </c>
    </row>
    <row r="20">
      <c r="A20" s="12">
        <v>0.02</v>
      </c>
      <c r="B20" s="16">
        <f>IF($A$20&gt;='DCF_MSFT'!$B$21,"n/a (g&gt;=WACC)",'DCF_MSFT'!$G$31*(1+$A$20)/('DCF_MSFT'!$B$21-$A$20))</f>
        <v>2777439741984.845</v>
      </c>
      <c r="C20" s="16">
        <f>IF(B20="n/a (g&gt;=WACC)","n/a",'DCF_MSFT'!$B$39+B20/(1+'DCF_MSFT'!$B$21)^5)</f>
        <v>2357816871074.1387</v>
      </c>
      <c r="D20" s="16">
        <f>IF(C20="n/a","n/a",C20-'Inputs_MSFT'!$B$17+'Inputs_MSFT'!$B$18)</f>
        <v>2338457871074.1387</v>
      </c>
      <c r="E20" s="19">
        <f>IF(D20="n/a","n/a",D20/'Inputs_MSFT'!$B$22)</f>
        <v>314.9206848046955</v>
      </c>
    </row>
    <row r="21">
      <c r="A21" s="12">
        <v>0.025</v>
      </c>
      <c r="B21" s="16">
        <f>IF($A$21&gt;='DCF_MSFT'!$B$21,"n/a (g&gt;=WACC)",'DCF_MSFT'!$G$31*(1+$A$21)/('DCF_MSFT'!$B$21-$A$21))</f>
        <v>2977114493450.9736</v>
      </c>
      <c r="C21" s="16">
        <f>IF(B21="n/a (g&gt;=WACC)","n/a",'DCF_MSFT'!$B$39+B21/(1+'DCF_MSFT'!$B$21)^5)</f>
        <v>2481796806080.1045</v>
      </c>
      <c r="D21" s="16">
        <f>IF(C21="n/a","n/a",C21-'Inputs_MSFT'!$B$17+'Inputs_MSFT'!$B$18)</f>
        <v>2462437806080.1045</v>
      </c>
      <c r="E21" s="19">
        <f>IF(D21="n/a","n/a",D21/'Inputs_MSFT'!$B$22)</f>
        <v>331.61709251726467</v>
      </c>
    </row>
    <row r="22">
      <c r="A22" s="12">
        <v>0.03</v>
      </c>
      <c r="B22" s="16">
        <f>IF($A$22&gt;='DCF_MSFT'!$B$21,"n/a (g&gt;=WACC)",'DCF_MSFT'!$G$31*(1+$A$22)/('DCF_MSFT'!$B$21-$A$22))</f>
        <v>3205312491547.549</v>
      </c>
      <c r="C22" s="16">
        <f>IF(B22="n/a (g&gt;=WACC)","n/a",'DCF_MSFT'!$B$39+B22/(1+'DCF_MSFT'!$B$21)^5)</f>
        <v>2623487093734.246</v>
      </c>
      <c r="D22" s="16">
        <f>IF(C22="n/a","n/a",C22-'Inputs_MSFT'!$B$17+'Inputs_MSFT'!$B$18)</f>
        <v>2604128093734.246</v>
      </c>
      <c r="E22" s="19">
        <f>IF(D22="n/a","n/a",D22/'Inputs_MSFT'!$B$22)</f>
        <v>350.6985576871804</v>
      </c>
    </row>
    <row r="23">
      <c r="A23" s="12">
        <v>0.04</v>
      </c>
      <c r="B23" s="16">
        <f>IF($A$23&gt;='DCF_MSFT'!$B$21,"n/a (g&gt;=WACC)",'DCF_MSFT'!$G$31*(1+$A$23)/('DCF_MSFT'!$B$21-$A$23))</f>
        <v>3775799470227.801</v>
      </c>
      <c r="C23" s="16">
        <f>IF(B23="n/a (g&gt;=WACC)","n/a",'DCF_MSFT'!$B$39+B23/(1+'DCF_MSFT'!$B$21)^5)</f>
        <v>2977707835311.209</v>
      </c>
      <c r="D23" s="16">
        <f>IF(C23="n/a","n/a",C23-'Inputs_MSFT'!$B$17+'Inputs_MSFT'!$B$18)</f>
        <v>2958348835311.209</v>
      </c>
      <c r="E23" s="19">
        <f>IF(D23="n/a","n/a",D23/'Inputs_MSFT'!$B$22)</f>
        <v>398.40155028298227</v>
      </c>
    </row>
    <row r="24">
      <c r="A24" s="12">
        <v>0.05</v>
      </c>
      <c r="B24" s="16">
        <f>IF($A$24&gt;='DCF_MSFT'!$B$21,"n/a (g&gt;=WACC)",'DCF_MSFT'!$G$31*(1+$A$24)/('DCF_MSFT'!$B$21-$A$24))</f>
        <v>4574462001174.006</v>
      </c>
      <c r="C24" s="16">
        <f>IF(B24="n/a (g&gt;=WACC)","n/a",'DCF_MSFT'!$B$39+B24/(1+'DCF_MSFT'!$B$21)^5)</f>
        <v>3473604927714.5405</v>
      </c>
      <c r="D24" s="16">
        <f>IF(C24="n/a","n/a",C24-'Inputs_MSFT'!$B$17+'Inputs_MSFT'!$B$18)</f>
        <v>3454245927714.5405</v>
      </c>
      <c r="E24" s="19">
        <f>IF(D24="n/a","n/a",D24/'Inputs_MSFT'!$B$22)</f>
        <v>465.1841311727465</v>
      </c>
    </row>
    <row r="25" ht="45" customHeight="1">
      <c r="A25" s="26" t="inlineStr">
        <is>
          <t xml:space="preserve">Direction check: IV increases as terminal growth rises (where valid)?</t>
        </is>
      </c>
      <c r="B25" s="22" t="str">
        <f>IF(E18&lt;E24,"PASS (as expected)","FAIL — investigate (see note)")</f>
        <v>PASS (as expected)</v>
      </c>
    </row>
    <row r="28">
      <c r="A28" s="3" t="inlineStr">
        <is>
          <t xml:space="preserve">TABLE 3 — Revenue Growth Sensitivity (range [-10%,40%]); base WACC &amp; margin held fixed</t>
        </is>
      </c>
      <c r="B28" s="3"/>
      <c r="C28" s="3"/>
      <c r="D28" s="3"/>
      <c r="E28" s="3"/>
      <c r="F28" s="3"/>
      <c r="G28" s="3"/>
      <c r="H28" s="3"/>
      <c r="I28" s="3"/>
      <c r="J28" s="3"/>
      <c r="K28" s="3"/>
      <c r="L28" s="3"/>
      <c r="M28" s="3"/>
      <c r="N28" s="3"/>
    </row>
    <row r="29">
      <c r="A29" s="4" t="inlineStr">
        <is>
          <t xml:space="preserve">Growth g</t>
        </is>
      </c>
      <c r="B29" s="4" t="inlineStr">
        <is>
          <t xml:space="preserve">Rev Y1</t>
        </is>
      </c>
      <c r="C29" s="4" t="inlineStr">
        <is>
          <t xml:space="preserve">Rev Y2</t>
        </is>
      </c>
      <c r="D29" s="4" t="inlineStr">
        <is>
          <t xml:space="preserve">Rev Y3</t>
        </is>
      </c>
      <c r="E29" s="4" t="inlineStr">
        <is>
          <t xml:space="preserve">Rev Y4</t>
        </is>
      </c>
      <c r="F29" s="4" t="inlineStr">
        <is>
          <t xml:space="preserve">Rev Y5</t>
        </is>
      </c>
      <c r="G29" s="4" t="inlineStr">
        <is>
          <t xml:space="preserve">FCF Y1</t>
        </is>
      </c>
      <c r="H29" s="4" t="inlineStr">
        <is>
          <t xml:space="preserve">FCF Y2</t>
        </is>
      </c>
      <c r="I29" s="4" t="inlineStr">
        <is>
          <t xml:space="preserve">FCF Y3</t>
        </is>
      </c>
      <c r="J29" s="4" t="inlineStr">
        <is>
          <t xml:space="preserve">FCF Y4</t>
        </is>
      </c>
      <c r="K29" s="4" t="inlineStr">
        <is>
          <t xml:space="preserve">FCF Y5</t>
        </is>
      </c>
      <c r="L29" s="4" t="inlineStr">
        <is>
          <t xml:space="preserve">Terminal Value</t>
        </is>
      </c>
      <c r="M29" s="4" t="inlineStr">
        <is>
          <t xml:space="preserve">Enterprise Value</t>
        </is>
      </c>
      <c r="N29" s="4" t="inlineStr">
        <is>
          <t xml:space="preserve">Equity Value</t>
        </is>
      </c>
      <c r="O29" s="4" t="inlineStr">
        <is>
          <t xml:space="preserve">Intrinsic Value/Share</t>
        </is>
      </c>
    </row>
    <row r="30">
      <c r="A30" s="12">
        <v>-0.1</v>
      </c>
      <c r="B30" s="16">
        <f>'DCF_MSFT'!$B$25*(1+$A$30)</f>
        <v>298655100000.0</v>
      </c>
      <c r="C30" s="16">
        <f>B30*(1+$A$30)</f>
        <v>268789590000.0</v>
      </c>
      <c r="D30" s="16">
        <f>C30*(1+$A$30)</f>
        <v>241910631000.0</v>
      </c>
      <c r="E30" s="16">
        <f>D30*(1+$A$30)</f>
        <v>217719567900.0</v>
      </c>
      <c r="F30" s="16">
        <f>E30*(1+$A$30)</f>
        <v>195947611110.0</v>
      </c>
      <c r="G30" s="16">
        <f>B30*'DCF_MSFT'!$B$10*(1-'DCF_MSFT'!$B$14)+B30*'Inputs_MSFT'!$B$31-B30*'Inputs_MSFT'!$B$32-'Inputs_MSFT'!$B$33*(B30-'DCF_MSFT'!$B$25)</f>
        <v>103686624187.6131</v>
      </c>
      <c r="H30" s="16">
        <f>C30*'DCF_MSFT'!$B$10*(1-'DCF_MSFT'!$B$14)+C30*'Inputs_MSFT'!$B$31-C30*'Inputs_MSFT'!$B$32-'Inputs_MSFT'!$B$33*(C30-B30)</f>
        <v>93317961768.85179</v>
      </c>
      <c r="I30" s="16">
        <f>D30*'DCF_MSFT'!$B$10*(1-'DCF_MSFT'!$B$14)+D30*'Inputs_MSFT'!$B$31-D30*'Inputs_MSFT'!$B$32-'Inputs_MSFT'!$B$33*(D30-C30)</f>
        <v>83986165591.96661</v>
      </c>
      <c r="J30" s="16">
        <f>E30*'DCF_MSFT'!$B$10*(1-'DCF_MSFT'!$B$14)+E30*'Inputs_MSFT'!$B$31-E30*'Inputs_MSFT'!$B$32-'Inputs_MSFT'!$B$33*(E30-D30)</f>
        <v>75587549032.76996</v>
      </c>
      <c r="K30" s="16">
        <f>F30*'DCF_MSFT'!$B$10*(1-'DCF_MSFT'!$B$14)+F30*'Inputs_MSFT'!$B$31-F30*'Inputs_MSFT'!$B$32-'Inputs_MSFT'!$B$33*(F30-E30)</f>
        <v>68028794129.492966</v>
      </c>
      <c r="L30" s="16">
        <f>K30*(1+'Inputs_MSFT'!$B$29)/('DCF_MSFT'!$B$21-'Inputs_MSFT'!$B$29)</f>
        <v>929674594506.5786</v>
      </c>
      <c r="M30" s="16">
        <f>SUMPRODUCT(G30:K30,1/(1+'DCF_MSFT'!$B$21)^{1,2,3,4,5})+L30/(1+'DCF_MSFT'!$B$21)^5</f>
        <v>905591179621.5406</v>
      </c>
      <c r="N30" s="16">
        <f>M30-'Inputs_MSFT'!$B$17+'Inputs_MSFT'!$B$18</f>
        <v>886232179621.5406</v>
      </c>
      <c r="O30" s="19">
        <f>N30/'Inputs_MSFT'!$B$22</f>
        <v>119.34910111259605</v>
      </c>
    </row>
    <row r="31">
      <c r="A31" s="12">
        <v>-0.05</v>
      </c>
      <c r="B31" s="16">
        <f>'DCF_MSFT'!$B$25*(1+$A$31)</f>
        <v>315247050000.0</v>
      </c>
      <c r="C31" s="16">
        <f>B31*(1+$A$31)</f>
        <v>299484697500.0</v>
      </c>
      <c r="D31" s="16">
        <f>C31*(1+$A$31)</f>
        <v>284510462625.0</v>
      </c>
      <c r="E31" s="16">
        <f>D31*(1+$A$31)</f>
        <v>270284939493.75</v>
      </c>
      <c r="F31" s="16">
        <f>E31*(1+$A$31)</f>
        <v>256770692519.0625</v>
      </c>
      <c r="G31" s="16">
        <f>B31*'DCF_MSFT'!$B$10*(1-'DCF_MSFT'!$B$14)+B31*'Inputs_MSFT'!$B$31-B31*'Inputs_MSFT'!$B$32-'Inputs_MSFT'!$B$33*(B31-'DCF_MSFT'!$B$25)</f>
        <v>109262637198.03606</v>
      </c>
      <c r="H31" s="16">
        <f>C31*'DCF_MSFT'!$B$10*(1-'DCF_MSFT'!$B$14)+C31*'Inputs_MSFT'!$B$31-C31*'Inputs_MSFT'!$B$32-'Inputs_MSFT'!$B$33*(C31-B31)</f>
        <v>103799505338.13426</v>
      </c>
      <c r="I31" s="16">
        <f>D31*'DCF_MSFT'!$B$10*(1-'DCF_MSFT'!$B$14)+D31*'Inputs_MSFT'!$B$31-D31*'Inputs_MSFT'!$B$32-'Inputs_MSFT'!$B$33*(D31-C31)</f>
        <v>98609530071.22754</v>
      </c>
      <c r="J31" s="16">
        <f>E31*'DCF_MSFT'!$B$10*(1-'DCF_MSFT'!$B$14)+E31*'Inputs_MSFT'!$B$31-E31*'Inputs_MSFT'!$B$32-'Inputs_MSFT'!$B$33*(E31-D31)</f>
        <v>93679053567.66615</v>
      </c>
      <c r="K31" s="16">
        <f>F31*'DCF_MSFT'!$B$10*(1-'DCF_MSFT'!$B$14)+F31*'Inputs_MSFT'!$B$31-F31*'Inputs_MSFT'!$B$32-'Inputs_MSFT'!$B$33*(F31-E31)</f>
        <v>88995100889.28285</v>
      </c>
      <c r="L31" s="16">
        <f>K31*(1+'Inputs_MSFT'!$B$29)/('DCF_MSFT'!$B$21-'Inputs_MSFT'!$B$29)</f>
        <v>1216198014253.009</v>
      </c>
      <c r="M31" s="16">
        <f>SUMPRODUCT(G31:K31,1/(1+'DCF_MSFT'!$B$21)^{1,2,3,4,5})+L31/(1+'DCF_MSFT'!$B$21)^5</f>
        <v>1133589073777.7178</v>
      </c>
      <c r="N31" s="16">
        <f>M31-'Inputs_MSFT'!$B$17+'Inputs_MSFT'!$B$18</f>
        <v>1114230073777.7178</v>
      </c>
      <c r="O31" s="19">
        <f>N31/'Inputs_MSFT'!$B$22</f>
        <v>150.05363244063355</v>
      </c>
    </row>
    <row r="32">
      <c r="A32" s="12">
        <v>0.0</v>
      </c>
      <c r="B32" s="16">
        <f>'DCF_MSFT'!$B$25*(1+$A$32)</f>
        <v>331839000000.0</v>
      </c>
      <c r="C32" s="16">
        <f>B32*(1+$A$32)</f>
        <v>331839000000.0</v>
      </c>
      <c r="D32" s="16">
        <f>C32*(1+$A$32)</f>
        <v>331839000000.0</v>
      </c>
      <c r="E32" s="16">
        <f>D32*(1+$A$32)</f>
        <v>331839000000.0</v>
      </c>
      <c r="F32" s="16">
        <f>E32*(1+$A$32)</f>
        <v>331839000000.0</v>
      </c>
      <c r="G32" s="16">
        <f>B32*'DCF_MSFT'!$B$10*(1-'DCF_MSFT'!$B$14)+B32*'Inputs_MSFT'!$B$31-B32*'Inputs_MSFT'!$B$32-'Inputs_MSFT'!$B$33*(B32-'DCF_MSFT'!$B$25)</f>
        <v>114838650208.459</v>
      </c>
      <c r="H32" s="16">
        <f>C32*'DCF_MSFT'!$B$10*(1-'DCF_MSFT'!$B$14)+C32*'Inputs_MSFT'!$B$31-C32*'Inputs_MSFT'!$B$32-'Inputs_MSFT'!$B$33*(C32-B32)</f>
        <v>114838650208.459</v>
      </c>
      <c r="I32" s="16">
        <f>D32*'DCF_MSFT'!$B$10*(1-'DCF_MSFT'!$B$14)+D32*'Inputs_MSFT'!$B$31-D32*'Inputs_MSFT'!$B$32-'Inputs_MSFT'!$B$33*(D32-C32)</f>
        <v>114838650208.459</v>
      </c>
      <c r="J32" s="16">
        <f>E32*'DCF_MSFT'!$B$10*(1-'DCF_MSFT'!$B$14)+E32*'Inputs_MSFT'!$B$31-E32*'Inputs_MSFT'!$B$32-'Inputs_MSFT'!$B$33*(E32-D32)</f>
        <v>114838650208.459</v>
      </c>
      <c r="K32" s="16">
        <f>F32*'DCF_MSFT'!$B$10*(1-'DCF_MSFT'!$B$14)+F32*'Inputs_MSFT'!$B$31-F32*'Inputs_MSFT'!$B$32-'Inputs_MSFT'!$B$33*(F32-E32)</f>
        <v>114838650208.459</v>
      </c>
      <c r="L32" s="16">
        <f>K32*(1+'Inputs_MSFT'!$B$29)/('DCF_MSFT'!$B$21-'Inputs_MSFT'!$B$29)</f>
        <v>1569373335693.8408</v>
      </c>
      <c r="M32" s="16">
        <f>SUMPRODUCT(G32:K32,1/(1+'DCF_MSFT'!$B$21)^{1,2,3,4,5})+L32/(1+'DCF_MSFT'!$B$21)^5</f>
        <v>1409762841898.1003</v>
      </c>
      <c r="N32" s="16">
        <f>M32-'Inputs_MSFT'!$B$17+'Inputs_MSFT'!$B$18</f>
        <v>1390403841898.1003</v>
      </c>
      <c r="O32" s="19">
        <f>N32/'Inputs_MSFT'!$B$22</f>
        <v>187.24602032043498</v>
      </c>
    </row>
    <row r="33">
      <c r="A33" s="12">
        <v>0.05</v>
      </c>
      <c r="B33" s="16">
        <f>'DCF_MSFT'!$B$25*(1+$A$33)</f>
        <v>348430950000.0</v>
      </c>
      <c r="C33" s="16">
        <f>B33*(1+$A$33)</f>
        <v>365852497500.0</v>
      </c>
      <c r="D33" s="16">
        <f>C33*(1+$A$33)</f>
        <v>384145122375.0</v>
      </c>
      <c r="E33" s="16">
        <f>D33*(1+$A$33)</f>
        <v>403352378493.75</v>
      </c>
      <c r="F33" s="16">
        <f>E33*(1+$A$33)</f>
        <v>423519997418.4375</v>
      </c>
      <c r="G33" s="16">
        <f>B33*'DCF_MSFT'!$B$10*(1-'DCF_MSFT'!$B$14)+B33*'Inputs_MSFT'!$B$31-B33*'Inputs_MSFT'!$B$32-'Inputs_MSFT'!$B$33*(B33-'DCF_MSFT'!$B$25)</f>
        <v>120414663218.88194</v>
      </c>
      <c r="H33" s="16">
        <f>C33*'DCF_MSFT'!$B$10*(1-'DCF_MSFT'!$B$14)+C33*'Inputs_MSFT'!$B$31-C33*'Inputs_MSFT'!$B$32-'Inputs_MSFT'!$B$33*(C33-B33)</f>
        <v>126435396379.82605</v>
      </c>
      <c r="I33" s="16">
        <f>D33*'DCF_MSFT'!$B$10*(1-'DCF_MSFT'!$B$14)+D33*'Inputs_MSFT'!$B$31-D33*'Inputs_MSFT'!$B$32-'Inputs_MSFT'!$B$33*(D33-C33)</f>
        <v>132757166198.81735</v>
      </c>
      <c r="J33" s="16">
        <f>E33*'DCF_MSFT'!$B$10*(1-'DCF_MSFT'!$B$14)+E33*'Inputs_MSFT'!$B$31-E33*'Inputs_MSFT'!$B$32-'Inputs_MSFT'!$B$33*(E33-D33)</f>
        <v>139395024508.75824</v>
      </c>
      <c r="K33" s="16">
        <f>F33*'DCF_MSFT'!$B$10*(1-'DCF_MSFT'!$B$14)+F33*'Inputs_MSFT'!$B$31-F33*'Inputs_MSFT'!$B$32-'Inputs_MSFT'!$B$33*(F33-E33)</f>
        <v>146364775734.19614</v>
      </c>
      <c r="L33" s="16">
        <f>K33*(1+'Inputs_MSFT'!$B$29)/('DCF_MSFT'!$B$21-'Inputs_MSFT'!$B$29)</f>
        <v>2000206166696.4504</v>
      </c>
      <c r="M33" s="16">
        <f>SUMPRODUCT(G33:K33,1/(1+'DCF_MSFT'!$B$21)^{1,2,3,4,5})+L33/(1+'DCF_MSFT'!$B$21)^5</f>
        <v>1741733341488.606</v>
      </c>
      <c r="N33" s="16">
        <f>M33-'Inputs_MSFT'!$B$17+'Inputs_MSFT'!$B$18</f>
        <v>1722374341488.606</v>
      </c>
      <c r="O33" s="19">
        <f>N33/'Inputs_MSFT'!$B$22</f>
        <v>231.95256746809767</v>
      </c>
    </row>
    <row r="34">
      <c r="A34" s="12">
        <v>0.1</v>
      </c>
      <c r="B34" s="16">
        <f>'DCF_MSFT'!$B$25*(1+$A$34)</f>
        <v>365022900000.0</v>
      </c>
      <c r="C34" s="16">
        <f>B34*(1+$A$34)</f>
        <v>401525190000.00006</v>
      </c>
      <c r="D34" s="16">
        <f>C34*(1+$A$34)</f>
        <v>441677709000.0001</v>
      </c>
      <c r="E34" s="16">
        <f>D34*(1+$A$34)</f>
        <v>485845479900.0002</v>
      </c>
      <c r="F34" s="16">
        <f>E34*(1+$A$34)</f>
        <v>534430027890.00024</v>
      </c>
      <c r="G34" s="16">
        <f>B34*'DCF_MSFT'!$B$10*(1-'DCF_MSFT'!$B$14)+B34*'Inputs_MSFT'!$B$31-B34*'Inputs_MSFT'!$B$32-'Inputs_MSFT'!$B$33*(B34-'DCF_MSFT'!$B$25)</f>
        <v>125990676229.30493</v>
      </c>
      <c r="H34" s="16">
        <f>C34*'DCF_MSFT'!$B$10*(1-'DCF_MSFT'!$B$14)+C34*'Inputs_MSFT'!$B$31-C34*'Inputs_MSFT'!$B$32-'Inputs_MSFT'!$B$33*(C34-B34)</f>
        <v>138589743852.2354</v>
      </c>
      <c r="I34" s="16">
        <f>D34*'DCF_MSFT'!$B$10*(1-'DCF_MSFT'!$B$14)+D34*'Inputs_MSFT'!$B$31-D34*'Inputs_MSFT'!$B$32-'Inputs_MSFT'!$B$33*(D34-C34)</f>
        <v>152448718237.45898</v>
      </c>
      <c r="J34" s="16">
        <f>E34*'DCF_MSFT'!$B$10*(1-'DCF_MSFT'!$B$14)+E34*'Inputs_MSFT'!$B$31-E34*'Inputs_MSFT'!$B$32-'Inputs_MSFT'!$B$33*(E34-D34)</f>
        <v>167693590061.2049</v>
      </c>
      <c r="K34" s="16">
        <f>F34*'DCF_MSFT'!$B$10*(1-'DCF_MSFT'!$B$14)+F34*'Inputs_MSFT'!$B$31-F34*'Inputs_MSFT'!$B$32-'Inputs_MSFT'!$B$33*(F34-E34)</f>
        <v>184462949067.3254</v>
      </c>
      <c r="L34" s="16">
        <f>K34*(1+'Inputs_MSFT'!$B$29)/('DCF_MSFT'!$B$21-'Inputs_MSFT'!$B$29)</f>
        <v>2520851935861.465</v>
      </c>
      <c r="M34" s="16">
        <f>SUMPRODUCT(G34:K34,1/(1+'DCF_MSFT'!$B$21)^{1,2,3,4,5})+L34/(1+'DCF_MSFT'!$B$21)^5</f>
        <v>2137899031933.7925</v>
      </c>
      <c r="N34" s="16">
        <f>M34-'Inputs_MSFT'!$B$17+'Inputs_MSFT'!$B$18</f>
        <v>2118540031933.7925</v>
      </c>
      <c r="O34" s="19">
        <f>N34/'Inputs_MSFT'!$B$22</f>
        <v>285.30429643203064</v>
      </c>
    </row>
    <row r="35">
      <c r="A35" s="12">
        <v>0.2</v>
      </c>
      <c r="B35" s="16">
        <f>'DCF_MSFT'!$B$25*(1+$A$35)</f>
        <v>398206800000.0</v>
      </c>
      <c r="C35" s="16">
        <f>B35*(1+$A$35)</f>
        <v>477848160000.0</v>
      </c>
      <c r="D35" s="16">
        <f>C35*(1+$A$35)</f>
        <v>573417792000.0</v>
      </c>
      <c r="E35" s="16">
        <f>D35*(1+$A$35)</f>
        <v>688101350400.0</v>
      </c>
      <c r="F35" s="16">
        <f>E35*(1+$A$35)</f>
        <v>825721620480.0</v>
      </c>
      <c r="G35" s="16">
        <f>B35*'DCF_MSFT'!$B$10*(1-'DCF_MSFT'!$B$14)+B35*'Inputs_MSFT'!$B$31-B35*'Inputs_MSFT'!$B$32-'Inputs_MSFT'!$B$33*(B35-'DCF_MSFT'!$B$25)</f>
        <v>137142702250.15082</v>
      </c>
      <c r="H35" s="16">
        <f>C35*'DCF_MSFT'!$B$10*(1-'DCF_MSFT'!$B$14)+C35*'Inputs_MSFT'!$B$31-C35*'Inputs_MSFT'!$B$32-'Inputs_MSFT'!$B$33*(C35-B35)</f>
        <v>164571242700.18097</v>
      </c>
      <c r="I35" s="16">
        <f>D35*'DCF_MSFT'!$B$10*(1-'DCF_MSFT'!$B$14)+D35*'Inputs_MSFT'!$B$31-D35*'Inputs_MSFT'!$B$32-'Inputs_MSFT'!$B$33*(D35-C35)</f>
        <v>197485491240.21716</v>
      </c>
      <c r="J35" s="16">
        <f>E35*'DCF_MSFT'!$B$10*(1-'DCF_MSFT'!$B$14)+E35*'Inputs_MSFT'!$B$31-E35*'Inputs_MSFT'!$B$32-'Inputs_MSFT'!$B$33*(E35-D35)</f>
        <v>236982589488.2606</v>
      </c>
      <c r="K35" s="16">
        <f>F35*'DCF_MSFT'!$B$10*(1-'DCF_MSFT'!$B$14)+F35*'Inputs_MSFT'!$B$31-F35*'Inputs_MSFT'!$B$32-'Inputs_MSFT'!$B$33*(F35-E35)</f>
        <v>284379107385.9127</v>
      </c>
      <c r="L35" s="16">
        <f>K35*(1+'Inputs_MSFT'!$B$29)/('DCF_MSFT'!$B$21-'Inputs_MSFT'!$B$29)</f>
        <v>3886296012272.291</v>
      </c>
      <c r="M35" s="16">
        <f>SUMPRODUCT(G35:K35,1/(1+'DCF_MSFT'!$B$21)^{1,2,3,4,5})+L35/(1+'DCF_MSFT'!$B$21)^5</f>
        <v>3160526325487.33</v>
      </c>
      <c r="N35" s="16">
        <f>M35-'Inputs_MSFT'!$B$17+'Inputs_MSFT'!$B$18</f>
        <v>3141167325487.33</v>
      </c>
      <c r="O35" s="19">
        <f>N35/'Inputs_MSFT'!$B$22</f>
        <v>423.02176039383585</v>
      </c>
    </row>
    <row r="36">
      <c r="A36" s="12">
        <v>0.3</v>
      </c>
      <c r="B36" s="16">
        <f>'DCF_MSFT'!$B$25*(1+$A$36)</f>
        <v>431390700000.0</v>
      </c>
      <c r="C36" s="16">
        <f>B36*(1+$A$36)</f>
        <v>560807910000.0</v>
      </c>
      <c r="D36" s="16">
        <f>C36*(1+$A$36)</f>
        <v>729050283000.0</v>
      </c>
      <c r="E36" s="16">
        <f>D36*(1+$A$36)</f>
        <v>947765367900.0</v>
      </c>
      <c r="F36" s="16">
        <f>E36*(1+$A$36)</f>
        <v>1232094978270.0</v>
      </c>
      <c r="G36" s="16">
        <f>B36*'DCF_MSFT'!$B$10*(1-'DCF_MSFT'!$B$14)+B36*'Inputs_MSFT'!$B$31-B36*'Inputs_MSFT'!$B$32-'Inputs_MSFT'!$B$33*(B36-'DCF_MSFT'!$B$25)</f>
        <v>148294728270.9967</v>
      </c>
      <c r="H36" s="16">
        <f>C36*'DCF_MSFT'!$B$10*(1-'DCF_MSFT'!$B$14)+C36*'Inputs_MSFT'!$B$31-C36*'Inputs_MSFT'!$B$32-'Inputs_MSFT'!$B$33*(C36-B36)</f>
        <v>192783146752.29575</v>
      </c>
      <c r="I36" s="16">
        <f>D36*'DCF_MSFT'!$B$10*(1-'DCF_MSFT'!$B$14)+D36*'Inputs_MSFT'!$B$31-D36*'Inputs_MSFT'!$B$32-'Inputs_MSFT'!$B$33*(D36-C36)</f>
        <v>250618090777.9845</v>
      </c>
      <c r="J36" s="16">
        <f>E36*'DCF_MSFT'!$B$10*(1-'DCF_MSFT'!$B$14)+E36*'Inputs_MSFT'!$B$31-E36*'Inputs_MSFT'!$B$32-'Inputs_MSFT'!$B$33*(E36-D36)</f>
        <v>325803518011.37976</v>
      </c>
      <c r="K36" s="16">
        <f>F36*'DCF_MSFT'!$B$10*(1-'DCF_MSFT'!$B$14)+F36*'Inputs_MSFT'!$B$31-F36*'Inputs_MSFT'!$B$32-'Inputs_MSFT'!$B$33*(F36-E36)</f>
        <v>423544573414.7937</v>
      </c>
      <c r="L36" s="16">
        <f>K36*(1+'Inputs_MSFT'!$B$29)/('DCF_MSFT'!$B$21-'Inputs_MSFT'!$B$29)</f>
        <v>5788117143386.956</v>
      </c>
      <c r="M36" s="16">
        <f>SUMPRODUCT(G36:K36,1/(1+'DCF_MSFT'!$B$21)^{1,2,3,4,5})+L36/(1+'DCF_MSFT'!$B$21)^5</f>
        <v>4561831558603.365</v>
      </c>
      <c r="N36" s="16">
        <f>M36-'Inputs_MSFT'!$B$17+'Inputs_MSFT'!$B$18</f>
        <v>4542472558603.365</v>
      </c>
      <c r="O36" s="19">
        <f>N36/'Inputs_MSFT'!$B$22</f>
        <v>611.7358736956077</v>
      </c>
    </row>
    <row r="37">
      <c r="A37" s="12">
        <v>0.4</v>
      </c>
      <c r="B37" s="16">
        <f>'DCF_MSFT'!$B$25*(1+$A$37)</f>
        <v>464574600000.0</v>
      </c>
      <c r="C37" s="16">
        <f>B37*(1+$A$37)</f>
        <v>650404440000.0</v>
      </c>
      <c r="D37" s="16">
        <f>C37*(1+$A$37)</f>
        <v>910566216000.0</v>
      </c>
      <c r="E37" s="16">
        <f>D37*(1+$A$37)</f>
        <v>1274792702400.0</v>
      </c>
      <c r="F37" s="16">
        <f>E37*(1+$A$37)</f>
        <v>1784709783360.0</v>
      </c>
      <c r="G37" s="16">
        <f>B37*'DCF_MSFT'!$B$10*(1-'DCF_MSFT'!$B$14)+B37*'Inputs_MSFT'!$B$31-B37*'Inputs_MSFT'!$B$32-'Inputs_MSFT'!$B$33*(B37-'DCF_MSFT'!$B$25)</f>
        <v>159446754291.84262</v>
      </c>
      <c r="H37" s="16">
        <f>C37*'DCF_MSFT'!$B$10*(1-'DCF_MSFT'!$B$14)+C37*'Inputs_MSFT'!$B$31-C37*'Inputs_MSFT'!$B$32-'Inputs_MSFT'!$B$33*(C37-B37)</f>
        <v>223225456008.57965</v>
      </c>
      <c r="I37" s="16">
        <f>D37*'DCF_MSFT'!$B$10*(1-'DCF_MSFT'!$B$14)+D37*'Inputs_MSFT'!$B$31-D37*'Inputs_MSFT'!$B$32-'Inputs_MSFT'!$B$33*(D37-C37)</f>
        <v>312515638412.01154</v>
      </c>
      <c r="J37" s="16">
        <f>E37*'DCF_MSFT'!$B$10*(1-'DCF_MSFT'!$B$14)+E37*'Inputs_MSFT'!$B$31-E37*'Inputs_MSFT'!$B$32-'Inputs_MSFT'!$B$33*(E37-D37)</f>
        <v>437521893776.81616</v>
      </c>
      <c r="K37" s="16">
        <f>F37*'DCF_MSFT'!$B$10*(1-'DCF_MSFT'!$B$14)+F37*'Inputs_MSFT'!$B$31-F37*'Inputs_MSFT'!$B$32-'Inputs_MSFT'!$B$33*(F37-E37)</f>
        <v>612530651287.5426</v>
      </c>
      <c r="L37" s="16">
        <f>K37*(1+'Inputs_MSFT'!$B$29)/('DCF_MSFT'!$B$21-'Inputs_MSFT'!$B$29)</f>
        <v>8370781698329.671</v>
      </c>
      <c r="M37" s="16">
        <f>SUMPRODUCT(G37:K37,1/(1+'DCF_MSFT'!$B$21)^{1,2,3,4,5})+L37/(1+'DCF_MSFT'!$B$21)^5</f>
        <v>6440880457840.158</v>
      </c>
      <c r="N37" s="16">
        <f>M37-'Inputs_MSFT'!$B$17+'Inputs_MSFT'!$B$18</f>
        <v>6421521457840.158</v>
      </c>
      <c r="O37" s="19">
        <f>N37/'Inputs_MSFT'!$B$22</f>
        <v>864.7878415967216</v>
      </c>
    </row>
    <row r="38" ht="45" customHeight="1">
      <c r="A38" s="26" t="inlineStr">
        <is>
          <t xml:space="preserve">Direction check: IV increases as revenue growth rises?</t>
        </is>
      </c>
      <c r="B38" s="22" t="str">
        <f>IF(O30&lt;O37,"PASS (as expected)","FAIL — investigate (see note)")</f>
        <v>PASS (as expected)</v>
      </c>
    </row>
    <row r="41">
      <c r="A41" s="3" t="inlineStr">
        <is>
          <t xml:space="preserve">TABLE 4 — Operating Margin Sensitivity (range [0%,60%]); base revenue path &amp; WACC held fixed</t>
        </is>
      </c>
      <c r="B41" s="3"/>
      <c r="C41" s="3"/>
      <c r="D41" s="3"/>
      <c r="E41" s="3"/>
      <c r="F41" s="3"/>
      <c r="G41" s="3"/>
      <c r="H41" s="3"/>
      <c r="I41" s="3"/>
      <c r="J41" s="3"/>
    </row>
    <row r="42">
      <c r="A42" s="4" t="inlineStr">
        <is>
          <t xml:space="preserve">Margin</t>
        </is>
      </c>
      <c r="B42" s="4" t="inlineStr">
        <is>
          <t xml:space="preserve">FCF Y1</t>
        </is>
      </c>
      <c r="C42" s="4" t="inlineStr">
        <is>
          <t xml:space="preserve">FCF Y2</t>
        </is>
      </c>
      <c r="D42" s="4" t="inlineStr">
        <is>
          <t xml:space="preserve">FCF Y3</t>
        </is>
      </c>
      <c r="E42" s="4" t="inlineStr">
        <is>
          <t xml:space="preserve">FCF Y4</t>
        </is>
      </c>
      <c r="F42" s="4" t="inlineStr">
        <is>
          <t xml:space="preserve">FCF Y5</t>
        </is>
      </c>
      <c r="G42" s="4" t="inlineStr">
        <is>
          <t xml:space="preserve">Terminal Value</t>
        </is>
      </c>
      <c r="H42" s="4" t="inlineStr">
        <is>
          <t xml:space="preserve">Enterprise Value</t>
        </is>
      </c>
      <c r="I42" s="4" t="inlineStr">
        <is>
          <t xml:space="preserve">Equity Value</t>
        </is>
      </c>
      <c r="J42" s="4" t="inlineStr">
        <is>
          <t xml:space="preserve">Intrinsic Value/Share</t>
        </is>
      </c>
    </row>
    <row r="43">
      <c r="A43" s="12">
        <v>0.0</v>
      </c>
      <c r="B43" s="16">
        <f>'DCF_MSFT'!$C$25*$A$43*(1-'DCF_MSFT'!$B$14)+'DCF_MSFT'!$C$28-'DCF_MSFT'!$C$29-'DCF_MSFT'!$C$30</f>
        <v>-4230359719.295488</v>
      </c>
      <c r="C43" s="16">
        <f>'DCF_MSFT'!$D$25*$A$43*(1-'DCF_MSFT'!$B$14)+'DCF_MSFT'!$D$28-'DCF_MSFT'!$D$29-'DCF_MSFT'!$D$30</f>
        <v>-4811659681.886508</v>
      </c>
      <c r="D43" s="16">
        <f>'DCF_MSFT'!$E$25*$A$43*(1-'DCF_MSFT'!$B$14)+'DCF_MSFT'!$E$28-'DCF_MSFT'!$E$29-'DCF_MSFT'!$E$30</f>
        <v>-5472836928.900188</v>
      </c>
      <c r="E43" s="16">
        <f>'DCF_MSFT'!$F$25*$A$43*(1-'DCF_MSFT'!$B$14)+'DCF_MSFT'!$F$28-'DCF_MSFT'!$F$29-'DCF_MSFT'!$F$30</f>
        <v>-6224867515.690628</v>
      </c>
      <c r="F43" s="16">
        <f>'DCF_MSFT'!$G$25*$A$43*(1-'DCF_MSFT'!$B$14)+'DCF_MSFT'!$G$28-'DCF_MSFT'!$G$29-'DCF_MSFT'!$G$30</f>
        <v>-7080235733.551694</v>
      </c>
      <c r="G43" s="16">
        <f>F43*(1+'Inputs_MSFT'!$B$29)/('DCF_MSFT'!$B$21-'Inputs_MSFT'!$B$29)</f>
        <v>-96757782771.67764</v>
      </c>
      <c r="H43" s="16">
        <f>SUMPRODUCT(B43:F43,1/(1+'DCF_MSFT'!$B$21)^{1,2,3,4,5})+G43/(1+'DCF_MSFT'!$B$21)^5</f>
        <v>-80659698098.40524</v>
      </c>
      <c r="I43" s="16">
        <f>H43-'Inputs_MSFT'!$B$17+'Inputs_MSFT'!$B$18</f>
        <v>-100018698098.40524</v>
      </c>
      <c r="J43" s="19">
        <f>I43/'Inputs_MSFT'!$B$22</f>
        <v>-13.469542166246388</v>
      </c>
    </row>
    <row r="44">
      <c r="A44" s="12">
        <v>0.1</v>
      </c>
      <c r="B44" s="16">
        <f>'DCF_MSFT'!$C$25*$A$44*(1-'DCF_MSFT'!$B$14)+'DCF_MSFT'!$C$28-'DCF_MSFT'!$C$29-'DCF_MSFT'!$C$30</f>
        <v>26192511006.59709</v>
      </c>
      <c r="C44" s="16">
        <f>'DCF_MSFT'!$D$25*$A$44*(1-'DCF_MSFT'!$B$14)+'DCF_MSFT'!$D$28-'DCF_MSFT'!$D$29-'DCF_MSFT'!$D$30</f>
        <v>29791662539.468494</v>
      </c>
      <c r="D44" s="16">
        <f>'DCF_MSFT'!$E$25*$A$44*(1-'DCF_MSFT'!$B$14)+'DCF_MSFT'!$E$28-'DCF_MSFT'!$E$29-'DCF_MSFT'!$E$30</f>
        <v>33885378787.930084</v>
      </c>
      <c r="E44" s="16">
        <f>'DCF_MSFT'!$F$25*$A$44*(1-'DCF_MSFT'!$B$14)+'DCF_MSFT'!$F$28-'DCF_MSFT'!$F$29-'DCF_MSFT'!$F$30</f>
        <v>38541618618.30714</v>
      </c>
      <c r="F44" s="16">
        <f>'DCF_MSFT'!$G$25*$A$44*(1-'DCF_MSFT'!$B$14)+'DCF_MSFT'!$G$28-'DCF_MSFT'!$G$29-'DCF_MSFT'!$G$30</f>
        <v>43837679224.88612</v>
      </c>
      <c r="G44" s="16">
        <f>F44*(1+'Inputs_MSFT'!$B$29)/('DCF_MSFT'!$B$21-'Inputs_MSFT'!$B$29)</f>
        <v>599081274025.3584</v>
      </c>
      <c r="H44" s="16">
        <f>SUMPRODUCT(B44:F44,1/(1+'DCF_MSFT'!$B$21)^{1,2,3,4,5})+G44/(1+'DCF_MSFT'!$B$21)^5</f>
        <v>499409074030.9712</v>
      </c>
      <c r="I44" s="16">
        <f>H44-'Inputs_MSFT'!$B$17+'Inputs_MSFT'!$B$18</f>
        <v>480050074030.9712</v>
      </c>
      <c r="J44" s="19">
        <f>I44/'Inputs_MSFT'!$B$22</f>
        <v>64.64845910819714</v>
      </c>
    </row>
    <row r="45">
      <c r="A45" s="12">
        <v>0.2</v>
      </c>
      <c r="B45" s="16">
        <f>'DCF_MSFT'!$C$25*$A$45*(1-'DCF_MSFT'!$B$14)+'DCF_MSFT'!$C$28-'DCF_MSFT'!$C$29-'DCF_MSFT'!$C$30</f>
        <v>56615381732.48968</v>
      </c>
      <c r="C45" s="16">
        <f>'DCF_MSFT'!$D$25*$A$45*(1-'DCF_MSFT'!$B$14)+'DCF_MSFT'!$D$28-'DCF_MSFT'!$D$29-'DCF_MSFT'!$D$30</f>
        <v>64394984760.8235</v>
      </c>
      <c r="D45" s="16">
        <f>'DCF_MSFT'!$E$25*$A$45*(1-'DCF_MSFT'!$B$14)+'DCF_MSFT'!$E$28-'DCF_MSFT'!$E$29-'DCF_MSFT'!$E$30</f>
        <v>73243594504.76036</v>
      </c>
      <c r="E45" s="16">
        <f>'DCF_MSFT'!$F$25*$A$45*(1-'DCF_MSFT'!$B$14)+'DCF_MSFT'!$F$28-'DCF_MSFT'!$F$29-'DCF_MSFT'!$F$30</f>
        <v>83308104752.30492</v>
      </c>
      <c r="F45" s="16">
        <f>'DCF_MSFT'!$G$25*$A$45*(1-'DCF_MSFT'!$B$14)+'DCF_MSFT'!$G$28-'DCF_MSFT'!$G$29-'DCF_MSFT'!$G$30</f>
        <v>94755594183.32394</v>
      </c>
      <c r="G45" s="16">
        <f>F45*(1+'Inputs_MSFT'!$B$29)/('DCF_MSFT'!$B$21-'Inputs_MSFT'!$B$29)</f>
        <v>1294920330822.3945</v>
      </c>
      <c r="H45" s="16">
        <f>SUMPRODUCT(B45:F45,1/(1+'DCF_MSFT'!$B$21)^{1,2,3,4,5})+G45/(1+'DCF_MSFT'!$B$21)^5</f>
        <v>1079477846160.3477</v>
      </c>
      <c r="I45" s="16">
        <f>H45-'Inputs_MSFT'!$B$17+'Inputs_MSFT'!$B$18</f>
        <v>1060118846160.3477</v>
      </c>
      <c r="J45" s="19">
        <f>I45/'Inputs_MSFT'!$B$22</f>
        <v>142.76646038264067</v>
      </c>
    </row>
    <row r="46">
      <c r="A46" s="12">
        <v>0.3</v>
      </c>
      <c r="B46" s="16">
        <f>'DCF_MSFT'!$C$25*$A$46*(1-'DCF_MSFT'!$B$14)+'DCF_MSFT'!$C$28-'DCF_MSFT'!$C$29-'DCF_MSFT'!$C$30</f>
        <v>87038252458.38225</v>
      </c>
      <c r="C46" s="16">
        <f>'DCF_MSFT'!$D$25*$A$46*(1-'DCF_MSFT'!$B$14)+'DCF_MSFT'!$D$28-'DCF_MSFT'!$D$29-'DCF_MSFT'!$D$30</f>
        <v>98998306982.1785</v>
      </c>
      <c r="D46" s="16">
        <f>'DCF_MSFT'!$E$25*$A$46*(1-'DCF_MSFT'!$B$14)+'DCF_MSFT'!$E$28-'DCF_MSFT'!$E$29-'DCF_MSFT'!$E$30</f>
        <v>112601810221.59064</v>
      </c>
      <c r="E46" s="16">
        <f>'DCF_MSFT'!$F$25*$A$46*(1-'DCF_MSFT'!$B$14)+'DCF_MSFT'!$F$28-'DCF_MSFT'!$F$29-'DCF_MSFT'!$F$30</f>
        <v>128074590886.30267</v>
      </c>
      <c r="F46" s="16">
        <f>'DCF_MSFT'!$G$25*$A$46*(1-'DCF_MSFT'!$B$14)+'DCF_MSFT'!$G$28-'DCF_MSFT'!$G$29-'DCF_MSFT'!$G$30</f>
        <v>145673509141.76178</v>
      </c>
      <c r="G46" s="16">
        <f>F46*(1+'Inputs_MSFT'!$B$29)/('DCF_MSFT'!$B$21-'Inputs_MSFT'!$B$29)</f>
        <v>1990759387619.4312</v>
      </c>
      <c r="H46" s="16">
        <f>SUMPRODUCT(B46:F46,1/(1+'DCF_MSFT'!$B$21)^{1,2,3,4,5})+G46/(1+'DCF_MSFT'!$B$21)^5</f>
        <v>1659546618289.7246</v>
      </c>
      <c r="I46" s="16">
        <f>H46-'Inputs_MSFT'!$B$17+'Inputs_MSFT'!$B$18</f>
        <v>1640187618289.7246</v>
      </c>
      <c r="J46" s="19">
        <f>I46/'Inputs_MSFT'!$B$22</f>
        <v>220.88446165708427</v>
      </c>
    </row>
    <row r="47">
      <c r="A47" s="12">
        <v>0.4</v>
      </c>
      <c r="B47" s="16">
        <f>'DCF_MSFT'!$C$25*$A$47*(1-'DCF_MSFT'!$B$14)+'DCF_MSFT'!$C$28-'DCF_MSFT'!$C$29-'DCF_MSFT'!$C$30</f>
        <v>117461123184.27484</v>
      </c>
      <c r="C47" s="16">
        <f>'DCF_MSFT'!$D$25*$A$47*(1-'DCF_MSFT'!$B$14)+'DCF_MSFT'!$D$28-'DCF_MSFT'!$D$29-'DCF_MSFT'!$D$30</f>
        <v>133601629203.5335</v>
      </c>
      <c r="D47" s="16">
        <f>'DCF_MSFT'!$E$25*$A$47*(1-'DCF_MSFT'!$B$14)+'DCF_MSFT'!$E$28-'DCF_MSFT'!$E$29-'DCF_MSFT'!$E$30</f>
        <v>151960025938.42093</v>
      </c>
      <c r="E47" s="16">
        <f>'DCF_MSFT'!$F$25*$A$47*(1-'DCF_MSFT'!$B$14)+'DCF_MSFT'!$F$28-'DCF_MSFT'!$F$29-'DCF_MSFT'!$F$30</f>
        <v>172841077020.30048</v>
      </c>
      <c r="F47" s="16">
        <f>'DCF_MSFT'!$G$25*$A$47*(1-'DCF_MSFT'!$B$14)+'DCF_MSFT'!$G$28-'DCF_MSFT'!$G$29-'DCF_MSFT'!$G$30</f>
        <v>196591424100.1996</v>
      </c>
      <c r="G47" s="16">
        <f>F47*(1+'Inputs_MSFT'!$B$29)/('DCF_MSFT'!$B$21-'Inputs_MSFT'!$B$29)</f>
        <v>2686598444416.467</v>
      </c>
      <c r="H47" s="16">
        <f>SUMPRODUCT(B47:F47,1/(1+'DCF_MSFT'!$B$21)^{1,2,3,4,5})+G47/(1+'DCF_MSFT'!$B$21)^5</f>
        <v>2239615390419.1006</v>
      </c>
      <c r="I47" s="16">
        <f>H47-'Inputs_MSFT'!$B$17+'Inputs_MSFT'!$B$18</f>
        <v>2220256390419.1006</v>
      </c>
      <c r="J47" s="19">
        <f>I47/'Inputs_MSFT'!$B$22</f>
        <v>299.00246293152776</v>
      </c>
    </row>
    <row r="48">
      <c r="A48" s="12">
        <v>0.5</v>
      </c>
      <c r="B48" s="16">
        <f>'DCF_MSFT'!$C$25*$A$48*(1-'DCF_MSFT'!$B$14)+'DCF_MSFT'!$C$28-'DCF_MSFT'!$C$29-'DCF_MSFT'!$C$30</f>
        <v>147883993910.16742</v>
      </c>
      <c r="C48" s="16">
        <f>'DCF_MSFT'!$D$25*$A$48*(1-'DCF_MSFT'!$B$14)+'DCF_MSFT'!$D$28-'DCF_MSFT'!$D$29-'DCF_MSFT'!$D$30</f>
        <v>168204951424.8885</v>
      </c>
      <c r="D48" s="16">
        <f>'DCF_MSFT'!$E$25*$A$48*(1-'DCF_MSFT'!$B$14)+'DCF_MSFT'!$E$28-'DCF_MSFT'!$E$29-'DCF_MSFT'!$E$30</f>
        <v>191318241655.2512</v>
      </c>
      <c r="E48" s="16">
        <f>'DCF_MSFT'!$F$25*$A$48*(1-'DCF_MSFT'!$B$14)+'DCF_MSFT'!$F$28-'DCF_MSFT'!$F$29-'DCF_MSFT'!$F$30</f>
        <v>217607563154.29822</v>
      </c>
      <c r="F48" s="16">
        <f>'DCF_MSFT'!$G$25*$A$48*(1-'DCF_MSFT'!$B$14)+'DCF_MSFT'!$G$28-'DCF_MSFT'!$G$29-'DCF_MSFT'!$G$30</f>
        <v>247509339058.6374</v>
      </c>
      <c r="G48" s="16">
        <f>F48*(1+'Inputs_MSFT'!$B$29)/('DCF_MSFT'!$B$21-'Inputs_MSFT'!$B$29)</f>
        <v>3382437501213.503</v>
      </c>
      <c r="H48" s="16">
        <f>SUMPRODUCT(B48:F48,1/(1+'DCF_MSFT'!$B$21)^{1,2,3,4,5})+G48/(1+'DCF_MSFT'!$B$21)^5</f>
        <v>2819684162548.477</v>
      </c>
      <c r="I48" s="16">
        <f>H48-'Inputs_MSFT'!$B$17+'Inputs_MSFT'!$B$18</f>
        <v>2800325162548.477</v>
      </c>
      <c r="J48" s="19">
        <f>I48/'Inputs_MSFT'!$B$22</f>
        <v>377.1204642059713</v>
      </c>
    </row>
    <row r="49">
      <c r="A49" s="12">
        <v>0.6</v>
      </c>
      <c r="B49" s="16">
        <f>'DCF_MSFT'!$C$25*$A$49*(1-'DCF_MSFT'!$B$14)+'DCF_MSFT'!$C$28-'DCF_MSFT'!$C$29-'DCF_MSFT'!$C$30</f>
        <v>178306864636.06</v>
      </c>
      <c r="C49" s="16">
        <f>'DCF_MSFT'!$D$25*$A$49*(1-'DCF_MSFT'!$B$14)+'DCF_MSFT'!$D$28-'DCF_MSFT'!$D$29-'DCF_MSFT'!$D$30</f>
        <v>202808273646.24347</v>
      </c>
      <c r="D49" s="16">
        <f>'DCF_MSFT'!$E$25*$A$49*(1-'DCF_MSFT'!$B$14)+'DCF_MSFT'!$E$28-'DCF_MSFT'!$E$29-'DCF_MSFT'!$E$30</f>
        <v>230676457372.08148</v>
      </c>
      <c r="E49" s="16">
        <f>'DCF_MSFT'!$F$25*$A$49*(1-'DCF_MSFT'!$B$14)+'DCF_MSFT'!$F$28-'DCF_MSFT'!$F$29-'DCF_MSFT'!$F$30</f>
        <v>262374049288.29596</v>
      </c>
      <c r="F49" s="16">
        <f>'DCF_MSFT'!$G$25*$A$49*(1-'DCF_MSFT'!$B$14)+'DCF_MSFT'!$G$28-'DCF_MSFT'!$G$29-'DCF_MSFT'!$G$30</f>
        <v>298427254017.0752</v>
      </c>
      <c r="G49" s="16">
        <f>F49*(1+'Inputs_MSFT'!$B$29)/('DCF_MSFT'!$B$21-'Inputs_MSFT'!$B$29)</f>
        <v>4078276558010.539</v>
      </c>
      <c r="H49" s="16">
        <f>SUMPRODUCT(B49:F49,1/(1+'DCF_MSFT'!$B$21)^{1,2,3,4,5})+G49/(1+'DCF_MSFT'!$B$21)^5</f>
        <v>3399752934677.8535</v>
      </c>
      <c r="I49" s="16">
        <f>H49-'Inputs_MSFT'!$B$17+'Inputs_MSFT'!$B$18</f>
        <v>3380393934677.8535</v>
      </c>
      <c r="J49" s="19">
        <f>I49/'Inputs_MSFT'!$B$22</f>
        <v>455.23846548041485</v>
      </c>
    </row>
    <row r="50" ht="45" customHeight="1">
      <c r="A50" s="26" t="inlineStr">
        <is>
          <t xml:space="preserve">Direction check: IV increases as operating margin rises?</t>
        </is>
      </c>
      <c r="B50" s="22" t="str">
        <f>IF(J43&lt;J49,"PASS (as expected)","FAIL — investigate")</f>
        <v>PASS (as expected)</v>
      </c>
    </row>
    <row r="53">
      <c r="A53" s="3" t="inlineStr">
        <is>
          <t xml:space="preserve">TABLE 5 — Two-Way Sensitivity: WACC (rows) × Terminal Growth (columns) — Intrinsic Value/Share</t>
        </is>
      </c>
      <c r="B53" s="3"/>
      <c r="C53" s="3"/>
      <c r="D53" s="3"/>
      <c r="E53" s="3"/>
      <c r="F53" s="3"/>
      <c r="G53" s="3"/>
    </row>
    <row r="54">
      <c r="A54" s="4" t="inlineStr">
        <is>
          <t xml:space="preserve">WACC \ g</t>
        </is>
      </c>
      <c r="B54" s="5">
        <v>0.0</v>
      </c>
      <c r="C54" s="5">
        <v>0.01</v>
      </c>
      <c r="D54" s="5">
        <v>0.02</v>
      </c>
      <c r="E54" s="5">
        <v>0.03</v>
      </c>
      <c r="F54" s="5">
        <v>0.04</v>
      </c>
      <c r="G54" s="5">
        <v>0.05</v>
      </c>
    </row>
    <row r="55">
      <c r="A55" s="12">
        <v>0.05</v>
      </c>
      <c r="B55" s="19">
        <f>IF(B$54&gt;=$A55,"n/a",(SUMPRODUCT('DCF_MSFT'!$C$31:$G$31,1/(1+$A55)^{1,2,3,4,5})+('DCF_MSFT'!$G$31*(1+B$54)/($A55-B$54))/(1+$A55)^5-'Inputs_MSFT'!$B$17+'Inputs_MSFT'!$B$18)/'Inputs_MSFT'!$B$22)</f>
        <v>555.708645231685</v>
      </c>
      <c r="C55" s="19">
        <f>IF(C$54&gt;=$A55,"n/a",(SUMPRODUCT('DCF_MSFT'!$C$31:$G$31,1/(1+$A55)^{1,2,3,4,5})+('DCF_MSFT'!$G$31*(1+C$54)/($A55-C$54))/(1+$A55)^5-'Inputs_MSFT'!$B$17+'Inputs_MSFT'!$B$18)/'Inputs_MSFT'!$B$22)</f>
        <v>676.3904487329858</v>
      </c>
      <c r="D55" s="19">
        <f>IF(D$54&gt;=$A55,"n/a",(SUMPRODUCT('DCF_MSFT'!$C$31:$G$31,1/(1+$A55)^{1,2,3,4,5})+('DCF_MSFT'!$G$31*(1+D$54)/($A55-D$54))/(1+$A55)^5-'Inputs_MSFT'!$B$17+'Inputs_MSFT'!$B$18)/'Inputs_MSFT'!$B$22)</f>
        <v>877.5267879018203</v>
      </c>
      <c r="E55" s="19">
        <f>IF(E$54&gt;=$A55,"n/a",(SUMPRODUCT('DCF_MSFT'!$C$31:$G$31,1/(1+$A55)^{1,2,3,4,5})+('DCF_MSFT'!$G$31*(1+E$54)/($A55-E$54))/(1+$A55)^5-'Inputs_MSFT'!$B$17+'Inputs_MSFT'!$B$18)/'Inputs_MSFT'!$B$22)</f>
        <v>1279.7994662394894</v>
      </c>
      <c r="F55" s="19">
        <f>IF(F$54&gt;=$A55,"n/a",(SUMPRODUCT('DCF_MSFT'!$C$31:$G$31,1/(1+$A55)^{1,2,3,4,5})+('DCF_MSFT'!$G$31*(1+F$54)/($A55-F$54))/(1+$A55)^5-'Inputs_MSFT'!$B$17+'Inputs_MSFT'!$B$18)/'Inputs_MSFT'!$B$22)</f>
        <v>2486.6175012524973</v>
      </c>
      <c r="G55" s="19" t="str">
        <f>IF(G$54&gt;=$A55,"n/a",(SUMPRODUCT('DCF_MSFT'!$C$31:$G$31,1/(1+$A55)^{1,2,3,4,5})+('DCF_MSFT'!$G$31*(1+G$54)/($A55-G$54))/(1+$A55)^5-'Inputs_MSFT'!$B$17+'Inputs_MSFT'!$B$18)/'Inputs_MSFT'!$B$22)</f>
        <v>n/a</v>
      </c>
    </row>
    <row r="56">
      <c r="A56" s="12">
        <v>0.08</v>
      </c>
      <c r="B56" s="19">
        <f>IF(B$54&gt;=$A56,"n/a",(SUMPRODUCT('DCF_MSFT'!$C$31:$G$31,1/(1+$A56)^{1,2,3,4,5})+('DCF_MSFT'!$G$31*(1+B$54)/($A56-B$54))/(1+$A56)^5-'Inputs_MSFT'!$B$17+'Inputs_MSFT'!$B$18)/'Inputs_MSFT'!$B$22)</f>
        <v>337.23092771054934</v>
      </c>
      <c r="C56" s="19">
        <f>IF(C$54&gt;=$A56,"n/a",(SUMPRODUCT('DCF_MSFT'!$C$31:$G$31,1/(1+$A56)^{1,2,3,4,5})+('DCF_MSFT'!$G$31*(1+C$54)/($A56-C$54))/(1+$A56)^5-'Inputs_MSFT'!$B$17+'Inputs_MSFT'!$B$18)/'Inputs_MSFT'!$B$22)</f>
        <v>375.73848185624587</v>
      </c>
      <c r="D56" s="19">
        <f>IF(D$54&gt;=$A56,"n/a",(SUMPRODUCT('DCF_MSFT'!$C$31:$G$31,1/(1+$A56)^{1,2,3,4,5})+('DCF_MSFT'!$G$31*(1+D$54)/($A56-D$54))/(1+$A56)^5-'Inputs_MSFT'!$B$17+'Inputs_MSFT'!$B$18)/'Inputs_MSFT'!$B$22)</f>
        <v>427.08188738384143</v>
      </c>
      <c r="E56" s="19">
        <f>IF(E$54&gt;=$A56,"n/a",(SUMPRODUCT('DCF_MSFT'!$C$31:$G$31,1/(1+$A56)^{1,2,3,4,5})+('DCF_MSFT'!$G$31*(1+E$54)/($A56-E$54))/(1+$A56)^5-'Inputs_MSFT'!$B$17+'Inputs_MSFT'!$B$18)/'Inputs_MSFT'!$B$22)</f>
        <v>498.9626551224751</v>
      </c>
      <c r="F56" s="19">
        <f>IF(F$54&gt;=$A56,"n/a",(SUMPRODUCT('DCF_MSFT'!$C$31:$G$31,1/(1+$A56)^{1,2,3,4,5})+('DCF_MSFT'!$G$31*(1+F$54)/($A56-F$54))/(1+$A56)^5-'Inputs_MSFT'!$B$17+'Inputs_MSFT'!$B$18)/'Inputs_MSFT'!$B$22)</f>
        <v>606.7838067304257</v>
      </c>
      <c r="G56" s="19">
        <f>IF(G$54&gt;=$A56,"n/a",(SUMPRODUCT('DCF_MSFT'!$C$31:$G$31,1/(1+$A56)^{1,2,3,4,5})+('DCF_MSFT'!$G$31*(1+G$54)/($A56-G$54))/(1+$A56)^5-'Inputs_MSFT'!$B$17+'Inputs_MSFT'!$B$18)/'Inputs_MSFT'!$B$22)</f>
        <v>786.48572607701</v>
      </c>
    </row>
    <row r="57">
      <c r="A57" s="12">
        <v>0.11</v>
      </c>
      <c r="B57" s="19">
        <f>IF(B$54&gt;=$A57,"n/a",(SUMPRODUCT('DCF_MSFT'!$C$31:$G$31,1/(1+$A57)^{1,2,3,4,5})+('DCF_MSFT'!$G$31*(1+B$54)/($A57-B$54))/(1+$A57)^5-'Inputs_MSFT'!$B$17+'Inputs_MSFT'!$B$18)/'Inputs_MSFT'!$B$22)</f>
        <v>238.62827216631442</v>
      </c>
      <c r="C57" s="19">
        <f>IF(C$54&gt;=$A57,"n/a",(SUMPRODUCT('DCF_MSFT'!$C$31:$G$31,1/(1+$A57)^{1,2,3,4,5})+('DCF_MSFT'!$G$31*(1+C$54)/($A57-C$54))/(1+$A57)^5-'Inputs_MSFT'!$B$17+'Inputs_MSFT'!$B$18)/'Inputs_MSFT'!$B$22)</f>
        <v>256.197164581654</v>
      </c>
      <c r="D57" s="19">
        <f>IF(D$54&gt;=$A57,"n/a",(SUMPRODUCT('DCF_MSFT'!$C$31:$G$31,1/(1+$A57)^{1,2,3,4,5})+('DCF_MSFT'!$G$31*(1+D$54)/($A57-D$54))/(1+$A57)^5-'Inputs_MSFT'!$B$17+'Inputs_MSFT'!$B$18)/'Inputs_MSFT'!$B$22)</f>
        <v>277.67025531151364</v>
      </c>
      <c r="E57" s="19">
        <f>IF(E$54&gt;=$A57,"n/a",(SUMPRODUCT('DCF_MSFT'!$C$31:$G$31,1/(1+$A57)^{1,2,3,4,5})+('DCF_MSFT'!$G$31*(1+E$54)/($A57-E$54))/(1+$A57)^5-'Inputs_MSFT'!$B$17+'Inputs_MSFT'!$B$18)/'Inputs_MSFT'!$B$22)</f>
        <v>304.51161872383807</v>
      </c>
      <c r="F57" s="19">
        <f>IF(F$54&gt;=$A57,"n/a",(SUMPRODUCT('DCF_MSFT'!$C$31:$G$31,1/(1+$A57)^{1,2,3,4,5})+('DCF_MSFT'!$G$31*(1+F$54)/($A57-F$54))/(1+$A57)^5-'Inputs_MSFT'!$B$17+'Inputs_MSFT'!$B$18)/'Inputs_MSFT'!$B$22)</f>
        <v>339.02194311111236</v>
      </c>
      <c r="G57" s="19">
        <f>IF(G$54&gt;=$A57,"n/a",(SUMPRODUCT('DCF_MSFT'!$C$31:$G$31,1/(1+$A57)^{1,2,3,4,5})+('DCF_MSFT'!$G$31*(1+G$54)/($A57-G$54))/(1+$A57)^5-'Inputs_MSFT'!$B$17+'Inputs_MSFT'!$B$18)/'Inputs_MSFT'!$B$22)</f>
        <v>385.0357089608114</v>
      </c>
    </row>
    <row r="58">
      <c r="A58" s="12">
        <v>0.14</v>
      </c>
      <c r="B58" s="19">
        <f>IF(B$54&gt;=$A58,"n/a",(SUMPRODUCT('DCF_MSFT'!$C$31:$G$31,1/(1+$A58)^{1,2,3,4,5})+('DCF_MSFT'!$G$31*(1+B$54)/($A58-B$54))/(1+$A58)^5-'Inputs_MSFT'!$B$17+'Inputs_MSFT'!$B$18)/'Inputs_MSFT'!$B$22)</f>
        <v>182.7634324299865</v>
      </c>
      <c r="C58" s="19">
        <f>IF(C$54&gt;=$A58,"n/a",(SUMPRODUCT('DCF_MSFT'!$C$31:$G$31,1/(1+$A58)^{1,2,3,4,5})+('DCF_MSFT'!$G$31*(1+C$54)/($A58-C$54))/(1+$A58)^5-'Inputs_MSFT'!$B$17+'Inputs_MSFT'!$B$18)/'Inputs_MSFT'!$B$22)</f>
        <v>192.30760295802264</v>
      </c>
      <c r="D58" s="19">
        <f>IF(D$54&gt;=$A58,"n/a",(SUMPRODUCT('DCF_MSFT'!$C$31:$G$31,1/(1+$A58)^{1,2,3,4,5})+('DCF_MSFT'!$G$31*(1+D$54)/($A58-D$54))/(1+$A58)^5-'Inputs_MSFT'!$B$17+'Inputs_MSFT'!$B$18)/'Inputs_MSFT'!$B$22)</f>
        <v>203.44246857406483</v>
      </c>
      <c r="E58" s="19">
        <f>IF(E$54&gt;=$A58,"n/a",(SUMPRODUCT('DCF_MSFT'!$C$31:$G$31,1/(1+$A58)^{1,2,3,4,5})+('DCF_MSFT'!$G$31*(1+E$54)/($A58-E$54))/(1+$A58)^5-'Inputs_MSFT'!$B$17+'Inputs_MSFT'!$B$18)/'Inputs_MSFT'!$B$22)</f>
        <v>216.6018552112056</v>
      </c>
      <c r="F58" s="19">
        <f>IF(F$54&gt;=$A58,"n/a",(SUMPRODUCT('DCF_MSFT'!$C$31:$G$31,1/(1+$A58)^{1,2,3,4,5})+('DCF_MSFT'!$G$31*(1+F$54)/($A58-F$54))/(1+$A58)^5-'Inputs_MSFT'!$B$17+'Inputs_MSFT'!$B$18)/'Inputs_MSFT'!$B$22)</f>
        <v>232.3931191757745</v>
      </c>
      <c r="G58" s="19">
        <f>IF(G$54&gt;=$A58,"n/a",(SUMPRODUCT('DCF_MSFT'!$C$31:$G$31,1/(1+$A58)^{1,2,3,4,5})+('DCF_MSFT'!$G$31*(1+G$54)/($A58-G$54))/(1+$A58)^5-'Inputs_MSFT'!$B$17+'Inputs_MSFT'!$B$18)/'Inputs_MSFT'!$B$22)</f>
        <v>251.69355291024763</v>
      </c>
    </row>
    <row r="59">
      <c r="A59" s="12">
        <v>0.17</v>
      </c>
      <c r="B59" s="19">
        <f>IF(B$54&gt;=$A59,"n/a",(SUMPRODUCT('DCF_MSFT'!$C$31:$G$31,1/(1+$A59)^{1,2,3,4,5})+('DCF_MSFT'!$G$31*(1+B$54)/($A59-B$54))/(1+$A59)^5-'Inputs_MSFT'!$B$17+'Inputs_MSFT'!$B$18)/'Inputs_MSFT'!$B$22)</f>
        <v>146.95879097349757</v>
      </c>
      <c r="C59" s="19">
        <f>IF(C$54&gt;=$A59,"n/a",(SUMPRODUCT('DCF_MSFT'!$C$31:$G$31,1/(1+$A59)^{1,2,3,4,5})+('DCF_MSFT'!$G$31*(1+C$54)/($A59-C$54))/(1+$A59)^5-'Inputs_MSFT'!$B$17+'Inputs_MSFT'!$B$18)/'Inputs_MSFT'!$B$22)</f>
        <v>152.7147359368641</v>
      </c>
      <c r="D59" s="19">
        <f>IF(D$54&gt;=$A59,"n/a",(SUMPRODUCT('DCF_MSFT'!$C$31:$G$31,1/(1+$A59)^{1,2,3,4,5})+('DCF_MSFT'!$G$31*(1+D$54)/($A59-D$54))/(1+$A59)^5-'Inputs_MSFT'!$B$17+'Inputs_MSFT'!$B$18)/'Inputs_MSFT'!$B$22)</f>
        <v>159.23814022867944</v>
      </c>
      <c r="E59" s="19">
        <f>IF(E$54&gt;=$A59,"n/a",(SUMPRODUCT('DCF_MSFT'!$C$31:$G$31,1/(1+$A59)^{1,2,3,4,5})+('DCF_MSFT'!$G$31*(1+E$54)/($A59-E$54))/(1+$A59)^5-'Inputs_MSFT'!$B$17+'Inputs_MSFT'!$B$18)/'Inputs_MSFT'!$B$22)</f>
        <v>166.69345941932556</v>
      </c>
      <c r="F59" s="19">
        <f>IF(F$54&gt;=$A59,"n/a",(SUMPRODUCT('DCF_MSFT'!$C$31:$G$31,1/(1+$A59)^{1,2,3,4,5})+('DCF_MSFT'!$G$31*(1+F$54)/($A59-F$54))/(1+$A59)^5-'Inputs_MSFT'!$B$17+'Inputs_MSFT'!$B$18)/'Inputs_MSFT'!$B$22)</f>
        <v>175.29575079314807</v>
      </c>
      <c r="G59" s="19">
        <f>IF(G$54&gt;=$A59,"n/a",(SUMPRODUCT('DCF_MSFT'!$C$31:$G$31,1/(1+$A59)^{1,2,3,4,5})+('DCF_MSFT'!$G$31*(1+G$54)/($A59-G$54))/(1+$A59)^5-'Inputs_MSFT'!$B$17+'Inputs_MSFT'!$B$18)/'Inputs_MSFT'!$B$22)</f>
        <v>185.33175739594094</v>
      </c>
    </row>
    <row r="60">
      <c r="A60" s="12">
        <v>0.2</v>
      </c>
      <c r="B60" s="19">
        <f>IF(B$54&gt;=$A60,"n/a",(SUMPRODUCT('DCF_MSFT'!$C$31:$G$31,1/(1+$A60)^{1,2,3,4,5})+('DCF_MSFT'!$G$31*(1+B$54)/($A60-B$54))/(1+$A60)^5-'Inputs_MSFT'!$B$17+'Inputs_MSFT'!$B$18)/'Inputs_MSFT'!$B$22)</f>
        <v>122.15012214310893</v>
      </c>
      <c r="C60" s="19">
        <f>IF(C$54&gt;=$A60,"n/a",(SUMPRODUCT('DCF_MSFT'!$C$31:$G$31,1/(1+$A60)^{1,2,3,4,5})+('DCF_MSFT'!$G$31*(1+C$54)/($A60-C$54))/(1+$A60)^5-'Inputs_MSFT'!$B$17+'Inputs_MSFT'!$B$18)/'Inputs_MSFT'!$B$22)</f>
        <v>125.87335675205506</v>
      </c>
      <c r="D60" s="19">
        <f>IF(D$54&gt;=$A60,"n/a",(SUMPRODUCT('DCF_MSFT'!$C$31:$G$31,1/(1+$A60)^{1,2,3,4,5})+('DCF_MSFT'!$G$31*(1+D$54)/($A60-D$54))/(1+$A60)^5-'Inputs_MSFT'!$B$17+'Inputs_MSFT'!$B$18)/'Inputs_MSFT'!$B$22)</f>
        <v>130.01028409532856</v>
      </c>
      <c r="E60" s="19">
        <f>IF(E$54&gt;=$A60,"n/a",(SUMPRODUCT('DCF_MSFT'!$C$31:$G$31,1/(1+$A60)^{1,2,3,4,5})+('DCF_MSFT'!$G$31*(1+E$54)/($A60-E$54))/(1+$A60)^5-'Inputs_MSFT'!$B$17+'Inputs_MSFT'!$B$18)/'Inputs_MSFT'!$B$22)</f>
        <v>134.63390877310476</v>
      </c>
      <c r="F60" s="19">
        <f>IF(F$54&gt;=$A60,"n/a",(SUMPRODUCT('DCF_MSFT'!$C$31:$G$31,1/(1+$A60)^{1,2,3,4,5})+('DCF_MSFT'!$G$31*(1+F$54)/($A60-F$54))/(1+$A60)^5-'Inputs_MSFT'!$B$17+'Inputs_MSFT'!$B$18)/'Inputs_MSFT'!$B$22)</f>
        <v>139.83548653560305</v>
      </c>
      <c r="G60" s="19">
        <f>IF(G$54&gt;=$A60,"n/a",(SUMPRODUCT('DCF_MSFT'!$C$31:$G$31,1/(1+$A60)^{1,2,3,4,5})+('DCF_MSFT'!$G$31*(1+G$54)/($A60-G$54))/(1+$A60)^5-'Inputs_MSFT'!$B$17+'Inputs_MSFT'!$B$18)/'Inputs_MSFT'!$B$22)</f>
        <v>145.73060799976776</v>
      </c>
    </row>
  </sheetData>
  <mergeCells count="6">
    <mergeCell ref="A1:G1"/>
    <mergeCell ref="A4:E4"/>
    <mergeCell ref="A16:E16"/>
    <mergeCell ref="A28:N28"/>
    <mergeCell ref="A41:J41"/>
    <mergeCell ref="A53:G53"/>
  </mergeCells>
</worksheet>
</file>

<file path=xl/worksheets/sheet7.xml><?xml version="1.0" encoding="utf-8"?>
<worksheet xmlns="http://schemas.openxmlformats.org/spreadsheetml/2006/main">
  <dimension ref="A1:H38"/>
  <sheetViews>
    <sheetView workbookViewId="0">
      <pane xSplit="1" ySplit="4" topLeftCell="B5" activePane="bottomRight" state="frozen"/>
      <selection pane="bottomRight" activeCell="B5" sqref="B5"/>
    </sheetView>
  </sheetViews>
  <sheetFormatPr defaultRowHeight="15"/>
  <cols>
    <col min="1" max="1" width="42" customWidth="1"/>
    <col min="2" max="2" width="16" customWidth="1"/>
    <col min="3" max="3" width="16" customWidth="1"/>
    <col min="4" max="4" width="60" customWidth="1"/>
  </cols>
  <sheetData>
    <row r="1">
      <c r="A1" s="1" t="inlineStr">
        <is>
          <t xml:space="preserve">Inputs — CAT (CATERPILLAR INC)  |  Frozen 2026-08-17T17:23:45.327869+00:00</t>
        </is>
      </c>
    </row>
    <row r="2">
      <c r="A2" s="2" t="inlineStr">
        <is>
          <t xml:space="preserve">Profile: Capital-intensive, moderate leverage  |  CIK 0000018230  |  All USD values are actual dollars (not thousands/millions) unless noted.</t>
        </is>
      </c>
    </row>
    <row r="4">
      <c r="A4" s="3" t="inlineStr">
        <is>
          <t xml:space="preserve">SECTION 1 — Historical Annual Data (SEC EDGAR, frozen)</t>
        </is>
      </c>
      <c r="B4" s="3"/>
      <c r="C4" s="3"/>
      <c r="D4" s="3"/>
      <c r="E4" s="3"/>
      <c r="F4" s="3"/>
      <c r="G4" s="3"/>
      <c r="H4" s="3"/>
    </row>
    <row r="5">
      <c r="A5" s="4" t="inlineStr">
        <is>
          <t xml:space="preserve">Fiscal Year End</t>
        </is>
      </c>
      <c r="B5" s="4" t="inlineStr">
        <is>
          <t xml:space="preserve">Revenue (USD)</t>
        </is>
      </c>
      <c r="C5" s="4" t="inlineStr">
        <is>
          <t xml:space="preserve">EBIT / Operating Income (USD)</t>
        </is>
      </c>
      <c r="D5" s="4" t="inlineStr">
        <is>
          <t xml:space="preserve">Provenance</t>
        </is>
      </c>
    </row>
    <row r="6">
      <c r="A6" s="14">
        <v>44561</v>
      </c>
      <c r="B6" s="11">
        <v>50971000000</v>
      </c>
      <c r="C6" s="11">
        <v>6878000000</v>
      </c>
      <c r="D6" s="25" t="inlineStr">
        <is>
          <t xml:space="preserve">XBRL tag: Revenues</t>
        </is>
      </c>
    </row>
    <row r="7">
      <c r="A7" s="14">
        <v>44926</v>
      </c>
      <c r="B7" s="11">
        <v>59427000000</v>
      </c>
      <c r="C7" s="11">
        <v>7904000000</v>
      </c>
      <c r="D7" s="25" t="inlineStr">
        <is>
          <t xml:space="preserve">XBRL tag: Revenues</t>
        </is>
      </c>
    </row>
    <row r="8">
      <c r="A8" s="14">
        <v>45291</v>
      </c>
      <c r="B8" s="11">
        <v>67060000000</v>
      </c>
      <c r="C8" s="11">
        <v>12966000000</v>
      </c>
      <c r="D8" s="25" t="inlineStr">
        <is>
          <t xml:space="preserve">XBRL tag: Revenues</t>
        </is>
      </c>
    </row>
    <row r="9">
      <c r="A9" s="14">
        <v>45657</v>
      </c>
      <c r="B9" s="11">
        <v>64809000000</v>
      </c>
      <c r="C9" s="11">
        <v>13072000000</v>
      </c>
      <c r="D9" s="25" t="inlineStr">
        <is>
          <t xml:space="preserve">XBRL tag: Revenues</t>
        </is>
      </c>
    </row>
    <row r="10">
      <c r="A10" s="14">
        <v>46022</v>
      </c>
      <c r="B10" s="11">
        <v>67589000000</v>
      </c>
      <c r="C10" s="11">
        <v>11151000000</v>
      </c>
      <c r="D10" s="25" t="inlineStr">
        <is>
          <t xml:space="preserve">XBRL tag: Revenues</t>
        </is>
      </c>
    </row>
    <row r="12">
      <c r="A12" s="3" t="inlineStr">
        <is>
          <t xml:space="preserve">SECTION 2 — Latest-Year Facts (SEC EDGAR, frozen)</t>
        </is>
      </c>
      <c r="B12" s="3"/>
      <c r="C12" s="3"/>
      <c r="D12" s="3"/>
      <c r="E12" s="3"/>
      <c r="F12" s="3"/>
      <c r="G12" s="3"/>
      <c r="H12" s="3"/>
    </row>
    <row r="13">
      <c r="A13" s="7" t="inlineStr">
        <is>
          <t xml:space="preserve">Latest Complete Fiscal Year End</t>
        </is>
      </c>
      <c r="B13" s="14">
        <v>46022</v>
      </c>
    </row>
    <row r="14">
      <c r="A14" s="7" t="inlineStr">
        <is>
          <t xml:space="preserve">Pretax Income (USD)</t>
        </is>
      </c>
      <c r="B14" s="11">
        <v>11541000000</v>
      </c>
    </row>
    <row r="15">
      <c r="A15" s="7" t="inlineStr">
        <is>
          <t xml:space="preserve">Tax Provision (USD)</t>
        </is>
      </c>
      <c r="B15" s="11">
        <v>2768000000</v>
      </c>
    </row>
    <row r="16">
      <c r="A16" s="7" t="inlineStr">
        <is>
          <t xml:space="preserve">Interest Expense (USD)</t>
        </is>
      </c>
      <c r="B16" s="11">
        <v>1842000000</v>
      </c>
      <c r="D16" s="25" t="inlineStr">
        <is>
          <t xml:space="preserve">Method: proxy_cash_paid_interest; tag: InterestPaidNet</t>
        </is>
      </c>
    </row>
    <row r="17">
      <c r="A17" s="7" t="inlineStr">
        <is>
          <t xml:space="preserve">Total Debt (USD)</t>
        </is>
      </c>
      <c r="B17" s="11">
        <v>36210000000.0</v>
      </c>
      <c r="D17" s="25" t="inlineStr">
        <is>
          <t xml:space="preserve">Total Debt = LongTermDebtNoncurrent ($30,696,000,000) + ShortTermBorrowings ($5,514,000,000) = $36,210,000,000  |  Full per-component provenance (XBRL tag, accession, filed date, source URL): see Sources sheet.</t>
        </is>
      </c>
    </row>
    <row r="18">
      <c r="A18" s="7" t="inlineStr">
        <is>
          <t xml:space="preserve">Cash &amp; Equivalents (USD)</t>
        </is>
      </c>
      <c r="B18" s="11">
        <v>9980000000</v>
      </c>
    </row>
    <row r="20">
      <c r="A20" s="3" t="inlineStr">
        <is>
          <t xml:space="preserve">SECTION 3 — Market Data (Yahoo Finance via yfinance, frozen)</t>
        </is>
      </c>
      <c r="B20" s="3"/>
      <c r="C20" s="3"/>
      <c r="D20" s="3"/>
      <c r="E20" s="3"/>
      <c r="F20" s="3"/>
      <c r="G20" s="3"/>
      <c r="H20" s="3"/>
    </row>
    <row r="21">
      <c r="A21" s="7" t="inlineStr">
        <is>
          <t xml:space="preserve">Current Price (USD/share)</t>
        </is>
      </c>
      <c r="B21" s="11">
        <v>886.0</v>
      </c>
    </row>
    <row r="22">
      <c r="A22" s="7" t="inlineStr">
        <is>
          <t xml:space="preserve">Shares Outstanding</t>
        </is>
      </c>
      <c r="B22" s="10">
        <v>459674889</v>
      </c>
    </row>
    <row r="23">
      <c r="A23" s="7" t="inlineStr">
        <is>
          <t xml:space="preserve">Beta (levered equity)</t>
        </is>
      </c>
      <c r="B23" s="10">
        <v>1.605</v>
      </c>
    </row>
    <row r="24">
      <c r="A24" s="7" t="inlineStr">
        <is>
          <t xml:space="preserve">Sector (GICS)</t>
        </is>
      </c>
      <c r="B24" s="13" t="inlineStr">
        <is>
          <t xml:space="preserve">Industrials</t>
        </is>
      </c>
    </row>
    <row r="26">
      <c r="A26" s="3" t="inlineStr">
        <is>
          <t xml:space="preserve">SECTION 4 — Assumptions (shared across companies unless noted; assumptions-register.md)</t>
        </is>
      </c>
      <c r="B26" s="3"/>
      <c r="C26" s="3"/>
      <c r="D26" s="3"/>
      <c r="E26" s="3"/>
      <c r="F26" s="3"/>
      <c r="G26" s="3"/>
      <c r="H26" s="3"/>
    </row>
    <row r="27">
      <c r="A27" s="7" t="inlineStr">
        <is>
          <t xml:space="preserve">Risk-free rate (A-001)</t>
        </is>
      </c>
      <c r="B27" s="12">
        <v>0.04</v>
      </c>
    </row>
    <row r="28">
      <c r="A28" s="7" t="inlineStr">
        <is>
          <t xml:space="preserve">Market risk premium (A-009)</t>
        </is>
      </c>
      <c r="B28" s="12">
        <v>0.055</v>
      </c>
    </row>
    <row r="29">
      <c r="A29" s="7" t="inlineStr">
        <is>
          <t xml:space="preserve">Terminal growth rate, base case (A-003)</t>
        </is>
      </c>
      <c r="B29" s="12">
        <v>0.025</v>
      </c>
    </row>
    <row r="30">
      <c r="A30" s="7" t="inlineStr">
        <is>
          <t xml:space="preserve">Projection years</t>
        </is>
      </c>
      <c r="B30" s="10">
        <v>5</v>
      </c>
    </row>
    <row r="31">
      <c r="A31" s="7" t="inlineStr">
        <is>
          <t xml:space="preserve">D&amp;A % of revenue (A-004)</t>
        </is>
      </c>
      <c r="B31" s="12">
        <v>0.03</v>
      </c>
    </row>
    <row r="32">
      <c r="A32" s="7" t="inlineStr">
        <is>
          <t xml:space="preserve">CapEx % of revenue (A-004)</t>
        </is>
      </c>
      <c r="B32" s="12">
        <v>0.04</v>
      </c>
    </row>
    <row r="33">
      <c r="A33" s="7" t="inlineStr">
        <is>
          <t xml:space="preserve">ΔNWC % of revenue change (A-004)</t>
        </is>
      </c>
      <c r="B33" s="12">
        <v>0.01</v>
      </c>
    </row>
    <row r="34">
      <c r="A34" s="7" t="inlineStr">
        <is>
          <t xml:space="preserve">WACC clamp — minimum (A-006)</t>
        </is>
      </c>
      <c r="B34" s="12">
        <v>0.05</v>
      </c>
    </row>
    <row r="35">
      <c r="A35" s="7" t="inlineStr">
        <is>
          <t xml:space="preserve">WACC clamp — maximum (A-006)</t>
        </is>
      </c>
      <c r="B35" s="12">
        <v>0.2</v>
      </c>
    </row>
    <row r="36">
      <c r="A36" s="7" t="inlineStr">
        <is>
          <t xml:space="preserve">Terminal growth clamp — minimum</t>
        </is>
      </c>
      <c r="B36" s="12">
        <v>0.0</v>
      </c>
    </row>
    <row r="37">
      <c r="A37" s="7" t="inlineStr">
        <is>
          <t xml:space="preserve">Terminal growth clamp — maximum</t>
        </is>
      </c>
      <c r="B37" s="12">
        <v>0.05</v>
      </c>
    </row>
    <row r="38">
      <c r="A38" s="7" t="inlineStr">
        <is>
          <t xml:space="preserve">Historical revenue growth cap (A-002)</t>
        </is>
      </c>
      <c r="B38" s="12">
        <v>0.25</v>
      </c>
    </row>
  </sheetData>
  <mergeCells count="5">
    <mergeCell ref="A1:G1"/>
    <mergeCell ref="A4:H4"/>
    <mergeCell ref="A12:H12"/>
    <mergeCell ref="A20:H20"/>
    <mergeCell ref="A26:H26"/>
  </mergeCells>
</worksheet>
</file>

<file path=xl/worksheets/sheet8.xml><?xml version="1.0" encoding="utf-8"?>
<worksheet xmlns="http://schemas.openxmlformats.org/spreadsheetml/2006/main">
  <dimension ref="A1:H52"/>
  <sheetViews>
    <sheetView workbookViewId="0">
      <pane xSplit="1" ySplit="4" topLeftCell="B5" activePane="bottomRight" state="frozen"/>
      <selection pane="bottomRight" activeCell="B5" sqref="B5"/>
    </sheetView>
  </sheetViews>
  <sheetFormatPr defaultRowHeight="15"/>
  <cols>
    <col min="1" max="1" width="46" customWidth="1"/>
    <col min="2" max="2" width="17" customWidth="1"/>
    <col min="3" max="3" width="17" customWidth="1"/>
    <col min="4" max="4" width="17" customWidth="1"/>
    <col min="5" max="5" width="17" customWidth="1"/>
    <col min="6" max="6" width="17" customWidth="1"/>
    <col min="7" max="7" width="17" customWidth="1"/>
    <col min="8" max="8" width="55" customWidth="1"/>
  </cols>
  <sheetData>
    <row r="1">
      <c r="A1" s="1" t="inlineStr">
        <is>
          <t xml:space="preserve">DCF Valuation — CAT (CATERPILLAR INC)  [V2 — Track A Phase 2C]</t>
        </is>
      </c>
    </row>
    <row r="2">
      <c r="A2" s="2" t="inlineStr">
        <is>
          <t xml:space="preserve">Every formula below is entered independently from docs/model-specifications/dcf.md and wacc-capm.md prose/equations — never copied from src/dcf_model/dcf.py. V2: years_elapsed now uses actual fiscal-period-end date subtraction, per the Track A Phase 2C specification clarification (A-028/L-019) — see row below.</t>
        </is>
      </c>
    </row>
    <row r="4">
      <c r="A4" s="3" t="inlineStr">
        <is>
          <t xml:space="preserve">SECTION 1 — Historical Revenue CAGR &amp; Operating Margin  [dcf.md §Historical revenue-growth and operating-margin derivation]</t>
        </is>
      </c>
      <c r="B4" s="3"/>
      <c r="C4" s="3"/>
      <c r="D4" s="3"/>
      <c r="E4" s="3"/>
      <c r="F4" s="3"/>
      <c r="G4" s="3"/>
      <c r="H4" s="3"/>
    </row>
    <row r="5">
      <c r="A5" s="7" t="inlineStr">
        <is>
          <t xml:space="preserve">Years elapsed = (latest fiscal date − earliest fiscal date) / 365.25  [V2; A-028]</t>
        </is>
      </c>
      <c r="B5" s="15">
        <f>('Inputs_CAT'!$A$10-'Inputs_CAT'!$A$6)/365.25</f>
        <v>4.0</v>
      </c>
      <c r="D5" s="9" t="inlineStr">
        <is>
          <t xml:space="preserve">Spec: dcf.md — years_elapsed is ACTUAL elapsed calendar days between the earliest- and latest-dated valid observations / 365.25, never (periods−1) (A-028; Track A Phase 2C, resolving the ambiguity Phase 2B found).</t>
        </is>
      </c>
    </row>
    <row r="6">
      <c r="A6" s="7" t="inlineStr">
        <is>
          <t xml:space="preserve">Diagnostic — naive (N periods − 1) years [V1's convention; NOT used below]</t>
        </is>
      </c>
      <c r="B6" s="10">
        <v>4</v>
      </c>
      <c r="C6" s="22" t="inlineStr">
        <is>
          <t xml:space="preserve">REGULAR</t>
        </is>
      </c>
      <c r="D6" s="25" t="inlineStr">
        <is>
          <t xml:space="preserve">Fiscal calendar is evenly spaced for this company — actual years_elapsed equals the naive (N periods − 1) count to within floating-point noise, so V1 and V2 agree here by coincidence, not because (periods − 1) is a generally correct convention.</t>
        </is>
      </c>
    </row>
    <row r="8">
      <c r="A8" s="7" t="inlineStr">
        <is>
          <t xml:space="preserve">Raw Revenue CAGR = (Rev_latest/Rev_earliest)^(1/years) − 1</t>
        </is>
      </c>
      <c r="B8" s="17">
        <f>('Inputs_CAT'!$B$10/'Inputs_CAT'!$B$6)^(1/B5)-1</f>
        <v>0.073095112192894</v>
      </c>
    </row>
    <row r="9">
      <c r="A9" s="7" t="inlineStr">
        <is>
          <t xml:space="preserve">Capped Revenue CAGR (cap A-002; NOT floored below)</t>
        </is>
      </c>
      <c r="B9" s="17">
        <f>MIN(B8,'Inputs_CAT'!$B$38)</f>
        <v>0.073095112192894</v>
      </c>
      <c r="D9" s="9" t="inlineStr">
        <is>
          <t xml:space="preserve">Spec: dcf.md — capped at MAX_REVENUE_GROWTH_RATE=25%, unbounded below (A-002)</t>
        </is>
      </c>
    </row>
    <row r="10">
      <c r="A10" s="7" t="inlineStr">
        <is>
          <t xml:space="preserve">Average Historical Operating Margin = simple average of EBIT_t/Revenue_t</t>
        </is>
      </c>
      <c r="B10" s="17">
        <f>('Inputs_CAT'!$C$6/'Inputs_CAT'!$B$6+'Inputs_CAT'!$C$7/'Inputs_CAT'!$B$7+'Inputs_CAT'!$C$8/'Inputs_CAT'!$B$8+'Inputs_CAT'!$C$9/'Inputs_CAT'!$B$9+'Inputs_CAT'!$C$10/'Inputs_CAT'!$B$10)/5</f>
        <v>0.1655950160952213</v>
      </c>
    </row>
    <row r="12">
      <c r="A12" s="3" t="inlineStr">
        <is>
          <t xml:space="preserve">SECTION 2 — WACC via CAPM  [wacc-capm.md §Formula]</t>
        </is>
      </c>
      <c r="B12" s="3"/>
      <c r="C12" s="3"/>
      <c r="D12" s="3"/>
      <c r="E12" s="3"/>
      <c r="F12" s="3"/>
      <c r="G12" s="3"/>
      <c r="H12" s="3"/>
    </row>
    <row r="13">
      <c r="A13" s="7" t="inlineStr">
        <is>
          <t xml:space="preserve">Market Capitalization = Price × Shares Outstanding</t>
        </is>
      </c>
      <c r="B13" s="16">
        <f>'Inputs_CAT'!$B$21*'Inputs_CAT'!$B$22</f>
        <v>407271951654.0</v>
      </c>
    </row>
    <row r="14">
      <c r="A14" s="7" t="inlineStr">
        <is>
          <t xml:space="preserve">Effective Tax Rate = Tax Provision / Pretax Income (latest FY)</t>
        </is>
      </c>
      <c r="B14" s="17">
        <f>'Inputs_CAT'!$B$15/'Inputs_CAT'!$B$14</f>
        <v>0.23984056840828352</v>
      </c>
      <c r="D14" s="9" t="inlineStr">
        <is>
          <t xml:space="preserve">Method: derived. Spec: wacc-capm.md — derived as tax_provision/pretax_income, valid range [0,1); DEFAULT_TAX_RATE=21% only on missing data.</t>
        </is>
      </c>
    </row>
    <row r="15">
      <c r="A15" s="7" t="inlineStr">
        <is>
          <t xml:space="preserve">Cost of Debt = |Interest Expense| / Total Debt (latest FY)</t>
        </is>
      </c>
      <c r="B15" s="17">
        <f>ABS('Inputs_CAT'!$B$16)/'Inputs_CAT'!$B$17</f>
        <v>0.050869925434962715</v>
      </c>
    </row>
    <row r="16">
      <c r="A16" s="7" t="inlineStr">
        <is>
          <t xml:space="preserve">Cost of Equity (CAPM) = Rf + Beta × MRP</t>
        </is>
      </c>
      <c r="B16" s="17">
        <f>'Inputs_CAT'!$B$27+'Inputs_CAT'!$B$23*'Inputs_CAT'!$B$28</f>
        <v>0.128275</v>
      </c>
    </row>
    <row r="17">
      <c r="A17" s="7" t="inlineStr">
        <is>
          <t xml:space="preserve">After-Tax Cost of Debt = Cost of Debt × (1 − Tax Rate)</t>
        </is>
      </c>
      <c r="B17" s="17">
        <f>B15*(1-B14)</f>
        <v>0.03866925360375426</v>
      </c>
    </row>
    <row r="18">
      <c r="A18" s="7" t="inlineStr">
        <is>
          <t xml:space="preserve">Weight of Equity = MktCap / (MktCap + Total Debt)</t>
        </is>
      </c>
      <c r="B18" s="17">
        <f>B13/(B13+'Inputs_CAT'!$B$17)</f>
        <v>0.9183506795147987</v>
      </c>
    </row>
    <row r="19">
      <c r="A19" s="7" t="inlineStr">
        <is>
          <t xml:space="preserve">Weight of Debt = Total Debt / (MktCap + Total Debt)</t>
        </is>
      </c>
      <c r="B19" s="17">
        <f>'Inputs_CAT'!$B$17/(B13+'Inputs_CAT'!$B$17)</f>
        <v>0.08164932048520131</v>
      </c>
    </row>
    <row r="20">
      <c r="A20" s="7" t="inlineStr">
        <is>
          <t xml:space="preserve">Raw WACC = We×Re + Wd×Rd(after-tax)</t>
        </is>
      </c>
      <c r="B20" s="17">
        <f>B18*B16+B19*B17</f>
        <v>0.12095875169517725</v>
      </c>
    </row>
    <row r="21">
      <c r="A21" s="7" t="inlineStr">
        <is>
          <t xml:space="preserve">Final WACC — clamped to [5%,20%] (A-006), via MEDIAN(raw,min,max)</t>
        </is>
      </c>
      <c r="B21" s="17">
        <f>MEDIAN(B20,'Inputs_CAT'!$B$34,'Inputs_CAT'!$B$35)</f>
        <v>0.12095875169517725</v>
      </c>
      <c r="D21" s="9" t="inlineStr">
        <is>
          <t xml:space="preserve">MEDIAN(x,min,max) is a standard single-formula clamp: returns min if x&lt;min, max if x&gt;max, else x.</t>
        </is>
      </c>
    </row>
    <row r="23">
      <c r="A23" s="3" t="inlineStr">
        <is>
          <t xml:space="preserve">SECTION 3 — 5-Year Free Cash Flow Projection  [dcf.md §Free Cash Flow projection]</t>
        </is>
      </c>
      <c r="B23" s="3"/>
      <c r="C23" s="3"/>
      <c r="D23" s="3"/>
      <c r="E23" s="3"/>
      <c r="F23" s="3"/>
      <c r="G23" s="3"/>
      <c r="H23" s="3"/>
    </row>
    <row r="24">
      <c r="A24" s="4" t="inlineStr">
        <is>
          <t xml:space="preserve"/>
        </is>
      </c>
      <c r="B24" s="5" t="inlineStr">
        <is>
          <t xml:space="preserve">Year 0 (base, actual)</t>
        </is>
      </c>
      <c r="C24" s="5" t="inlineStr">
        <is>
          <t xml:space="preserve">Year 1</t>
        </is>
      </c>
      <c r="D24" s="5" t="inlineStr">
        <is>
          <t xml:space="preserve">Year 2</t>
        </is>
      </c>
      <c r="E24" s="5" t="inlineStr">
        <is>
          <t xml:space="preserve">Year 3</t>
        </is>
      </c>
      <c r="F24" s="5" t="inlineStr">
        <is>
          <t xml:space="preserve">Year 4</t>
        </is>
      </c>
      <c r="G24" s="5" t="inlineStr">
        <is>
          <t xml:space="preserve">Year 5</t>
        </is>
      </c>
    </row>
    <row r="25">
      <c r="A25" s="7" t="inlineStr">
        <is>
          <t xml:space="preserve">Revenue = Revenue_(t-1) × (1 + growth)</t>
        </is>
      </c>
      <c r="B25" s="16">
        <f>'Inputs_CAT'!$B$10</f>
        <v>67589000000</v>
      </c>
      <c r="C25" s="16">
        <f>B25*(1+$B$9)</f>
        <v>72529425538.00551</v>
      </c>
      <c r="D25" s="16">
        <f>C25*(1+$B$9)</f>
        <v>77830972034.99217</v>
      </c>
      <c r="E25" s="16">
        <f>D25*(1+$B$9)</f>
        <v>83520035667.97192</v>
      </c>
      <c r="F25" s="16">
        <f>E25*(1+$B$9)</f>
        <v>89624942045.47684</v>
      </c>
      <c r="G25" s="16">
        <f>F25*(1+$B$9)</f>
        <v>96176087239.57259</v>
      </c>
    </row>
    <row r="26">
      <c r="A26" s="7" t="inlineStr">
        <is>
          <t xml:space="preserve">EBIT = Revenue × Operating Margin</t>
        </is>
      </c>
      <c r="C26" s="16">
        <f>C25*$B$10</f>
        <v>12010511389.343176</v>
      </c>
      <c r="D26" s="16">
        <f>D25*$B$10</f>
        <v>12888421066.841248</v>
      </c>
      <c r="E26" s="16">
        <f>E25*$B$10</f>
        <v>13830501650.711267</v>
      </c>
      <c r="F26" s="16">
        <f>F25*$B$10</f>
        <v>14841443720.554012</v>
      </c>
      <c r="G26" s="16">
        <f>G25*$B$10</f>
        <v>15926280714.41243</v>
      </c>
    </row>
    <row r="27">
      <c r="A27" s="7" t="inlineStr">
        <is>
          <t xml:space="preserve">NOPAT = EBIT × (1 − Tax Rate)</t>
        </is>
      </c>
      <c r="C27" s="16">
        <f>C26*(1-$B$14)</f>
        <v>9129903510.848946</v>
      </c>
      <c r="D27" s="16">
        <f>D26*(1-$B$14)</f>
        <v>9797254832.284748</v>
      </c>
      <c r="E27" s="16">
        <f>E26*(1-$B$14)</f>
        <v>10513386273.432974</v>
      </c>
      <c r="F27" s="16">
        <f>F26*(1-$B$14)</f>
        <v>11281863422.616789</v>
      </c>
      <c r="G27" s="16">
        <f>G26*(1-$B$14)</f>
        <v>12106512495.23787</v>
      </c>
    </row>
    <row r="28">
      <c r="A28" s="7" t="inlineStr">
        <is>
          <t xml:space="preserve">D&amp;A = Revenue × D&amp;A% (A-004)</t>
        </is>
      </c>
      <c r="C28" s="16">
        <f>C25*'Inputs_CAT'!$B$31</f>
        <v>2175882766.1401653</v>
      </c>
      <c r="D28" s="16">
        <f>D25*'Inputs_CAT'!$B$31</f>
        <v>2334929161.049765</v>
      </c>
      <c r="E28" s="16">
        <f>E25*'Inputs_CAT'!$B$31</f>
        <v>2505601070.0391574</v>
      </c>
      <c r="F28" s="16">
        <f>F25*'Inputs_CAT'!$B$31</f>
        <v>2688748261.364305</v>
      </c>
      <c r="G28" s="16">
        <f>G25*'Inputs_CAT'!$B$31</f>
        <v>2885282617.1871777</v>
      </c>
    </row>
    <row r="29">
      <c r="A29" s="7" t="inlineStr">
        <is>
          <t xml:space="preserve">CapEx = Revenue × CapEx% (A-004)</t>
        </is>
      </c>
      <c r="C29" s="16">
        <f>C25*'Inputs_CAT'!$B$32</f>
        <v>2901177021.5202203</v>
      </c>
      <c r="D29" s="16">
        <f>D25*'Inputs_CAT'!$B$32</f>
        <v>3113238881.399687</v>
      </c>
      <c r="E29" s="16">
        <f>E25*'Inputs_CAT'!$B$32</f>
        <v>3340801426.718877</v>
      </c>
      <c r="F29" s="16">
        <f>F25*'Inputs_CAT'!$B$32</f>
        <v>3584997681.8190737</v>
      </c>
      <c r="G29" s="16">
        <f>G25*'Inputs_CAT'!$B$32</f>
        <v>3847043489.5829034</v>
      </c>
    </row>
    <row r="30">
      <c r="A30" s="7" t="inlineStr">
        <is>
          <t xml:space="preserve">ΔNWC = NWC% × (Revenue_t − Revenue_(t-1)) (A-004)</t>
        </is>
      </c>
      <c r="C30" s="16">
        <f>'Inputs_CAT'!$B$33*(C25-B25)</f>
        <v>49404255.380055085</v>
      </c>
      <c r="D30" s="16">
        <f>'Inputs_CAT'!$B$33*(D25-C25)</f>
        <v>53015464.96986664</v>
      </c>
      <c r="E30" s="16">
        <f>'Inputs_CAT'!$B$33*(E25-D25)</f>
        <v>56890636.329797514</v>
      </c>
      <c r="F30" s="16">
        <f>'Inputs_CAT'!$B$33*(F25-E25)</f>
        <v>61049063.775049135</v>
      </c>
      <c r="G30" s="16">
        <f>'Inputs_CAT'!$B$33*(G25-F25)</f>
        <v>65511451.940957494</v>
      </c>
    </row>
    <row r="31">
      <c r="A31" s="7" t="inlineStr">
        <is>
          <t xml:space="preserve">Unlevered FCF = NOPAT + D&amp;A − CapEx − ΔNWC</t>
        </is>
      </c>
      <c r="C31" s="16">
        <f>C27+C28-C29-C30</f>
        <v>8355205000.088836</v>
      </c>
      <c r="D31" s="16">
        <f>D27+D28-D29-D30</f>
        <v>8965929646.96496</v>
      </c>
      <c r="E31" s="16">
        <f>E27+E28-E29-E30</f>
        <v>9621295280.423456</v>
      </c>
      <c r="F31" s="16">
        <f>F27+F28-F29-F30</f>
        <v>10324564938.386972</v>
      </c>
      <c r="G31" s="16">
        <f>G27+G28-G29-G30</f>
        <v>11079240170.901186</v>
      </c>
    </row>
    <row r="33">
      <c r="A33" s="3" t="inlineStr">
        <is>
          <t xml:space="preserve">SECTION 4 — Terminal Value (Gordon Growth)  [dcf.md §Terminal value]</t>
        </is>
      </c>
      <c r="B33" s="3"/>
      <c r="C33" s="3"/>
      <c r="D33" s="3"/>
      <c r="E33" s="3"/>
      <c r="F33" s="3"/>
      <c r="G33" s="3"/>
      <c r="H33" s="3"/>
    </row>
    <row r="34">
      <c r="A34" s="7" t="inlineStr">
        <is>
          <t xml:space="preserve">Terminal Value = FCF_Y5 × (1+g) / (WACC − g)</t>
        </is>
      </c>
      <c r="B34" s="16">
        <f>G31*(1+'Inputs_CAT'!$B$29)/(B21-'Inputs_CAT'!$B$29)</f>
        <v>118344819774.72891</v>
      </c>
    </row>
    <row r="35">
      <c r="A35" s="7" t="inlineStr">
        <is>
          <t xml:space="preserve">Check: Final WACC &gt; Terminal Growth Rate?</t>
        </is>
      </c>
      <c r="B35" s="21" t="str">
        <f>IF(B21&gt;'Inputs_CAT'!$B$29,"PASS","FAIL")</f>
        <v>PASS</v>
      </c>
    </row>
    <row r="37">
      <c r="A37" s="3" t="inlineStr">
        <is>
          <t xml:space="preserve">SECTION 5 — Discounting &amp; Enterprise-to-Equity Bridge  [dcf.md §Discounting and the Enterprise-to-Equity bridge]</t>
        </is>
      </c>
      <c r="B37" s="3"/>
      <c r="C37" s="3"/>
      <c r="D37" s="3"/>
      <c r="E37" s="3"/>
      <c r="F37" s="3"/>
      <c r="G37" s="3"/>
      <c r="H37" s="3"/>
    </row>
    <row r="38">
      <c r="A38" s="7" t="inlineStr">
        <is>
          <t xml:space="preserve">PV(FCF_t) = FCF_t / (1+WACC)^t</t>
        </is>
      </c>
      <c r="C38" s="16">
        <f>C31/(1+$B$21)^1</f>
        <v>7453623951.33061</v>
      </c>
      <c r="D38" s="16">
        <f>D31/(1+$B$21)^2</f>
        <v>7135362847.384937</v>
      </c>
      <c r="E38" s="16">
        <f>E31/(1+$B$21)^3</f>
        <v>6830691123.712011</v>
      </c>
      <c r="F38" s="16">
        <f>F31/(1+$B$21)^4</f>
        <v>6539028529.524333</v>
      </c>
      <c r="G38" s="16">
        <f>G31/(1+$B$21)^5</f>
        <v>6259819590.070503</v>
      </c>
    </row>
    <row r="39">
      <c r="A39" s="7" t="inlineStr">
        <is>
          <t xml:space="preserve">Sum of PV(FCF Years 1-5)</t>
        </is>
      </c>
      <c r="B39" s="16">
        <f>SUM(C38:G38)</f>
        <v>34218526042.022396</v>
      </c>
    </row>
    <row r="40">
      <c r="A40" s="7" t="inlineStr">
        <is>
          <t xml:space="preserve">PV(Terminal Value) = TV / (1+WACC)^5</t>
        </is>
      </c>
      <c r="B40" s="16">
        <f>B34/(1+B21)^5</f>
        <v>66865345437.2181</v>
      </c>
    </row>
    <row r="41">
      <c r="A41" s="7" t="inlineStr">
        <is>
          <t xml:space="preserve">Enterprise Value = Sum PV(FCF) + PV(Terminal Value)</t>
        </is>
      </c>
      <c r="B41" s="16">
        <f>B39+B40</f>
        <v>101083871479.2405</v>
      </c>
    </row>
    <row r="42">
      <c r="A42" s="7" t="inlineStr">
        <is>
          <t xml:space="preserve">Equity Value = Enterprise Value − Total Debt + Cash</t>
        </is>
      </c>
      <c r="B42" s="16">
        <f>B41-'Inputs_CAT'!$B$17+'Inputs_CAT'!$B$18</f>
        <v>74853871479.2405</v>
      </c>
    </row>
    <row r="43">
      <c r="A43" s="7" t="inlineStr">
        <is>
          <t xml:space="preserve">Intrinsic Value per Share = Equity Value / Shares Outstanding</t>
        </is>
      </c>
      <c r="B43" s="19">
        <f>B42/'Inputs_CAT'!$B$22</f>
        <v>162.84089749188038</v>
      </c>
    </row>
    <row r="44">
      <c r="A44" s="7" t="inlineStr">
        <is>
          <t xml:space="preserve">Current Price / Intrinsic Value (descriptive ratio, NOT a recommendation)</t>
        </is>
      </c>
      <c r="B44" s="20">
        <f>'Inputs_CAT'!$B$21/B43</f>
        <v>5.440893618534484</v>
      </c>
    </row>
    <row r="46">
      <c r="A46" s="3" t="inlineStr">
        <is>
          <t xml:space="preserve">SECTION 6 — Validation Checks (local to this company)</t>
        </is>
      </c>
      <c r="B46" s="3"/>
      <c r="C46" s="3"/>
      <c r="D46" s="3"/>
      <c r="E46" s="3"/>
      <c r="F46" s="3"/>
      <c r="G46" s="3"/>
      <c r="H46" s="3"/>
    </row>
    <row r="47">
      <c r="A47" s="7" t="inlineStr">
        <is>
          <t xml:space="preserve">WACC within documented clamp [5%,20%]?</t>
        </is>
      </c>
      <c r="B47" s="22" t="str">
        <f>IF(AND(B21&gt;='Inputs_CAT'!$B$34,B21&lt;='Inputs_CAT'!$B$35),"PASS","FAIL")</f>
        <v>PASS</v>
      </c>
    </row>
    <row r="48">
      <c r="A48" s="7" t="inlineStr">
        <is>
          <t xml:space="preserve">Enterprise Value is a finite number?</t>
        </is>
      </c>
      <c r="B48" s="22" t="str">
        <f>IF(ISNUMBER(B41),"PASS","FAIL")</f>
        <v>PASS</v>
      </c>
    </row>
    <row r="49">
      <c r="A49" s="7" t="inlineStr">
        <is>
          <t xml:space="preserve">Intrinsic Value per Share is a finite number?</t>
        </is>
      </c>
      <c r="B49" s="22" t="str">
        <f>IF(ISNUMBER(B43),"PASS","FAIL")</f>
        <v>PASS</v>
      </c>
    </row>
    <row r="50">
      <c r="A50" s="7" t="inlineStr">
        <is>
          <t xml:space="preserve">Intrinsic Value per Share is positive?</t>
        </is>
      </c>
      <c r="B50" s="22" t="str">
        <f>IF(B43&gt;0,"PASS","FAIL")</f>
        <v>PASS</v>
      </c>
    </row>
    <row r="51">
      <c r="A51" s="7" t="inlineStr">
        <is>
          <t xml:space="preserve">Effective tax rate within valid [0,1) range?</t>
        </is>
      </c>
      <c r="B51" s="22" t="str">
        <f>IF(AND(B14&gt;=0,B14&lt;1),"PASS","FAIL")</f>
        <v>PASS</v>
      </c>
    </row>
    <row r="52">
      <c r="A52" s="7" t="inlineStr">
        <is>
          <t xml:space="preserve">Final WACC exceeds terminal growth rate?</t>
        </is>
      </c>
      <c r="B52" s="22" t="str">
        <f>IF(B21&gt;'Inputs_CAT'!$B$29,"PASS","FAIL")</f>
        <v>PASS</v>
      </c>
    </row>
  </sheetData>
  <mergeCells count="7">
    <mergeCell ref="A1:G1"/>
    <mergeCell ref="A4:H4"/>
    <mergeCell ref="A12:H12"/>
    <mergeCell ref="A23:H23"/>
    <mergeCell ref="A33:H33"/>
    <mergeCell ref="A37:H37"/>
    <mergeCell ref="A46:H46"/>
  </mergeCells>
</worksheet>
</file>

<file path=xl/worksheets/sheet9.xml><?xml version="1.0" encoding="utf-8"?>
<worksheet xmlns="http://schemas.openxmlformats.org/spreadsheetml/2006/main">
  <dimension ref="A1:O60"/>
  <sheetViews>
    <sheetView workbookViewId="0">
      <pane xSplit="1" ySplit="2" topLeftCell="B3" activePane="bottomRight" state="frozen"/>
      <selection pane="bottomRight" activeCell="B3" sqref="B3"/>
    </sheetView>
  </sheetViews>
  <sheetFormatPr defaultRowHeight="15"/>
  <cols>
    <col min="1" max="1" width="14"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s>
  <sheetData>
    <row r="1">
      <c r="A1" s="1" t="inlineStr">
        <is>
          <t xml:space="preserve">Sensitivity Analysis — CAT</t>
        </is>
      </c>
    </row>
    <row r="2">
      <c r="A2" s="2" t="inlineStr">
        <is>
          <t xml:space="preserve">One variable at a time, other inputs held at base case. Per docs/independent-validation-plan.md §Sensitivity tables.</t>
        </is>
      </c>
    </row>
    <row r="4">
      <c r="A4" s="3" t="inlineStr">
        <is>
          <t xml:space="preserve">TABLE 1 — WACC Sensitivity (range [5%,20%], base FCF path held fixed)  [dcf.md Terminal Value + discounting]</t>
        </is>
      </c>
      <c r="B4" s="3"/>
      <c r="C4" s="3"/>
      <c r="D4" s="3"/>
      <c r="E4" s="3"/>
    </row>
    <row r="5">
      <c r="A5" s="4" t="inlineStr">
        <is>
          <t xml:space="preserve">WACC</t>
        </is>
      </c>
      <c r="B5" s="4" t="inlineStr">
        <is>
          <t xml:space="preserve">Terminal Value</t>
        </is>
      </c>
      <c r="C5" s="4" t="inlineStr">
        <is>
          <t xml:space="preserve">Enterprise Value</t>
        </is>
      </c>
      <c r="D5" s="4" t="inlineStr">
        <is>
          <t xml:space="preserve">Equity Value</t>
        </is>
      </c>
      <c r="E5" s="4" t="inlineStr">
        <is>
          <t xml:space="preserve">Intrinsic Value/Share</t>
        </is>
      </c>
    </row>
    <row r="6">
      <c r="A6" s="12">
        <v>0.05</v>
      </c>
      <c r="B6" s="16">
        <f>IF($A$6&lt;='Inputs_CAT'!$B$29,"n/a (WACC&lt;=g)",'DCF_CAT'!$G$31*(1+'Inputs_CAT'!$B$29)/($A$6-'Inputs_CAT'!$B$29))</f>
        <v>454248847006.9486</v>
      </c>
      <c r="C6" s="16">
        <f>IF(B6="n/a (WACC&lt;=g)","n/a",SUMPRODUCT('DCF_CAT'!$C$31:$G$31,1/(1+$A$6)^{1,2,3,4,5})+B6/(1+$A$6)^5)</f>
        <v>397491714619.226</v>
      </c>
      <c r="D6" s="16">
        <f>IF(C6="n/a","n/a",C6-'Inputs_CAT'!$B$17+'Inputs_CAT'!$B$18)</f>
        <v>371261714619.226</v>
      </c>
      <c r="E6" s="19">
        <f>IF(D6="n/a","n/a",D6/'Inputs_CAT'!$B$22)</f>
        <v>807.6615092612249</v>
      </c>
    </row>
    <row r="7">
      <c r="A7" s="12">
        <v>0.075</v>
      </c>
      <c r="B7" s="16">
        <f>IF($A$7&lt;='Inputs_CAT'!$B$29,"n/a (WACC&lt;=g)",'DCF_CAT'!$G$31*(1+'Inputs_CAT'!$B$29)/($A$7-'Inputs_CAT'!$B$29))</f>
        <v>227124423503.47433</v>
      </c>
      <c r="C7" s="16">
        <f>IF(B7="n/a (WACC&lt;=g)","n/a",SUMPRODUCT('DCF_CAT'!$C$31:$G$31,1/(1+$A$7)^{1,2,3,4,5})+B7/(1+$A$7)^5)</f>
        <v>196929416257.16165</v>
      </c>
      <c r="D7" s="16">
        <f>IF(C7="n/a","n/a",C7-'Inputs_CAT'!$B$17+'Inputs_CAT'!$B$18)</f>
        <v>170699416257.16165</v>
      </c>
      <c r="E7" s="19">
        <f>IF(D7="n/a","n/a",D7/'Inputs_CAT'!$B$22)</f>
        <v>371.34814265906454</v>
      </c>
    </row>
    <row r="8">
      <c r="A8" s="12">
        <v>0.1</v>
      </c>
      <c r="B8" s="16">
        <f>IF($A$8&lt;='Inputs_CAT'!$B$29,"n/a (WACC&lt;=g)",'DCF_CAT'!$G$31*(1+'Inputs_CAT'!$B$29)/($A$8-'Inputs_CAT'!$B$29))</f>
        <v>151416282335.6495</v>
      </c>
      <c r="C8" s="16">
        <f>IF(B8="n/a (WACC&lt;=g)","n/a",SUMPRODUCT('DCF_CAT'!$C$31:$G$31,1/(1+$A$8)^{1,2,3,4,5})+B8/(1+$A$8)^5)</f>
        <v>130182873269.23093</v>
      </c>
      <c r="D8" s="16">
        <f>IF(C8="n/a","n/a",C8-'Inputs_CAT'!$B$17+'Inputs_CAT'!$B$18)</f>
        <v>103952873269.23093</v>
      </c>
      <c r="E8" s="19">
        <f>IF(D8="n/a","n/a",D8/'Inputs_CAT'!$B$22)</f>
        <v>226.1443375673082</v>
      </c>
    </row>
    <row r="9">
      <c r="A9" s="12">
        <v>0.125</v>
      </c>
      <c r="B9" s="16">
        <f>IF($A$9&lt;='Inputs_CAT'!$B$29,"n/a (WACC&lt;=g)",'DCF_CAT'!$G$31*(1+'Inputs_CAT'!$B$29)/($A$9-'Inputs_CAT'!$B$29))</f>
        <v>113562211751.73715</v>
      </c>
      <c r="C9" s="16">
        <f>IF(B9="n/a (WACC&lt;=g)","n/a",SUMPRODUCT('DCF_CAT'!$C$31:$G$31,1/(1+$A$9)^{1,2,3,4,5})+B9/(1+$A$9)^5)</f>
        <v>96881109417.82065</v>
      </c>
      <c r="D9" s="16">
        <f>IF(C9="n/a","n/a",C9-'Inputs_CAT'!$B$17+'Inputs_CAT'!$B$18)</f>
        <v>70651109417.82065</v>
      </c>
      <c r="E9" s="19">
        <f>IF(D9="n/a","n/a",D9/'Inputs_CAT'!$B$22)</f>
        <v>153.69799636329634</v>
      </c>
    </row>
    <row r="10">
      <c r="A10" s="12">
        <v>0.15</v>
      </c>
      <c r="B10" s="16">
        <f>IF($A$10&lt;='Inputs_CAT'!$B$29,"n/a (WACC&lt;=g)",'DCF_CAT'!$G$31*(1+'Inputs_CAT'!$B$29)/($A$10-'Inputs_CAT'!$B$29))</f>
        <v>90849769401.38972</v>
      </c>
      <c r="C10" s="16">
        <f>IF(B10="n/a (WACC&lt;=g)","n/a",SUMPRODUCT('DCF_CAT'!$C$31:$G$31,1/(1+$A$10)^{1,2,3,4,5})+B10/(1+$A$10)^5)</f>
        <v>76950920124.33046</v>
      </c>
      <c r="D10" s="16">
        <f>IF(C10="n/a","n/a",C10-'Inputs_CAT'!$B$17+'Inputs_CAT'!$B$18)</f>
        <v>50720920124.33046</v>
      </c>
      <c r="E10" s="19">
        <f>IF(D10="n/a","n/a",D10/'Inputs_CAT'!$B$22)</f>
        <v>110.34085467377022</v>
      </c>
    </row>
    <row r="11">
      <c r="A11" s="12">
        <v>0.175</v>
      </c>
      <c r="B11" s="16">
        <f>IF($A$11&lt;='Inputs_CAT'!$B$29,"n/a (WACC&lt;=g)",'DCF_CAT'!$G$31*(1+'Inputs_CAT'!$B$29)/($A$11-'Inputs_CAT'!$B$29))</f>
        <v>75708141167.82477</v>
      </c>
      <c r="C11" s="16">
        <f>IF(B11="n/a (WACC&lt;=g)","n/a",SUMPRODUCT('DCF_CAT'!$C$31:$G$31,1/(1+$A$11)^{1,2,3,4,5})+B11/(1+$A$11)^5)</f>
        <v>63701934830.514496</v>
      </c>
      <c r="D11" s="16">
        <f>IF(C11="n/a","n/a",C11-'Inputs_CAT'!$B$17+'Inputs_CAT'!$B$18)</f>
        <v>37471934830.514496</v>
      </c>
      <c r="E11" s="19">
        <f>IF(D11="n/a","n/a",D11/'Inputs_CAT'!$B$22)</f>
        <v>81.5183420439451</v>
      </c>
    </row>
    <row r="12">
      <c r="A12" s="12">
        <v>0.2</v>
      </c>
      <c r="B12" s="16">
        <f>IF($A$12&lt;='Inputs_CAT'!$B$29,"n/a (WACC&lt;=g)",'DCF_CAT'!$G$31*(1+'Inputs_CAT'!$B$29)/($A$12-'Inputs_CAT'!$B$29))</f>
        <v>64892692429.56408</v>
      </c>
      <c r="C12" s="16">
        <f>IF(B12="n/a (WACC&lt;=g)","n/a",SUMPRODUCT('DCF_CAT'!$C$31:$G$31,1/(1+$A$12)^{1,2,3,4,5})+B12/(1+$A$12)^5)</f>
        <v>54267359201.58143</v>
      </c>
      <c r="D12" s="16">
        <f>IF(C12="n/a","n/a",C12-'Inputs_CAT'!$B$17+'Inputs_CAT'!$B$18)</f>
        <v>28037359201.58143</v>
      </c>
      <c r="E12" s="19">
        <f>IF(D12="n/a","n/a",D12/'Inputs_CAT'!$B$22)</f>
        <v>60.99388909969678</v>
      </c>
    </row>
    <row r="13" ht="45" customHeight="1">
      <c r="A13" s="26" t="inlineStr">
        <is>
          <t xml:space="preserve">Direction check: IV decreases as WACC rises?</t>
        </is>
      </c>
      <c r="B13" s="22" t="str">
        <f>IF(E6&gt;E12,"PASS (as expected)","FAIL — investigate (see note)")</f>
        <v>PASS (as expected)</v>
      </c>
    </row>
    <row r="16">
      <c r="A16" s="3" t="inlineStr">
        <is>
          <t xml:space="preserve">TABLE 2 — Terminal Growth Rate Sensitivity (range [0%,5%]); invalid where g&gt;=WACC</t>
        </is>
      </c>
      <c r="B16" s="3"/>
      <c r="C16" s="3"/>
      <c r="D16" s="3"/>
      <c r="E16" s="3"/>
    </row>
    <row r="17">
      <c r="A17" s="4" t="inlineStr">
        <is>
          <t xml:space="preserve">Terminal Growth g</t>
        </is>
      </c>
      <c r="B17" s="4" t="inlineStr">
        <is>
          <t xml:space="preserve">Terminal Value</t>
        </is>
      </c>
      <c r="C17" s="4" t="inlineStr">
        <is>
          <t xml:space="preserve">Enterprise Value</t>
        </is>
      </c>
      <c r="D17" s="4" t="inlineStr">
        <is>
          <t xml:space="preserve">Equity Value</t>
        </is>
      </c>
      <c r="E17" s="4" t="inlineStr">
        <is>
          <t xml:space="preserve">Intrinsic Value/Share</t>
        </is>
      </c>
    </row>
    <row r="18">
      <c r="A18" s="12">
        <v>0.0</v>
      </c>
      <c r="B18" s="16">
        <f>IF($A$18&gt;='DCF_CAT'!$B$21,"n/a (g&gt;=WACC)",'DCF_CAT'!$G$31*(1+$A$18)/('DCF_CAT'!$B$21-$A$18))</f>
        <v>91595192705.20818</v>
      </c>
      <c r="C18" s="16">
        <f>IF(B18="n/a (g&gt;=WACC)","n/a",'DCF_CAT'!$B$39+B18/(1+'DCF_CAT'!$B$21)^5)</f>
        <v>85970214136.86646</v>
      </c>
      <c r="D18" s="16">
        <f>IF(C18="n/a","n/a",C18-'Inputs_CAT'!$B$17+'Inputs_CAT'!$B$18)</f>
        <v>59740214136.866455</v>
      </c>
      <c r="E18" s="19">
        <f>IF(D18="n/a","n/a",D18/'Inputs_CAT'!$B$22)</f>
        <v>129.96188298827533</v>
      </c>
    </row>
    <row r="19">
      <c r="A19" s="12">
        <v>0.01</v>
      </c>
      <c r="B19" s="16">
        <f>IF($A$19&gt;='DCF_CAT'!$B$21,"n/a (g&gt;=WACC)",'DCF_CAT'!$G$31*(1+$A$19)/('DCF_CAT'!$B$21-$A$19))</f>
        <v>100848580230.5269</v>
      </c>
      <c r="C19" s="16">
        <f>IF(B19="n/a (g&gt;=WACC)","n/a",'DCF_CAT'!$B$39+B19/(1+'DCF_CAT'!$B$21)^5)</f>
        <v>91198418924.55928</v>
      </c>
      <c r="D19" s="16">
        <f>IF(C19="n/a","n/a",C19-'Inputs_CAT'!$B$17+'Inputs_CAT'!$B$18)</f>
        <v>64968418924.55928</v>
      </c>
      <c r="E19" s="19">
        <f>IF(D19="n/a","n/a",D19/'Inputs_CAT'!$B$22)</f>
        <v>141.33558408181673</v>
      </c>
    </row>
    <row r="20">
      <c r="A20" s="12">
        <v>0.02</v>
      </c>
      <c r="B20" s="16">
        <f>IF($A$20&gt;='DCF_CAT'!$B$21,"n/a (g&gt;=WACC)",'DCF_CAT'!$G$31*(1+$A$20)/('DCF_CAT'!$B$21-$A$20))</f>
        <v>111935070358.63087</v>
      </c>
      <c r="C20" s="16">
        <f>IF(B20="n/a (g&gt;=WACC)","n/a",'DCF_CAT'!$B$39+B20/(1+'DCF_CAT'!$B$21)^5)</f>
        <v>97462334772.44395</v>
      </c>
      <c r="D20" s="16">
        <f>IF(C20="n/a","n/a",C20-'Inputs_CAT'!$B$17+'Inputs_CAT'!$B$18)</f>
        <v>71232334772.44395</v>
      </c>
      <c r="E20" s="19">
        <f>IF(D20="n/a","n/a",D20/'Inputs_CAT'!$B$22)</f>
        <v>154.96242339320813</v>
      </c>
    </row>
    <row r="21">
      <c r="A21" s="12">
        <v>0.025</v>
      </c>
      <c r="B21" s="16">
        <f>IF($A$21&gt;='DCF_CAT'!$B$21,"n/a (g&gt;=WACC)",'DCF_CAT'!$G$31*(1+$A$21)/('DCF_CAT'!$B$21-$A$21))</f>
        <v>118344819774.72891</v>
      </c>
      <c r="C21" s="16">
        <f>IF(B21="n/a (g&gt;=WACC)","n/a",'DCF_CAT'!$B$39+B21/(1+'DCF_CAT'!$B$21)^5)</f>
        <v>101083871479.2405</v>
      </c>
      <c r="D21" s="16">
        <f>IF(C21="n/a","n/a",C21-'Inputs_CAT'!$B$17+'Inputs_CAT'!$B$18)</f>
        <v>74853871479.2405</v>
      </c>
      <c r="E21" s="19">
        <f>IF(D21="n/a","n/a",D21/'Inputs_CAT'!$B$22)</f>
        <v>162.84089749188038</v>
      </c>
    </row>
    <row r="22">
      <c r="A22" s="12">
        <v>0.03</v>
      </c>
      <c r="B22" s="16">
        <f>IF($A$22&gt;='DCF_CAT'!$B$21,"n/a (g&gt;=WACC)",'DCF_CAT'!$G$31*(1+$A$22)/('DCF_CAT'!$B$21-$A$22))</f>
        <v>125459256677.91766</v>
      </c>
      <c r="C22" s="16">
        <f>IF(B22="n/a (g&gt;=WACC)","n/a",'DCF_CAT'!$B$39+B22/(1+'DCF_CAT'!$B$21)^5)</f>
        <v>105103559726.08162</v>
      </c>
      <c r="D22" s="16">
        <f>IF(C22="n/a","n/a",C22-'Inputs_CAT'!$B$17+'Inputs_CAT'!$B$18)</f>
        <v>78873559726.08162</v>
      </c>
      <c r="E22" s="19">
        <f>IF(D22="n/a","n/a",D22/'Inputs_CAT'!$B$22)</f>
        <v>171.5855305859042</v>
      </c>
    </row>
    <row r="23">
      <c r="A23" s="12">
        <v>0.04</v>
      </c>
      <c r="B23" s="16">
        <f>IF($A$23&gt;='DCF_CAT'!$B$21,"n/a (g&gt;=WACC)",'DCF_CAT'!$G$31*(1+$A$23)/('DCF_CAT'!$B$21-$A$23))</f>
        <v>142324449629.8679</v>
      </c>
      <c r="C23" s="16">
        <f>IF(B23="n/a (g&gt;=WACC)","n/a",'DCF_CAT'!$B$39+B23/(1+'DCF_CAT'!$B$21)^5)</f>
        <v>114632468171.285</v>
      </c>
      <c r="D23" s="16">
        <f>IF(C23="n/a","n/a",C23-'Inputs_CAT'!$B$17+'Inputs_CAT'!$B$18)</f>
        <v>88402468171.285</v>
      </c>
      <c r="E23" s="19">
        <f>IF(D23="n/a","n/a",D23/'Inputs_CAT'!$B$22)</f>
        <v>192.31519990922325</v>
      </c>
    </row>
    <row r="24">
      <c r="A24" s="12">
        <v>0.05</v>
      </c>
      <c r="B24" s="16">
        <f>IF($A$24&gt;='DCF_CAT'!$B$21,"n/a (g&gt;=WACC)",'DCF_CAT'!$G$31*(1+$A$24)/('DCF_CAT'!$B$21-$A$24))</f>
        <v>163943162774.61942</v>
      </c>
      <c r="C24" s="16">
        <f>IF(B24="n/a (g&gt;=WACC)","n/a",'DCF_CAT'!$B$39+B24/(1+'DCF_CAT'!$B$21)^5)</f>
        <v>126847136503.05948</v>
      </c>
      <c r="D24" s="16">
        <f>IF(C24="n/a","n/a",C24-'Inputs_CAT'!$B$17+'Inputs_CAT'!$B$18)</f>
        <v>100617136503.05948</v>
      </c>
      <c r="E24" s="19">
        <f>IF(D24="n/a","n/a",D24/'Inputs_CAT'!$B$22)</f>
        <v>218.88760711281637</v>
      </c>
    </row>
    <row r="25" ht="45" customHeight="1">
      <c r="A25" s="26" t="inlineStr">
        <is>
          <t xml:space="preserve">Direction check: IV increases as terminal growth rises (where valid)?</t>
        </is>
      </c>
      <c r="B25" s="22" t="str">
        <f>IF(E18&lt;E24,"PASS (as expected)","FAIL — investigate (see note)")</f>
        <v>PASS (as expected)</v>
      </c>
    </row>
    <row r="28">
      <c r="A28" s="3" t="inlineStr">
        <is>
          <t xml:space="preserve">TABLE 3 — Revenue Growth Sensitivity (range [-10%,40%]); base WACC &amp; margin held fixed</t>
        </is>
      </c>
      <c r="B28" s="3"/>
      <c r="C28" s="3"/>
      <c r="D28" s="3"/>
      <c r="E28" s="3"/>
      <c r="F28" s="3"/>
      <c r="G28" s="3"/>
      <c r="H28" s="3"/>
      <c r="I28" s="3"/>
      <c r="J28" s="3"/>
      <c r="K28" s="3"/>
      <c r="L28" s="3"/>
      <c r="M28" s="3"/>
      <c r="N28" s="3"/>
    </row>
    <row r="29">
      <c r="A29" s="4" t="inlineStr">
        <is>
          <t xml:space="preserve">Growth g</t>
        </is>
      </c>
      <c r="B29" s="4" t="inlineStr">
        <is>
          <t xml:space="preserve">Rev Y1</t>
        </is>
      </c>
      <c r="C29" s="4" t="inlineStr">
        <is>
          <t xml:space="preserve">Rev Y2</t>
        </is>
      </c>
      <c r="D29" s="4" t="inlineStr">
        <is>
          <t xml:space="preserve">Rev Y3</t>
        </is>
      </c>
      <c r="E29" s="4" t="inlineStr">
        <is>
          <t xml:space="preserve">Rev Y4</t>
        </is>
      </c>
      <c r="F29" s="4" t="inlineStr">
        <is>
          <t xml:space="preserve">Rev Y5</t>
        </is>
      </c>
      <c r="G29" s="4" t="inlineStr">
        <is>
          <t xml:space="preserve">FCF Y1</t>
        </is>
      </c>
      <c r="H29" s="4" t="inlineStr">
        <is>
          <t xml:space="preserve">FCF Y2</t>
        </is>
      </c>
      <c r="I29" s="4" t="inlineStr">
        <is>
          <t xml:space="preserve">FCF Y3</t>
        </is>
      </c>
      <c r="J29" s="4" t="inlineStr">
        <is>
          <t xml:space="preserve">FCF Y4</t>
        </is>
      </c>
      <c r="K29" s="4" t="inlineStr">
        <is>
          <t xml:space="preserve">FCF Y5</t>
        </is>
      </c>
      <c r="L29" s="4" t="inlineStr">
        <is>
          <t xml:space="preserve">Terminal Value</t>
        </is>
      </c>
      <c r="M29" s="4" t="inlineStr">
        <is>
          <t xml:space="preserve">Enterprise Value</t>
        </is>
      </c>
      <c r="N29" s="4" t="inlineStr">
        <is>
          <t xml:space="preserve">Equity Value</t>
        </is>
      </c>
      <c r="O29" s="4" t="inlineStr">
        <is>
          <t xml:space="preserve">Intrinsic Value/Share</t>
        </is>
      </c>
    </row>
    <row r="30">
      <c r="A30" s="12">
        <v>-0.1</v>
      </c>
      <c r="B30" s="16">
        <f>'DCF_CAT'!$B$25*(1+$A$30)</f>
        <v>60830100000.0</v>
      </c>
      <c r="C30" s="16">
        <f>B30*(1+$A$30)</f>
        <v>54747090000.0</v>
      </c>
      <c r="D30" s="16">
        <f>C30*(1+$A$30)</f>
        <v>49272381000.0</v>
      </c>
      <c r="E30" s="16">
        <f>D30*(1+$A$30)</f>
        <v>44345142900.0</v>
      </c>
      <c r="F30" s="16">
        <f>E30*(1+$A$30)</f>
        <v>39910628610.0</v>
      </c>
      <c r="G30" s="16">
        <f>B30*'DCF_CAT'!$B$10*(1-'DCF_CAT'!$B$14)+B30*'Inputs_CAT'!$B$31-B30*'Inputs_CAT'!$B$32-'Inputs_CAT'!$B$33*(B30-'DCF_CAT'!$B$25)</f>
        <v>7116496635.469978</v>
      </c>
      <c r="H30" s="16">
        <f>C30*'DCF_CAT'!$B$10*(1-'DCF_CAT'!$B$14)+C30*'Inputs_CAT'!$B$31-C30*'Inputs_CAT'!$B$32-'Inputs_CAT'!$B$33*(C30-B30)</f>
        <v>6404846971.922979</v>
      </c>
      <c r="I30" s="16">
        <f>D30*'DCF_CAT'!$B$10*(1-'DCF_CAT'!$B$14)+D30*'Inputs_CAT'!$B$31-D30*'Inputs_CAT'!$B$32-'Inputs_CAT'!$B$33*(D30-C30)</f>
        <v>5764362274.730681</v>
      </c>
      <c r="J30" s="16">
        <f>E30*'DCF_CAT'!$B$10*(1-'DCF_CAT'!$B$14)+E30*'Inputs_CAT'!$B$31-E30*'Inputs_CAT'!$B$32-'Inputs_CAT'!$B$33*(E30-D30)</f>
        <v>5187926047.257613</v>
      </c>
      <c r="K30" s="16">
        <f>F30*'DCF_CAT'!$B$10*(1-'DCF_CAT'!$B$14)+F30*'Inputs_CAT'!$B$31-F30*'Inputs_CAT'!$B$32-'Inputs_CAT'!$B$33*(F30-E30)</f>
        <v>4669133442.531851</v>
      </c>
      <c r="L30" s="16">
        <f>K30*(1+'Inputs_CAT'!$B$29)/('DCF_CAT'!$B$21-'Inputs_CAT'!$B$29)</f>
        <v>49874156281.21054</v>
      </c>
      <c r="M30" s="16">
        <f>SUMPRODUCT(G30:K30,1/(1+'DCF_CAT'!$B$21)^{1,2,3,4,5})+L30/(1+'DCF_CAT'!$B$21)^5</f>
        <v>49641150106.10931</v>
      </c>
      <c r="N30" s="16">
        <f>M30-'Inputs_CAT'!$B$17+'Inputs_CAT'!$B$18</f>
        <v>23411150106.109306</v>
      </c>
      <c r="O30" s="19">
        <f>N30/'Inputs_CAT'!$B$22</f>
        <v>50.929799878864614</v>
      </c>
    </row>
    <row r="31">
      <c r="A31" s="12">
        <v>-0.05</v>
      </c>
      <c r="B31" s="16">
        <f>'DCF_CAT'!$B$25*(1+$A$31)</f>
        <v>64209550000.0</v>
      </c>
      <c r="C31" s="16">
        <f>B31*(1+$A$31)</f>
        <v>60999072500.0</v>
      </c>
      <c r="D31" s="16">
        <f>C31*(1+$A$31)</f>
        <v>57949118875.0</v>
      </c>
      <c r="E31" s="16">
        <f>D31*(1+$A$31)</f>
        <v>55051662931.25</v>
      </c>
      <c r="F31" s="16">
        <f>E31*(1+$A$31)</f>
        <v>52299079784.6875</v>
      </c>
      <c r="G31" s="16">
        <f>B31*'DCF_CAT'!$B$10*(1-'DCF_CAT'!$B$14)+B31*'Inputs_CAT'!$B$31-B31*'Inputs_CAT'!$B$32-'Inputs_CAT'!$B$33*(B31-'DCF_CAT'!$B$25)</f>
        <v>7474308115.2183075</v>
      </c>
      <c r="H31" s="16">
        <f>C31*'DCF_CAT'!$B$10*(1-'DCF_CAT'!$B$14)+C31*'Inputs_CAT'!$B$31-C31*'Inputs_CAT'!$B$32-'Inputs_CAT'!$B$33*(C31-B31)</f>
        <v>7100592709.457394</v>
      </c>
      <c r="I31" s="16">
        <f>D31*'DCF_CAT'!$B$10*(1-'DCF_CAT'!$B$14)+D31*'Inputs_CAT'!$B$31-D31*'Inputs_CAT'!$B$32-'Inputs_CAT'!$B$33*(D31-C31)</f>
        <v>6745563073.984524</v>
      </c>
      <c r="J31" s="16">
        <f>E31*'DCF_CAT'!$B$10*(1-'DCF_CAT'!$B$14)+E31*'Inputs_CAT'!$B$31-E31*'Inputs_CAT'!$B$32-'Inputs_CAT'!$B$33*(E31-D31)</f>
        <v>6408284920.285297</v>
      </c>
      <c r="K31" s="16">
        <f>F31*'DCF_CAT'!$B$10*(1-'DCF_CAT'!$B$14)+F31*'Inputs_CAT'!$B$31-F31*'Inputs_CAT'!$B$32-'Inputs_CAT'!$B$33*(F31-E31)</f>
        <v>6087870674.271032</v>
      </c>
      <c r="L31" s="16">
        <f>K31*(1+'Inputs_CAT'!$B$29)/('DCF_CAT'!$B$21-'Inputs_CAT'!$B$29)</f>
        <v>65028643358.65911</v>
      </c>
      <c r="M31" s="16">
        <f>SUMPRODUCT(G31:K31,1/(1+'DCF_CAT'!$B$21)^{1,2,3,4,5})+L31/(1+'DCF_CAT'!$B$21)^5</f>
        <v>61347511206.96634</v>
      </c>
      <c r="N31" s="16">
        <f>M31-'Inputs_CAT'!$B$17+'Inputs_CAT'!$B$18</f>
        <v>35117511206.96634</v>
      </c>
      <c r="O31" s="19">
        <f>N31/'Inputs_CAT'!$B$22</f>
        <v>76.39640982643787</v>
      </c>
    </row>
    <row r="32">
      <c r="A32" s="12">
        <v>0.0</v>
      </c>
      <c r="B32" s="16">
        <f>'DCF_CAT'!$B$25*(1+$A$32)</f>
        <v>67589000000.0</v>
      </c>
      <c r="C32" s="16">
        <f>B32*(1+$A$32)</f>
        <v>67589000000.0</v>
      </c>
      <c r="D32" s="16">
        <f>C32*(1+$A$32)</f>
        <v>67589000000.0</v>
      </c>
      <c r="E32" s="16">
        <f>D32*(1+$A$32)</f>
        <v>67589000000.0</v>
      </c>
      <c r="F32" s="16">
        <f>E32*(1+$A$32)</f>
        <v>67589000000.0</v>
      </c>
      <c r="G32" s="16">
        <f>B32*'DCF_CAT'!$B$10*(1-'DCF_CAT'!$B$14)+B32*'Inputs_CAT'!$B$31-B32*'Inputs_CAT'!$B$32-'Inputs_CAT'!$B$33*(B32-'DCF_CAT'!$B$25)</f>
        <v>7832119594.96664</v>
      </c>
      <c r="H32" s="16">
        <f>C32*'DCF_CAT'!$B$10*(1-'DCF_CAT'!$B$14)+C32*'Inputs_CAT'!$B$31-C32*'Inputs_CAT'!$B$32-'Inputs_CAT'!$B$33*(C32-B32)</f>
        <v>7832119594.96664</v>
      </c>
      <c r="I32" s="16">
        <f>D32*'DCF_CAT'!$B$10*(1-'DCF_CAT'!$B$14)+D32*'Inputs_CAT'!$B$31-D32*'Inputs_CAT'!$B$32-'Inputs_CAT'!$B$33*(D32-C32)</f>
        <v>7832119594.96664</v>
      </c>
      <c r="J32" s="16">
        <f>E32*'DCF_CAT'!$B$10*(1-'DCF_CAT'!$B$14)+E32*'Inputs_CAT'!$B$31-E32*'Inputs_CAT'!$B$32-'Inputs_CAT'!$B$33*(E32-D32)</f>
        <v>7832119594.96664</v>
      </c>
      <c r="K32" s="16">
        <f>F32*'DCF_CAT'!$B$10*(1-'DCF_CAT'!$B$14)+F32*'Inputs_CAT'!$B$31-F32*'Inputs_CAT'!$B$32-'Inputs_CAT'!$B$33*(F32-E32)</f>
        <v>7832119594.96664</v>
      </c>
      <c r="L32" s="16">
        <f>K32*(1+'Inputs_CAT'!$B$29)/('DCF_CAT'!$B$21-'Inputs_CAT'!$B$29)</f>
        <v>83660139831.1466</v>
      </c>
      <c r="M32" s="16">
        <f>SUMPRODUCT(G32:K32,1/(1+'DCF_CAT'!$B$21)^{1,2,3,4,5})+L32/(1+'DCF_CAT'!$B$21)^5</f>
        <v>75434457825.82443</v>
      </c>
      <c r="N32" s="16">
        <f>M32-'Inputs_CAT'!$B$17+'Inputs_CAT'!$B$18</f>
        <v>49204457825.82443</v>
      </c>
      <c r="O32" s="19">
        <f>N32/'Inputs_CAT'!$B$22</f>
        <v>107.04186589975863</v>
      </c>
    </row>
    <row r="33">
      <c r="A33" s="12">
        <v>0.05</v>
      </c>
      <c r="B33" s="16">
        <f>'DCF_CAT'!$B$25*(1+$A$33)</f>
        <v>70968450000.0</v>
      </c>
      <c r="C33" s="16">
        <f>B33*(1+$A$33)</f>
        <v>74516872500.0</v>
      </c>
      <c r="D33" s="16">
        <f>C33*(1+$A$33)</f>
        <v>78242716125.0</v>
      </c>
      <c r="E33" s="16">
        <f>D33*(1+$A$33)</f>
        <v>82154851931.25</v>
      </c>
      <c r="F33" s="16">
        <f>E33*(1+$A$33)</f>
        <v>86262594527.8125</v>
      </c>
      <c r="G33" s="16">
        <f>B33*'DCF_CAT'!$B$10*(1-'DCF_CAT'!$B$14)+B33*'Inputs_CAT'!$B$31-B33*'Inputs_CAT'!$B$32-'Inputs_CAT'!$B$33*(B33-'DCF_CAT'!$B$25)</f>
        <v>8189931074.714973</v>
      </c>
      <c r="H33" s="16">
        <f>C33*'DCF_CAT'!$B$10*(1-'DCF_CAT'!$B$14)+C33*'Inputs_CAT'!$B$31-C33*'Inputs_CAT'!$B$32-'Inputs_CAT'!$B$33*(C33-B33)</f>
        <v>8599427628.450722</v>
      </c>
      <c r="I33" s="16">
        <f>D33*'DCF_CAT'!$B$10*(1-'DCF_CAT'!$B$14)+D33*'Inputs_CAT'!$B$31-D33*'Inputs_CAT'!$B$32-'Inputs_CAT'!$B$33*(D33-C33)</f>
        <v>9029399009.873259</v>
      </c>
      <c r="J33" s="16">
        <f>E33*'DCF_CAT'!$B$10*(1-'DCF_CAT'!$B$14)+E33*'Inputs_CAT'!$B$31-E33*'Inputs_CAT'!$B$32-'Inputs_CAT'!$B$33*(E33-D33)</f>
        <v>9480868960.36692</v>
      </c>
      <c r="K33" s="16">
        <f>F33*'DCF_CAT'!$B$10*(1-'DCF_CAT'!$B$14)+F33*'Inputs_CAT'!$B$31-F33*'Inputs_CAT'!$B$32-'Inputs_CAT'!$B$33*(F33-E33)</f>
        <v>9954912408.385265</v>
      </c>
      <c r="L33" s="16">
        <f>K33*(1+'Inputs_CAT'!$B$29)/('DCF_CAT'!$B$21-'Inputs_CAT'!$B$29)</f>
        <v>106335118353.85541</v>
      </c>
      <c r="M33" s="16">
        <f>SUMPRODUCT(G33:K33,1/(1+'DCF_CAT'!$B$21)^{1,2,3,4,5})+L33/(1+'DCF_CAT'!$B$21)^5</f>
        <v>92269401643.50897</v>
      </c>
      <c r="N33" s="16">
        <f>M33-'Inputs_CAT'!$B$17+'Inputs_CAT'!$B$18</f>
        <v>66039401643.50897</v>
      </c>
      <c r="O33" s="19">
        <f>N33/'Inputs_CAT'!$B$22</f>
        <v>143.66545404987082</v>
      </c>
    </row>
    <row r="34">
      <c r="A34" s="12">
        <v>0.1</v>
      </c>
      <c r="B34" s="16">
        <f>'DCF_CAT'!$B$25*(1+$A$34)</f>
        <v>74347900000.0</v>
      </c>
      <c r="C34" s="16">
        <f>B34*(1+$A$34)</f>
        <v>81782690000.0</v>
      </c>
      <c r="D34" s="16">
        <f>C34*(1+$A$34)</f>
        <v>89960959000.0</v>
      </c>
      <c r="E34" s="16">
        <f>D34*(1+$A$34)</f>
        <v>98957054900.00002</v>
      </c>
      <c r="F34" s="16">
        <f>E34*(1+$A$34)</f>
        <v>108852760390.00003</v>
      </c>
      <c r="G34" s="16">
        <f>B34*'DCF_CAT'!$B$10*(1-'DCF_CAT'!$B$14)+B34*'Inputs_CAT'!$B$31-B34*'Inputs_CAT'!$B$32-'Inputs_CAT'!$B$33*(B34-'DCF_CAT'!$B$25)</f>
        <v>8547742554.4633045</v>
      </c>
      <c r="H34" s="16">
        <f>C34*'DCF_CAT'!$B$10*(1-'DCF_CAT'!$B$14)+C34*'Inputs_CAT'!$B$31-C34*'Inputs_CAT'!$B$32-'Inputs_CAT'!$B$33*(C34-B34)</f>
        <v>9402516809.909636</v>
      </c>
      <c r="I34" s="16">
        <f>D34*'DCF_CAT'!$B$10*(1-'DCF_CAT'!$B$14)+D34*'Inputs_CAT'!$B$31-D34*'Inputs_CAT'!$B$32-'Inputs_CAT'!$B$33*(D34-C34)</f>
        <v>10342768490.9006</v>
      </c>
      <c r="J34" s="16">
        <f>E34*'DCF_CAT'!$B$10*(1-'DCF_CAT'!$B$14)+E34*'Inputs_CAT'!$B$31-E34*'Inputs_CAT'!$B$32-'Inputs_CAT'!$B$33*(E34-D34)</f>
        <v>11377045339.990662</v>
      </c>
      <c r="K34" s="16">
        <f>F34*'DCF_CAT'!$B$10*(1-'DCF_CAT'!$B$14)+F34*'Inputs_CAT'!$B$31-F34*'Inputs_CAT'!$B$32-'Inputs_CAT'!$B$33*(F34-E34)</f>
        <v>12514749873.989729</v>
      </c>
      <c r="L34" s="16">
        <f>K34*(1+'Inputs_CAT'!$B$29)/('DCF_CAT'!$B$21-'Inputs_CAT'!$B$29)</f>
        <v>133678464905.29294</v>
      </c>
      <c r="M34" s="16">
        <f>SUMPRODUCT(G34:K34,1/(1+'DCF_CAT'!$B$21)^{1,2,3,4,5})+L34/(1+'DCF_CAT'!$B$21)^5</f>
        <v>112256527740.50494</v>
      </c>
      <c r="N34" s="16">
        <f>M34-'Inputs_CAT'!$B$17+'Inputs_CAT'!$B$18</f>
        <v>86026527740.50494</v>
      </c>
      <c r="O34" s="19">
        <f>N34/'Inputs_CAT'!$B$22</f>
        <v>187.14645894112556</v>
      </c>
    </row>
    <row r="35">
      <c r="A35" s="12">
        <v>0.2</v>
      </c>
      <c r="B35" s="16">
        <f>'DCF_CAT'!$B$25*(1+$A$35)</f>
        <v>81106800000.0</v>
      </c>
      <c r="C35" s="16">
        <f>B35*(1+$A$35)</f>
        <v>97328160000.0</v>
      </c>
      <c r="D35" s="16">
        <f>C35*(1+$A$35)</f>
        <v>116793792000.0</v>
      </c>
      <c r="E35" s="16">
        <f>D35*(1+$A$35)</f>
        <v>140152550400.0</v>
      </c>
      <c r="F35" s="16">
        <f>E35*(1+$A$35)</f>
        <v>168183060480.0</v>
      </c>
      <c r="G35" s="16">
        <f>B35*'DCF_CAT'!$B$10*(1-'DCF_CAT'!$B$14)+B35*'Inputs_CAT'!$B$31-B35*'Inputs_CAT'!$B$32-'Inputs_CAT'!$B$33*(B35-'DCF_CAT'!$B$25)</f>
        <v>9263365513.95997</v>
      </c>
      <c r="H35" s="16">
        <f>C35*'DCF_CAT'!$B$10*(1-'DCF_CAT'!$B$14)+C35*'Inputs_CAT'!$B$31-C35*'Inputs_CAT'!$B$32-'Inputs_CAT'!$B$33*(C35-B35)</f>
        <v>11116038616.751965</v>
      </c>
      <c r="I35" s="16">
        <f>D35*'DCF_CAT'!$B$10*(1-'DCF_CAT'!$B$14)+D35*'Inputs_CAT'!$B$31-D35*'Inputs_CAT'!$B$32-'Inputs_CAT'!$B$33*(D35-C35)</f>
        <v>13339246340.102356</v>
      </c>
      <c r="J35" s="16">
        <f>E35*'DCF_CAT'!$B$10*(1-'DCF_CAT'!$B$14)+E35*'Inputs_CAT'!$B$31-E35*'Inputs_CAT'!$B$32-'Inputs_CAT'!$B$33*(E35-D35)</f>
        <v>16007095608.122826</v>
      </c>
      <c r="K35" s="16">
        <f>F35*'DCF_CAT'!$B$10*(1-'DCF_CAT'!$B$14)+F35*'Inputs_CAT'!$B$31-F35*'Inputs_CAT'!$B$32-'Inputs_CAT'!$B$33*(F35-E35)</f>
        <v>19208514729.74739</v>
      </c>
      <c r="L35" s="16">
        <f>K35*(1+'Inputs_CAT'!$B$29)/('DCF_CAT'!$B$21-'Inputs_CAT'!$B$29)</f>
        <v>205179071738.38943</v>
      </c>
      <c r="M35" s="16">
        <f>SUMPRODUCT(G35:K35,1/(1+'DCF_CAT'!$B$21)^{1,2,3,4,5})+L35/(1+'DCF_CAT'!$B$21)^5</f>
        <v>163498561410.42242</v>
      </c>
      <c r="N35" s="16">
        <f>M35-'Inputs_CAT'!$B$17+'Inputs_CAT'!$B$18</f>
        <v>137268561410.42242</v>
      </c>
      <c r="O35" s="19">
        <f>N35/'Inputs_CAT'!$B$22</f>
        <v>298.62097037548295</v>
      </c>
    </row>
    <row r="36">
      <c r="A36" s="12">
        <v>0.3</v>
      </c>
      <c r="B36" s="16">
        <f>'DCF_CAT'!$B$25*(1+$A$36)</f>
        <v>87865700000.0</v>
      </c>
      <c r="C36" s="16">
        <f>B36*(1+$A$36)</f>
        <v>114225410000.0</v>
      </c>
      <c r="D36" s="16">
        <f>C36*(1+$A$36)</f>
        <v>148493033000.0</v>
      </c>
      <c r="E36" s="16">
        <f>D36*(1+$A$36)</f>
        <v>193040942900.0</v>
      </c>
      <c r="F36" s="16">
        <f>E36*(1+$A$36)</f>
        <v>250953225770.0</v>
      </c>
      <c r="G36" s="16">
        <f>B36*'DCF_CAT'!$B$10*(1-'DCF_CAT'!$B$14)+B36*'Inputs_CAT'!$B$31-B36*'Inputs_CAT'!$B$32-'Inputs_CAT'!$B$33*(B36-'DCF_CAT'!$B$25)</f>
        <v>9978988473.456635</v>
      </c>
      <c r="H36" s="16">
        <f>C36*'DCF_CAT'!$B$10*(1-'DCF_CAT'!$B$14)+C36*'Inputs_CAT'!$B$31-C36*'Inputs_CAT'!$B$32-'Inputs_CAT'!$B$33*(C36-B36)</f>
        <v>12972685015.493622</v>
      </c>
      <c r="I36" s="16">
        <f>D36*'DCF_CAT'!$B$10*(1-'DCF_CAT'!$B$14)+D36*'Inputs_CAT'!$B$31-D36*'Inputs_CAT'!$B$32-'Inputs_CAT'!$B$33*(D36-C36)</f>
        <v>16864490520.141712</v>
      </c>
      <c r="J36" s="16">
        <f>E36*'DCF_CAT'!$B$10*(1-'DCF_CAT'!$B$14)+E36*'Inputs_CAT'!$B$31-E36*'Inputs_CAT'!$B$32-'Inputs_CAT'!$B$33*(E36-D36)</f>
        <v>21923837676.184223</v>
      </c>
      <c r="K36" s="16">
        <f>F36*'DCF_CAT'!$B$10*(1-'DCF_CAT'!$B$14)+F36*'Inputs_CAT'!$B$31-F36*'Inputs_CAT'!$B$32-'Inputs_CAT'!$B$33*(F36-E36)</f>
        <v>28500988979.039486</v>
      </c>
      <c r="L36" s="16">
        <f>K36*(1+'Inputs_CAT'!$B$29)/('DCF_CAT'!$B$21-'Inputs_CAT'!$B$29)</f>
        <v>304438242343.0765</v>
      </c>
      <c r="M36" s="16">
        <f>SUMPRODUCT(G36:K36,1/(1+'DCF_CAT'!$B$21)^{1,2,3,4,5})+L36/(1+'DCF_CAT'!$B$21)^5</f>
        <v>233196813818.4246</v>
      </c>
      <c r="N36" s="16">
        <f>M36-'Inputs_CAT'!$B$17+'Inputs_CAT'!$B$18</f>
        <v>206966813818.4246</v>
      </c>
      <c r="O36" s="19">
        <f>N36/'Inputs_CAT'!$B$22</f>
        <v>450.2460734121689</v>
      </c>
    </row>
    <row r="37">
      <c r="A37" s="12">
        <v>0.4</v>
      </c>
      <c r="B37" s="16">
        <f>'DCF_CAT'!$B$25*(1+$A$37)</f>
        <v>94624600000.0</v>
      </c>
      <c r="C37" s="16">
        <f>B37*(1+$A$37)</f>
        <v>132474439999.99998</v>
      </c>
      <c r="D37" s="16">
        <f>C37*(1+$A$37)</f>
        <v>185464215999.99997</v>
      </c>
      <c r="E37" s="16">
        <f>D37*(1+$A$37)</f>
        <v>259649902399.99994</v>
      </c>
      <c r="F37" s="16">
        <f>E37*(1+$A$37)</f>
        <v>363509863359.9999</v>
      </c>
      <c r="G37" s="16">
        <f>B37*'DCF_CAT'!$B$10*(1-'DCF_CAT'!$B$14)+B37*'Inputs_CAT'!$B$31-B37*'Inputs_CAT'!$B$32-'Inputs_CAT'!$B$33*(B37-'DCF_CAT'!$B$25)</f>
        <v>10694611432.953297</v>
      </c>
      <c r="H37" s="16">
        <f>C37*'DCF_CAT'!$B$10*(1-'DCF_CAT'!$B$14)+C37*'Inputs_CAT'!$B$31-C37*'Inputs_CAT'!$B$32-'Inputs_CAT'!$B$33*(C37-B37)</f>
        <v>14972456006.134613</v>
      </c>
      <c r="I37" s="16">
        <f>D37*'DCF_CAT'!$B$10*(1-'DCF_CAT'!$B$14)+D37*'Inputs_CAT'!$B$31-D37*'Inputs_CAT'!$B$32-'Inputs_CAT'!$B$33*(D37-C37)</f>
        <v>20961438408.58846</v>
      </c>
      <c r="J37" s="16">
        <f>E37*'DCF_CAT'!$B$10*(1-'DCF_CAT'!$B$14)+E37*'Inputs_CAT'!$B$31-E37*'Inputs_CAT'!$B$32-'Inputs_CAT'!$B$33*(E37-D37)</f>
        <v>29346013772.02384</v>
      </c>
      <c r="K37" s="16">
        <f>F37*'DCF_CAT'!$B$10*(1-'DCF_CAT'!$B$14)+F37*'Inputs_CAT'!$B$31-F37*'Inputs_CAT'!$B$32-'Inputs_CAT'!$B$33*(F37-E37)</f>
        <v>41084419280.833374</v>
      </c>
      <c r="L37" s="16">
        <f>K37*(1+'Inputs_CAT'!$B$29)/('DCF_CAT'!$B$21-'Inputs_CAT'!$B$29)</f>
        <v>438850329114.5946</v>
      </c>
      <c r="M37" s="16">
        <f>SUMPRODUCT(G37:K37,1/(1+'DCF_CAT'!$B$21)^{1,2,3,4,5})+L37/(1+'DCF_CAT'!$B$21)^5</f>
        <v>326089272397.95807</v>
      </c>
      <c r="N37" s="16">
        <f>M37-'Inputs_CAT'!$B$17+'Inputs_CAT'!$B$18</f>
        <v>299859272397.95807</v>
      </c>
      <c r="O37" s="19">
        <f>N37/'Inputs_CAT'!$B$22</f>
        <v>652.3290255212485</v>
      </c>
    </row>
    <row r="38" ht="45" customHeight="1">
      <c r="A38" s="26" t="inlineStr">
        <is>
          <t xml:space="preserve">Direction check: IV increases as revenue growth rises?</t>
        </is>
      </c>
      <c r="B38" s="22" t="str">
        <f>IF(O30&lt;O37,"PASS (as expected)","FAIL — investigate (see note)")</f>
        <v>PASS (as expected)</v>
      </c>
    </row>
    <row r="41">
      <c r="A41" s="3" t="inlineStr">
        <is>
          <t xml:space="preserve">TABLE 4 — Operating Margin Sensitivity (range [0%,60%]); base revenue path &amp; WACC held fixed</t>
        </is>
      </c>
      <c r="B41" s="3"/>
      <c r="C41" s="3"/>
      <c r="D41" s="3"/>
      <c r="E41" s="3"/>
      <c r="F41" s="3"/>
      <c r="G41" s="3"/>
      <c r="H41" s="3"/>
      <c r="I41" s="3"/>
      <c r="J41" s="3"/>
    </row>
    <row r="42">
      <c r="A42" s="4" t="inlineStr">
        <is>
          <t xml:space="preserve">Margin</t>
        </is>
      </c>
      <c r="B42" s="4" t="inlineStr">
        <is>
          <t xml:space="preserve">FCF Y1</t>
        </is>
      </c>
      <c r="C42" s="4" t="inlineStr">
        <is>
          <t xml:space="preserve">FCF Y2</t>
        </is>
      </c>
      <c r="D42" s="4" t="inlineStr">
        <is>
          <t xml:space="preserve">FCF Y3</t>
        </is>
      </c>
      <c r="E42" s="4" t="inlineStr">
        <is>
          <t xml:space="preserve">FCF Y4</t>
        </is>
      </c>
      <c r="F42" s="4" t="inlineStr">
        <is>
          <t xml:space="preserve">FCF Y5</t>
        </is>
      </c>
      <c r="G42" s="4" t="inlineStr">
        <is>
          <t xml:space="preserve">Terminal Value</t>
        </is>
      </c>
      <c r="H42" s="4" t="inlineStr">
        <is>
          <t xml:space="preserve">Enterprise Value</t>
        </is>
      </c>
      <c r="I42" s="4" t="inlineStr">
        <is>
          <t xml:space="preserve">Equity Value</t>
        </is>
      </c>
      <c r="J42" s="4" t="inlineStr">
        <is>
          <t xml:space="preserve">Intrinsic Value/Share</t>
        </is>
      </c>
    </row>
    <row r="43">
      <c r="A43" s="12">
        <v>0.0</v>
      </c>
      <c r="B43" s="16">
        <f>'DCF_CAT'!$C$25*$A$43*(1-'DCF_CAT'!$B$14)+'DCF_CAT'!$C$28-'DCF_CAT'!$C$29-'DCF_CAT'!$C$30</f>
        <v>-774698510.76011</v>
      </c>
      <c r="C43" s="16">
        <f>'DCF_CAT'!$D$25*$A$43*(1-'DCF_CAT'!$B$14)+'DCF_CAT'!$D$28-'DCF_CAT'!$D$29-'DCF_CAT'!$D$30</f>
        <v>-831325185.3197883</v>
      </c>
      <c r="D43" s="16">
        <f>'DCF_CAT'!$E$25*$A$43*(1-'DCF_CAT'!$B$14)+'DCF_CAT'!$E$28-'DCF_CAT'!$E$29-'DCF_CAT'!$E$30</f>
        <v>-892090993.009517</v>
      </c>
      <c r="E43" s="16">
        <f>'DCF_CAT'!$F$25*$A$43*(1-'DCF_CAT'!$B$14)+'DCF_CAT'!$F$28-'DCF_CAT'!$F$29-'DCF_CAT'!$F$30</f>
        <v>-957298484.2298177</v>
      </c>
      <c r="F43" s="16">
        <f>'DCF_CAT'!$G$25*$A$43*(1-'DCF_CAT'!$B$14)+'DCF_CAT'!$G$28-'DCF_CAT'!$G$29-'DCF_CAT'!$G$30</f>
        <v>-1027272324.3366833</v>
      </c>
      <c r="G43" s="16">
        <f>F43*(1+'Inputs_CAT'!$B$29)/('DCF_CAT'!$B$21-'Inputs_CAT'!$B$29)</f>
        <v>-10972986974.548359</v>
      </c>
      <c r="H43" s="16">
        <f>SUMPRODUCT(B43:F43,1/(1+'DCF_CAT'!$B$21)^{1,2,3,4,5})+G43/(1+'DCF_CAT'!$B$21)^5</f>
        <v>-9372543785.101786</v>
      </c>
      <c r="I43" s="16">
        <f>H43-'Inputs_CAT'!$B$17+'Inputs_CAT'!$B$18</f>
        <v>-35602543785.10178</v>
      </c>
      <c r="J43" s="19">
        <f>I43/'Inputs_CAT'!$B$22</f>
        <v>-77.45157422576064</v>
      </c>
    </row>
    <row r="44">
      <c r="A44" s="12">
        <v>0.1</v>
      </c>
      <c r="B44" s="16">
        <f>'DCF_CAT'!$C$25*$A$44*(1-'DCF_CAT'!$B$14)+'DCF_CAT'!$C$28-'DCF_CAT'!$C$29-'DCF_CAT'!$C$30</f>
        <v>4738694178.30429</v>
      </c>
      <c r="C44" s="16">
        <f>'DCF_CAT'!$D$25*$A$44*(1-'DCF_CAT'!$B$14)+'DCF_CAT'!$D$28-'DCF_CAT'!$D$29-'DCF_CAT'!$D$30</f>
        <v>5085069560.915256</v>
      </c>
      <c r="D44" s="16">
        <f>'DCF_CAT'!$E$25*$A$44*(1-'DCF_CAT'!$B$14)+'DCF_CAT'!$E$28-'DCF_CAT'!$E$29-'DCF_CAT'!$E$30</f>
        <v>5456763290.979026</v>
      </c>
      <c r="E44" s="16">
        <f>'DCF_CAT'!$F$25*$A$44*(1-'DCF_CAT'!$B$14)+'DCF_CAT'!$F$28-'DCF_CAT'!$F$29-'DCF_CAT'!$F$30</f>
        <v>5855626015.943202</v>
      </c>
      <c r="F44" s="16">
        <f>'DCF_CAT'!$G$25*$A$44*(1-'DCF_CAT'!$B$14)+'DCF_CAT'!$G$28-'DCF_CAT'!$G$29-'DCF_CAT'!$G$30</f>
        <v>6283643656.538201</v>
      </c>
      <c r="G44" s="16">
        <f>F44*(1+'Inputs_CAT'!$B$29)/('DCF_CAT'!$B$21-'Inputs_CAT'!$B$29)</f>
        <v>67119826322.99454</v>
      </c>
      <c r="H44" s="16">
        <f>SUMPRODUCT(B44:F44,1/(1+'DCF_CAT'!$B$21)^{1,2,3,4,5})+G44/(1+'DCF_CAT'!$B$21)^5</f>
        <v>57330197558.7724</v>
      </c>
      <c r="I44" s="16">
        <f>H44-'Inputs_CAT'!$B$17+'Inputs_CAT'!$B$18</f>
        <v>31100197558.7724</v>
      </c>
      <c r="J44" s="19">
        <f>I44/'Inputs_CAT'!$B$22</f>
        <v>67.65694255439827</v>
      </c>
    </row>
    <row r="45">
      <c r="A45" s="12">
        <v>0.2</v>
      </c>
      <c r="B45" s="16">
        <f>'DCF_CAT'!$C$25*$A$45*(1-'DCF_CAT'!$B$14)+'DCF_CAT'!$C$28-'DCF_CAT'!$C$29-'DCF_CAT'!$C$30</f>
        <v>10252086867.36869</v>
      </c>
      <c r="C45" s="16">
        <f>'DCF_CAT'!$D$25*$A$45*(1-'DCF_CAT'!$B$14)+'DCF_CAT'!$D$28-'DCF_CAT'!$D$29-'DCF_CAT'!$D$30</f>
        <v>11001464307.1503</v>
      </c>
      <c r="D45" s="16">
        <f>'DCF_CAT'!$E$25*$A$45*(1-'DCF_CAT'!$B$14)+'DCF_CAT'!$E$28-'DCF_CAT'!$E$29-'DCF_CAT'!$E$30</f>
        <v>11805617574.96757</v>
      </c>
      <c r="E45" s="16">
        <f>'DCF_CAT'!$F$25*$A$45*(1-'DCF_CAT'!$B$14)+'DCF_CAT'!$F$28-'DCF_CAT'!$F$29-'DCF_CAT'!$F$30</f>
        <v>12668550516.116224</v>
      </c>
      <c r="F45" s="16">
        <f>'DCF_CAT'!$G$25*$A$45*(1-'DCF_CAT'!$B$14)+'DCF_CAT'!$G$28-'DCF_CAT'!$G$29-'DCF_CAT'!$G$30</f>
        <v>13594559637.413082</v>
      </c>
      <c r="G45" s="16">
        <f>F45*(1+'Inputs_CAT'!$B$29)/('DCF_CAT'!$B$21-'Inputs_CAT'!$B$29)</f>
        <v>145212639620.5374</v>
      </c>
      <c r="H45" s="16">
        <f>SUMPRODUCT(B45:F45,1/(1+'DCF_CAT'!$B$21)^{1,2,3,4,5})+G45/(1+'DCF_CAT'!$B$21)^5</f>
        <v>124032938902.64658</v>
      </c>
      <c r="I45" s="16">
        <f>H45-'Inputs_CAT'!$B$17+'Inputs_CAT'!$B$18</f>
        <v>97802938902.64658</v>
      </c>
      <c r="J45" s="19">
        <f>I45/'Inputs_CAT'!$B$22</f>
        <v>212.76545933455716</v>
      </c>
    </row>
    <row r="46">
      <c r="A46" s="12">
        <v>0.3</v>
      </c>
      <c r="B46" s="16">
        <f>'DCF_CAT'!$C$25*$A$46*(1-'DCF_CAT'!$B$14)+'DCF_CAT'!$C$28-'DCF_CAT'!$C$29-'DCF_CAT'!$C$30</f>
        <v>15765479556.433092</v>
      </c>
      <c r="C46" s="16">
        <f>'DCF_CAT'!$D$25*$A$46*(1-'DCF_CAT'!$B$14)+'DCF_CAT'!$D$28-'DCF_CAT'!$D$29-'DCF_CAT'!$D$30</f>
        <v>16917859053.385342</v>
      </c>
      <c r="D46" s="16">
        <f>'DCF_CAT'!$E$25*$A$46*(1-'DCF_CAT'!$B$14)+'DCF_CAT'!$E$28-'DCF_CAT'!$E$29-'DCF_CAT'!$E$30</f>
        <v>18154471858.956112</v>
      </c>
      <c r="E46" s="16">
        <f>'DCF_CAT'!$F$25*$A$46*(1-'DCF_CAT'!$B$14)+'DCF_CAT'!$F$28-'DCF_CAT'!$F$29-'DCF_CAT'!$F$30</f>
        <v>19481475016.289246</v>
      </c>
      <c r="F46" s="16">
        <f>'DCF_CAT'!$G$25*$A$46*(1-'DCF_CAT'!$B$14)+'DCF_CAT'!$G$28-'DCF_CAT'!$G$29-'DCF_CAT'!$G$30</f>
        <v>20905475618.287968</v>
      </c>
      <c r="G46" s="16">
        <f>F46*(1+'Inputs_CAT'!$B$29)/('DCF_CAT'!$B$21-'Inputs_CAT'!$B$29)</f>
        <v>223305452918.08032</v>
      </c>
      <c r="H46" s="16">
        <f>SUMPRODUCT(B46:F46,1/(1+'DCF_CAT'!$B$21)^{1,2,3,4,5})+G46/(1+'DCF_CAT'!$B$21)^5</f>
        <v>190735680246.52075</v>
      </c>
      <c r="I46" s="16">
        <f>H46-'Inputs_CAT'!$B$17+'Inputs_CAT'!$B$18</f>
        <v>164505680246.52075</v>
      </c>
      <c r="J46" s="19">
        <f>I46/'Inputs_CAT'!$B$22</f>
        <v>357.8739761147161</v>
      </c>
    </row>
    <row r="47">
      <c r="A47" s="12">
        <v>0.4</v>
      </c>
      <c r="B47" s="16">
        <f>'DCF_CAT'!$C$25*$A$47*(1-'DCF_CAT'!$B$14)+'DCF_CAT'!$C$28-'DCF_CAT'!$C$29-'DCF_CAT'!$C$30</f>
        <v>21278872245.49749</v>
      </c>
      <c r="C47" s="16">
        <f>'DCF_CAT'!$D$25*$A$47*(1-'DCF_CAT'!$B$14)+'DCF_CAT'!$D$28-'DCF_CAT'!$D$29-'DCF_CAT'!$D$30</f>
        <v>22834253799.620388</v>
      </c>
      <c r="D47" s="16">
        <f>'DCF_CAT'!$E$25*$A$47*(1-'DCF_CAT'!$B$14)+'DCF_CAT'!$E$28-'DCF_CAT'!$E$29-'DCF_CAT'!$E$30</f>
        <v>24503326142.944656</v>
      </c>
      <c r="E47" s="16">
        <f>'DCF_CAT'!$F$25*$A$47*(1-'DCF_CAT'!$B$14)+'DCF_CAT'!$F$28-'DCF_CAT'!$F$29-'DCF_CAT'!$F$30</f>
        <v>26294399516.462265</v>
      </c>
      <c r="F47" s="16">
        <f>'DCF_CAT'!$G$25*$A$47*(1-'DCF_CAT'!$B$14)+'DCF_CAT'!$G$28-'DCF_CAT'!$G$29-'DCF_CAT'!$G$30</f>
        <v>28216391599.162853</v>
      </c>
      <c r="G47" s="16">
        <f>F47*(1+'Inputs_CAT'!$B$29)/('DCF_CAT'!$B$21-'Inputs_CAT'!$B$29)</f>
        <v>301398266215.6232</v>
      </c>
      <c r="H47" s="16">
        <f>SUMPRODUCT(B47:F47,1/(1+'DCF_CAT'!$B$21)^{1,2,3,4,5})+G47/(1+'DCF_CAT'!$B$21)^5</f>
        <v>257438421590.39496</v>
      </c>
      <c r="I47" s="16">
        <f>H47-'Inputs_CAT'!$B$17+'Inputs_CAT'!$B$18</f>
        <v>231208421590.39496</v>
      </c>
      <c r="J47" s="19">
        <f>I47/'Inputs_CAT'!$B$22</f>
        <v>502.982492894875</v>
      </c>
    </row>
    <row r="48">
      <c r="A48" s="12">
        <v>0.5</v>
      </c>
      <c r="B48" s="16">
        <f>'DCF_CAT'!$C$25*$A$48*(1-'DCF_CAT'!$B$14)+'DCF_CAT'!$C$28-'DCF_CAT'!$C$29-'DCF_CAT'!$C$30</f>
        <v>26792264934.56189</v>
      </c>
      <c r="C48" s="16">
        <f>'DCF_CAT'!$D$25*$A$48*(1-'DCF_CAT'!$B$14)+'DCF_CAT'!$D$28-'DCF_CAT'!$D$29-'DCF_CAT'!$D$30</f>
        <v>28750648545.855427</v>
      </c>
      <c r="D48" s="16">
        <f>'DCF_CAT'!$E$25*$A$48*(1-'DCF_CAT'!$B$14)+'DCF_CAT'!$E$28-'DCF_CAT'!$E$29-'DCF_CAT'!$E$30</f>
        <v>30852180426.9332</v>
      </c>
      <c r="E48" s="16">
        <f>'DCF_CAT'!$F$25*$A$48*(1-'DCF_CAT'!$B$14)+'DCF_CAT'!$F$28-'DCF_CAT'!$F$29-'DCF_CAT'!$F$30</f>
        <v>33107324016.63529</v>
      </c>
      <c r="F48" s="16">
        <f>'DCF_CAT'!$G$25*$A$48*(1-'DCF_CAT'!$B$14)+'DCF_CAT'!$G$28-'DCF_CAT'!$G$29-'DCF_CAT'!$G$30</f>
        <v>35527307580.03774</v>
      </c>
      <c r="G48" s="16">
        <f>F48*(1+'Inputs_CAT'!$B$29)/('DCF_CAT'!$B$21-'Inputs_CAT'!$B$29)</f>
        <v>379491079513.16614</v>
      </c>
      <c r="H48" s="16">
        <f>SUMPRODUCT(B48:F48,1/(1+'DCF_CAT'!$B$21)^{1,2,3,4,5})+G48/(1+'DCF_CAT'!$B$21)^5</f>
        <v>324141162934.26917</v>
      </c>
      <c r="I48" s="16">
        <f>H48-'Inputs_CAT'!$B$17+'Inputs_CAT'!$B$18</f>
        <v>297911162934.26917</v>
      </c>
      <c r="J48" s="19">
        <f>I48/'Inputs_CAT'!$B$22</f>
        <v>648.091009675034</v>
      </c>
    </row>
    <row r="49">
      <c r="A49" s="12">
        <v>0.6</v>
      </c>
      <c r="B49" s="16">
        <f>'DCF_CAT'!$C$25*$A$49*(1-'DCF_CAT'!$B$14)+'DCF_CAT'!$C$28-'DCF_CAT'!$C$29-'DCF_CAT'!$C$30</f>
        <v>32305657623.62629</v>
      </c>
      <c r="C49" s="16">
        <f>'DCF_CAT'!$D$25*$A$49*(1-'DCF_CAT'!$B$14)+'DCF_CAT'!$D$28-'DCF_CAT'!$D$29-'DCF_CAT'!$D$30</f>
        <v>34667043292.09047</v>
      </c>
      <c r="D49" s="16">
        <f>'DCF_CAT'!$E$25*$A$49*(1-'DCF_CAT'!$B$14)+'DCF_CAT'!$E$28-'DCF_CAT'!$E$29-'DCF_CAT'!$E$30</f>
        <v>37201034710.92173</v>
      </c>
      <c r="E49" s="16">
        <f>'DCF_CAT'!$F$25*$A$49*(1-'DCF_CAT'!$B$14)+'DCF_CAT'!$F$28-'DCF_CAT'!$F$29-'DCF_CAT'!$F$30</f>
        <v>39920248516.808304</v>
      </c>
      <c r="F49" s="16">
        <f>'DCF_CAT'!$G$25*$A$49*(1-'DCF_CAT'!$B$14)+'DCF_CAT'!$G$28-'DCF_CAT'!$G$29-'DCF_CAT'!$G$30</f>
        <v>42838223560.91263</v>
      </c>
      <c r="G49" s="16">
        <f>F49*(1+'Inputs_CAT'!$B$29)/('DCF_CAT'!$B$21-'Inputs_CAT'!$B$29)</f>
        <v>457583892810.7091</v>
      </c>
      <c r="H49" s="16">
        <f>SUMPRODUCT(B49:F49,1/(1+'DCF_CAT'!$B$21)^{1,2,3,4,5})+G49/(1+'DCF_CAT'!$B$21)^5</f>
        <v>390843904278.1433</v>
      </c>
      <c r="I49" s="16">
        <f>H49-'Inputs_CAT'!$B$17+'Inputs_CAT'!$B$18</f>
        <v>364613904278.1433</v>
      </c>
      <c r="J49" s="19">
        <f>I49/'Inputs_CAT'!$B$22</f>
        <v>793.1995264551928</v>
      </c>
    </row>
    <row r="50" ht="45" customHeight="1">
      <c r="A50" s="26" t="inlineStr">
        <is>
          <t xml:space="preserve">Direction check: IV increases as operating margin rises?</t>
        </is>
      </c>
      <c r="B50" s="22" t="str">
        <f>IF(J43&lt;J49,"PASS (as expected)","FAIL — investigate")</f>
        <v>PASS (as expected)</v>
      </c>
    </row>
    <row r="53">
      <c r="A53" s="3" t="inlineStr">
        <is>
          <t xml:space="preserve">TABLE 5 — Two-Way Sensitivity: WACC (rows) × Terminal Growth (columns) — Intrinsic Value/Share</t>
        </is>
      </c>
      <c r="B53" s="3"/>
      <c r="C53" s="3"/>
      <c r="D53" s="3"/>
      <c r="E53" s="3"/>
      <c r="F53" s="3"/>
      <c r="G53" s="3"/>
    </row>
    <row r="54">
      <c r="A54" s="4" t="inlineStr">
        <is>
          <t xml:space="preserve">WACC \ g</t>
        </is>
      </c>
      <c r="B54" s="5">
        <v>0.0</v>
      </c>
      <c r="C54" s="5">
        <v>0.01</v>
      </c>
      <c r="D54" s="5">
        <v>0.02</v>
      </c>
      <c r="E54" s="5">
        <v>0.03</v>
      </c>
      <c r="F54" s="5">
        <v>0.04</v>
      </c>
      <c r="G54" s="5">
        <v>0.05</v>
      </c>
    </row>
    <row r="55">
      <c r="A55" s="12">
        <v>0.05</v>
      </c>
      <c r="B55" s="19">
        <f>IF(B$54&gt;=$A55,"n/a",(SUMPRODUCT('DCF_CAT'!$C$31:$G$31,1/(1+$A55)^{1,2,3,4,5})+('DCF_CAT'!$G$31*(1+B$54)/($A55-B$54))/(1+$A55)^5-'Inputs_CAT'!$B$17+'Inputs_CAT'!$B$18)/'Inputs_CAT'!$B$22)</f>
        <v>411.08042443220194</v>
      </c>
      <c r="C55" s="19">
        <f>IF(C$54&gt;=$A55,"n/a",(SUMPRODUCT('DCF_CAT'!$C$31:$G$31,1/(1+$A55)^{1,2,3,4,5})+('DCF_CAT'!$G$31*(1+C$54)/($A55-C$54))/(1+$A55)^5-'Inputs_CAT'!$B$17+'Inputs_CAT'!$B$18)/'Inputs_CAT'!$B$22)</f>
        <v>510.2256956394577</v>
      </c>
      <c r="D55" s="19">
        <f>IF(D$54&gt;=$A55,"n/a",(SUMPRODUCT('DCF_CAT'!$C$31:$G$31,1/(1+$A55)^{1,2,3,4,5})+('DCF_CAT'!$G$31*(1+D$54)/($A55-D$54))/(1+$A55)^5-'Inputs_CAT'!$B$17+'Inputs_CAT'!$B$18)/'Inputs_CAT'!$B$22)</f>
        <v>675.4678143182173</v>
      </c>
      <c r="E55" s="19">
        <f>IF(E$54&gt;=$A55,"n/a",(SUMPRODUCT('DCF_CAT'!$C$31:$G$31,1/(1+$A55)^{1,2,3,4,5})+('DCF_CAT'!$G$31*(1+E$54)/($A55-E$54))/(1+$A55)^5-'Inputs_CAT'!$B$17+'Inputs_CAT'!$B$18)/'Inputs_CAT'!$B$22)</f>
        <v>1005.952051675736</v>
      </c>
      <c r="F55" s="19">
        <f>IF(F$54&gt;=$A55,"n/a",(SUMPRODUCT('DCF_CAT'!$C$31:$G$31,1/(1+$A55)^{1,2,3,4,5})+('DCF_CAT'!$G$31*(1+F$54)/($A55-F$54))/(1+$A55)^5-'Inputs_CAT'!$B$17+'Inputs_CAT'!$B$18)/'Inputs_CAT'!$B$22)</f>
        <v>1997.4047637482936</v>
      </c>
      <c r="G55" s="19" t="str">
        <f>IF(G$54&gt;=$A55,"n/a",(SUMPRODUCT('DCF_CAT'!$C$31:$G$31,1/(1+$A55)^{1,2,3,4,5})+('DCF_CAT'!$G$31*(1+G$54)/($A55-G$54))/(1+$A55)^5-'Inputs_CAT'!$B$17+'Inputs_CAT'!$B$18)/'Inputs_CAT'!$B$22)</f>
        <v>n/a</v>
      </c>
    </row>
    <row r="56">
      <c r="A56" s="12">
        <v>0.08</v>
      </c>
      <c r="B56" s="19">
        <f>IF(B$54&gt;=$A56,"n/a",(SUMPRODUCT('DCF_CAT'!$C$31:$G$31,1/(1+$A56)^{1,2,3,4,5})+('DCF_CAT'!$G$31*(1+B$54)/($A56-B$54))/(1+$A56)^5-'Inputs_CAT'!$B$17+'Inputs_CAT'!$B$18)/'Inputs_CAT'!$B$22)</f>
        <v>231.06407213859544</v>
      </c>
      <c r="C56" s="19">
        <f>IF(C$54&gt;=$A56,"n/a",(SUMPRODUCT('DCF_CAT'!$C$31:$G$31,1/(1+$A56)^{1,2,3,4,5})+('DCF_CAT'!$G$31*(1+C$54)/($A56-C$54))/(1+$A56)^5-'Inputs_CAT'!$B$17+'Inputs_CAT'!$B$18)/'Inputs_CAT'!$B$22)</f>
        <v>262.69967741244295</v>
      </c>
      <c r="D56" s="19">
        <f>IF(D$54&gt;=$A56,"n/a",(SUMPRODUCT('DCF_CAT'!$C$31:$G$31,1/(1+$A56)^{1,2,3,4,5})+('DCF_CAT'!$G$31*(1+D$54)/($A56-D$54))/(1+$A56)^5-'Inputs_CAT'!$B$17+'Inputs_CAT'!$B$18)/'Inputs_CAT'!$B$22)</f>
        <v>304.8804844442396</v>
      </c>
      <c r="E56" s="19">
        <f>IF(E$54&gt;=$A56,"n/a",(SUMPRODUCT('DCF_CAT'!$C$31:$G$31,1/(1+$A56)^{1,2,3,4,5})+('DCF_CAT'!$G$31*(1+E$54)/($A56-E$54))/(1+$A56)^5-'Inputs_CAT'!$B$17+'Inputs_CAT'!$B$18)/'Inputs_CAT'!$B$22)</f>
        <v>363.9336142887549</v>
      </c>
      <c r="F56" s="19">
        <f>IF(F$54&gt;=$A56,"n/a",(SUMPRODUCT('DCF_CAT'!$C$31:$G$31,1/(1+$A56)^{1,2,3,4,5})+('DCF_CAT'!$G$31*(1+F$54)/($A56-F$54))/(1+$A56)^5-'Inputs_CAT'!$B$17+'Inputs_CAT'!$B$18)/'Inputs_CAT'!$B$22)</f>
        <v>452.5133090555279</v>
      </c>
      <c r="G56" s="19">
        <f>IF(G$54&gt;=$A56,"n/a",(SUMPRODUCT('DCF_CAT'!$C$31:$G$31,1/(1+$A56)^{1,2,3,4,5})+('DCF_CAT'!$G$31*(1+G$54)/($A56-G$54))/(1+$A56)^5-'Inputs_CAT'!$B$17+'Inputs_CAT'!$B$18)/'Inputs_CAT'!$B$22)</f>
        <v>600.1461336668161</v>
      </c>
    </row>
    <row r="57">
      <c r="A57" s="12">
        <v>0.11</v>
      </c>
      <c r="B57" s="19">
        <f>IF(B$54&gt;=$A57,"n/a",(SUMPRODUCT('DCF_CAT'!$C$31:$G$31,1/(1+$A57)^{1,2,3,4,5})+('DCF_CAT'!$G$31*(1+B$54)/($A57-B$54))/(1+$A57)^5-'Inputs_CAT'!$B$17+'Inputs_CAT'!$B$18)/'Inputs_CAT'!$B$22)</f>
        <v>149.57942271129045</v>
      </c>
      <c r="C57" s="19">
        <f>IF(C$54&gt;=$A57,"n/a",(SUMPRODUCT('DCF_CAT'!$C$31:$G$31,1/(1+$A57)^{1,2,3,4,5})+('DCF_CAT'!$G$31*(1+C$54)/($A57-C$54))/(1+$A57)^5-'Inputs_CAT'!$B$17+'Inputs_CAT'!$B$18)/'Inputs_CAT'!$B$22)</f>
        <v>164.0130204268828</v>
      </c>
      <c r="D57" s="19">
        <f>IF(D$54&gt;=$A57,"n/a",(SUMPRODUCT('DCF_CAT'!$C$31:$G$31,1/(1+$A57)^{1,2,3,4,5})+('DCF_CAT'!$G$31*(1+D$54)/($A57-D$54))/(1+$A57)^5-'Inputs_CAT'!$B$17+'Inputs_CAT'!$B$18)/'Inputs_CAT'!$B$22)</f>
        <v>181.65408430149577</v>
      </c>
      <c r="E57" s="19">
        <f>IF(E$54&gt;=$A57,"n/a",(SUMPRODUCT('DCF_CAT'!$C$31:$G$31,1/(1+$A57)^{1,2,3,4,5})+('DCF_CAT'!$G$31*(1+E$54)/($A57-E$54))/(1+$A57)^5-'Inputs_CAT'!$B$17+'Inputs_CAT'!$B$18)/'Inputs_CAT'!$B$22)</f>
        <v>203.70541414476193</v>
      </c>
      <c r="F57" s="19">
        <f>IF(F$54&gt;=$A57,"n/a",(SUMPRODUCT('DCF_CAT'!$C$31:$G$31,1/(1+$A57)^{1,2,3,4,5})+('DCF_CAT'!$G$31*(1+F$54)/($A57-F$54))/(1+$A57)^5-'Inputs_CAT'!$B$17+'Inputs_CAT'!$B$18)/'Inputs_CAT'!$B$22)</f>
        <v>232.05712394324706</v>
      </c>
      <c r="G57" s="19">
        <f>IF(G$54&gt;=$A57,"n/a",(SUMPRODUCT('DCF_CAT'!$C$31:$G$31,1/(1+$A57)^{1,2,3,4,5})+('DCF_CAT'!$G$31*(1+G$54)/($A57-G$54))/(1+$A57)^5-'Inputs_CAT'!$B$17+'Inputs_CAT'!$B$18)/'Inputs_CAT'!$B$22)</f>
        <v>269.85940367456055</v>
      </c>
    </row>
    <row r="58">
      <c r="A58" s="12">
        <v>0.14</v>
      </c>
      <c r="B58" s="19">
        <f>IF(B$54&gt;=$A58,"n/a",(SUMPRODUCT('DCF_CAT'!$C$31:$G$31,1/(1+$A58)^{1,2,3,4,5})+('DCF_CAT'!$G$31*(1+B$54)/($A58-B$54))/(1+$A58)^5-'Inputs_CAT'!$B$17+'Inputs_CAT'!$B$18)/'Inputs_CAT'!$B$22)</f>
        <v>103.24884602593842</v>
      </c>
      <c r="C58" s="19">
        <f>IF(C$54&gt;=$A58,"n/a",(SUMPRODUCT('DCF_CAT'!$C$31:$G$31,1/(1+$A58)^{1,2,3,4,5})+('DCF_CAT'!$G$31*(1+C$54)/($A58-C$54))/(1+$A58)^5-'Inputs_CAT'!$B$17+'Inputs_CAT'!$B$18)/'Inputs_CAT'!$B$22)</f>
        <v>111.08979095712884</v>
      </c>
      <c r="D58" s="19">
        <f>IF(D$54&gt;=$A58,"n/a",(SUMPRODUCT('DCF_CAT'!$C$31:$G$31,1/(1+$A58)^{1,2,3,4,5})+('DCF_CAT'!$G$31*(1+D$54)/($A58-D$54))/(1+$A58)^5-'Inputs_CAT'!$B$17+'Inputs_CAT'!$B$18)/'Inputs_CAT'!$B$22)</f>
        <v>120.23756004351765</v>
      </c>
      <c r="E58" s="19">
        <f>IF(E$54&gt;=$A58,"n/a",(SUMPRODUCT('DCF_CAT'!$C$31:$G$31,1/(1+$A58)^{1,2,3,4,5})+('DCF_CAT'!$G$31*(1+E$54)/($A58-E$54))/(1+$A58)^5-'Inputs_CAT'!$B$17+'Inputs_CAT'!$B$18)/'Inputs_CAT'!$B$22)</f>
        <v>131.04855987288627</v>
      </c>
      <c r="F58" s="19">
        <f>IF(F$54&gt;=$A58,"n/a",(SUMPRODUCT('DCF_CAT'!$C$31:$G$31,1/(1+$A58)^{1,2,3,4,5})+('DCF_CAT'!$G$31*(1+F$54)/($A58-F$54))/(1+$A58)^5-'Inputs_CAT'!$B$17+'Inputs_CAT'!$B$18)/'Inputs_CAT'!$B$22)</f>
        <v>144.02175966812857</v>
      </c>
      <c r="G58" s="19">
        <f>IF(G$54&gt;=$A58,"n/a",(SUMPRODUCT('DCF_CAT'!$C$31:$G$31,1/(1+$A58)^{1,2,3,4,5})+('DCF_CAT'!$G$31*(1+G$54)/($A58-G$54))/(1+$A58)^5-'Inputs_CAT'!$B$17+'Inputs_CAT'!$B$18)/'Inputs_CAT'!$B$22)</f>
        <v>159.87789275120252</v>
      </c>
    </row>
    <row r="59">
      <c r="A59" s="12">
        <v>0.17</v>
      </c>
      <c r="B59" s="19">
        <f>IF(B$54&gt;=$A59,"n/a",(SUMPRODUCT('DCF_CAT'!$C$31:$G$31,1/(1+$A59)^{1,2,3,4,5})+('DCF_CAT'!$G$31*(1+B$54)/($A59-B$54))/(1+$A59)^5-'Inputs_CAT'!$B$17+'Inputs_CAT'!$B$18)/'Inputs_CAT'!$B$22)</f>
        <v>73.43654028611303</v>
      </c>
      <c r="C59" s="19">
        <f>IF(C$54&gt;=$A59,"n/a",(SUMPRODUCT('DCF_CAT'!$C$31:$G$31,1/(1+$A59)^{1,2,3,4,5})+('DCF_CAT'!$G$31*(1+C$54)/($A59-C$54))/(1+$A59)^5-'Inputs_CAT'!$B$17+'Inputs_CAT'!$B$18)/'Inputs_CAT'!$B$22)</f>
        <v>78.16529564019473</v>
      </c>
      <c r="D59" s="19">
        <f>IF(D$54&gt;=$A59,"n/a",(SUMPRODUCT('DCF_CAT'!$C$31:$G$31,1/(1+$A59)^{1,2,3,4,5})+('DCF_CAT'!$G$31*(1+D$54)/($A59-D$54))/(1+$A59)^5-'Inputs_CAT'!$B$17+'Inputs_CAT'!$B$18)/'Inputs_CAT'!$B$22)</f>
        <v>83.52455170815395</v>
      </c>
      <c r="E59" s="19">
        <f>IF(E$54&gt;=$A59,"n/a",(SUMPRODUCT('DCF_CAT'!$C$31:$G$31,1/(1+$A59)^{1,2,3,4,5})+('DCF_CAT'!$G$31*(1+E$54)/($A59-E$54))/(1+$A59)^5-'Inputs_CAT'!$B$17+'Inputs_CAT'!$B$18)/'Inputs_CAT'!$B$22)</f>
        <v>89.64941578582166</v>
      </c>
      <c r="F59" s="19">
        <f>IF(F$54&gt;=$A59,"n/a",(SUMPRODUCT('DCF_CAT'!$C$31:$G$31,1/(1+$A59)^{1,2,3,4,5})+('DCF_CAT'!$G$31*(1+F$54)/($A59-F$54))/(1+$A59)^5-'Inputs_CAT'!$B$17+'Inputs_CAT'!$B$18)/'Inputs_CAT'!$B$22)</f>
        <v>96.71656664466902</v>
      </c>
      <c r="G59" s="19">
        <f>IF(G$54&gt;=$A59,"n/a",(SUMPRODUCT('DCF_CAT'!$C$31:$G$31,1/(1+$A59)^{1,2,3,4,5})+('DCF_CAT'!$G$31*(1+G$54)/($A59-G$54))/(1+$A59)^5-'Inputs_CAT'!$B$17+'Inputs_CAT'!$B$18)/'Inputs_CAT'!$B$22)</f>
        <v>104.96157597999091</v>
      </c>
    </row>
    <row r="60">
      <c r="A60" s="12">
        <v>0.2</v>
      </c>
      <c r="B60" s="19">
        <f>IF(B$54&gt;=$A60,"n/a",(SUMPRODUCT('DCF_CAT'!$C$31:$G$31,1/(1+$A60)^{1,2,3,4,5})+('DCF_CAT'!$G$31*(1+B$54)/($A60-B$54))/(1+$A60)^5-'Inputs_CAT'!$B$17+'Inputs_CAT'!$B$18)/'Inputs_CAT'!$B$22)</f>
        <v>52.691440851628236</v>
      </c>
      <c r="C60" s="19">
        <f>IF(C$54&gt;=$A60,"n/a",(SUMPRODUCT('DCF_CAT'!$C$31:$G$31,1/(1+$A60)^{1,2,3,4,5})+('DCF_CAT'!$G$31*(1+C$54)/($A60-C$54))/(1+$A60)^5-'Inputs_CAT'!$B$17+'Inputs_CAT'!$B$18)/'Inputs_CAT'!$B$22)</f>
        <v>55.75023757460085</v>
      </c>
      <c r="D60" s="19">
        <f>IF(D$54&gt;=$A60,"n/a",(SUMPRODUCT('DCF_CAT'!$C$31:$G$31,1/(1+$A60)^{1,2,3,4,5})+('DCF_CAT'!$G$31*(1+D$54)/($A60-D$54))/(1+$A60)^5-'Inputs_CAT'!$B$17+'Inputs_CAT'!$B$18)/'Inputs_CAT'!$B$22)</f>
        <v>59.148900600125984</v>
      </c>
      <c r="E60" s="19">
        <f>IF(E$54&gt;=$A60,"n/a",(SUMPRODUCT('DCF_CAT'!$C$31:$G$31,1/(1+$A60)^{1,2,3,4,5})+('DCF_CAT'!$G$31*(1+E$54)/($A60-E$54))/(1+$A60)^5-'Inputs_CAT'!$B$17+'Inputs_CAT'!$B$18)/'Inputs_CAT'!$B$22)</f>
        <v>62.94740633453645</v>
      </c>
      <c r="F60" s="19">
        <f>IF(F$54&gt;=$A60,"n/a",(SUMPRODUCT('DCF_CAT'!$C$31:$G$31,1/(1+$A60)^{1,2,3,4,5})+('DCF_CAT'!$G$31*(1+F$54)/($A60-F$54))/(1+$A60)^5-'Inputs_CAT'!$B$17+'Inputs_CAT'!$B$18)/'Inputs_CAT'!$B$22)</f>
        <v>67.2207252857482</v>
      </c>
      <c r="G60" s="19">
        <f>IF(G$54&gt;=$A60,"n/a",(SUMPRODUCT('DCF_CAT'!$C$31:$G$31,1/(1+$A60)^{1,2,3,4,5})+('DCF_CAT'!$G$31*(1+G$54)/($A60-G$54))/(1+$A60)^5-'Inputs_CAT'!$B$17+'Inputs_CAT'!$B$18)/'Inputs_CAT'!$B$22)</f>
        <v>72.0638200971215</v>
      </c>
    </row>
  </sheetData>
  <mergeCells count="6">
    <mergeCell ref="A1:G1"/>
    <mergeCell ref="A4:E4"/>
    <mergeCell ref="A16:E16"/>
    <mergeCell ref="A28:N28"/>
    <mergeCell ref="A41:J41"/>
    <mergeCell ref="A53:G53"/>
  </mergeCells>
</worksheet>
</file>

<file path=xl/worksheets/sheet10.xml><?xml version="1.0" encoding="utf-8"?>
<worksheet xmlns="http://schemas.openxmlformats.org/spreadsheetml/2006/main">
  <dimension ref="A1:H38"/>
  <sheetViews>
    <sheetView workbookViewId="0">
      <pane xSplit="1" ySplit="4" topLeftCell="B5" activePane="bottomRight" state="frozen"/>
      <selection pane="bottomRight" activeCell="B5" sqref="B5"/>
    </sheetView>
  </sheetViews>
  <sheetFormatPr defaultRowHeight="15"/>
  <cols>
    <col min="1" max="1" width="42" customWidth="1"/>
    <col min="2" max="2" width="16" customWidth="1"/>
    <col min="3" max="3" width="16" customWidth="1"/>
    <col min="4" max="4" width="60" customWidth="1"/>
  </cols>
  <sheetData>
    <row r="1">
      <c r="A1" s="1" t="inlineStr">
        <is>
          <t xml:space="preserve">Inputs — INTC (INTEL CORP)  |  Frozen 2026-08-17T17:23:45.328242+00:00</t>
        </is>
      </c>
    </row>
    <row r="2">
      <c r="A2" s="2" t="inlineStr">
        <is>
          <t xml:space="preserve">Profile: Mature, negative/near-zero recent revenue growth  |  CIK 0000050863  |  All USD values are actual dollars (not thousands/millions) unless noted.</t>
        </is>
      </c>
    </row>
    <row r="4">
      <c r="A4" s="3" t="inlineStr">
        <is>
          <t xml:space="preserve">SECTION 1 — Historical Annual Data (SEC EDGAR, frozen)</t>
        </is>
      </c>
      <c r="B4" s="3"/>
      <c r="C4" s="3"/>
      <c r="D4" s="3"/>
      <c r="E4" s="3"/>
      <c r="F4" s="3"/>
      <c r="G4" s="3"/>
      <c r="H4" s="3"/>
    </row>
    <row r="5">
      <c r="A5" s="4" t="inlineStr">
        <is>
          <t xml:space="preserve">Fiscal Year End</t>
        </is>
      </c>
      <c r="B5" s="4" t="inlineStr">
        <is>
          <t xml:space="preserve">Revenue (USD)</t>
        </is>
      </c>
      <c r="C5" s="4" t="inlineStr">
        <is>
          <t xml:space="preserve">EBIT / Operating Income (USD)</t>
        </is>
      </c>
      <c r="D5" s="4" t="inlineStr">
        <is>
          <t xml:space="preserve">Provenance</t>
        </is>
      </c>
    </row>
    <row r="6">
      <c r="A6" s="14">
        <v>44555</v>
      </c>
      <c r="B6" s="11">
        <v>79024000000</v>
      </c>
      <c r="C6" s="11">
        <v>19456000000</v>
      </c>
      <c r="D6" s="25" t="inlineStr">
        <is>
          <t xml:space="preserve">XBRL tag: RevenueFromContractWithCustomerExcludingAssessedTax</t>
        </is>
      </c>
    </row>
    <row r="7">
      <c r="A7" s="14">
        <v>44926</v>
      </c>
      <c r="B7" s="11">
        <v>63054000000</v>
      </c>
      <c r="C7" s="11">
        <v>2334000000</v>
      </c>
      <c r="D7" s="25" t="inlineStr">
        <is>
          <t xml:space="preserve">XBRL tag: RevenueFromContractWithCustomerExcludingAssessedTax</t>
        </is>
      </c>
    </row>
    <row r="8">
      <c r="A8" s="14">
        <v>45290</v>
      </c>
      <c r="B8" s="11">
        <v>54228000000</v>
      </c>
      <c r="C8" s="11">
        <v>93000000</v>
      </c>
      <c r="D8" s="25" t="inlineStr">
        <is>
          <t xml:space="preserve">XBRL tag: RevenueFromContractWithCustomerExcludingAssessedTax</t>
        </is>
      </c>
    </row>
    <row r="9">
      <c r="A9" s="14">
        <v>45654</v>
      </c>
      <c r="B9" s="11">
        <v>53101000000</v>
      </c>
      <c r="C9" s="11">
        <v>-11678000000</v>
      </c>
      <c r="D9" s="25" t="inlineStr">
        <is>
          <t xml:space="preserve">XBRL tag: RevenueFromContractWithCustomerExcludingAssessedTax</t>
        </is>
      </c>
    </row>
    <row r="10">
      <c r="A10" s="14">
        <v>46018</v>
      </c>
      <c r="B10" s="11">
        <v>52853000000</v>
      </c>
      <c r="C10" s="11">
        <v>-2214000000</v>
      </c>
      <c r="D10" s="25" t="inlineStr">
        <is>
          <t xml:space="preserve">XBRL tag: RevenueFromContractWithCustomerExcludingAssessedTax</t>
        </is>
      </c>
    </row>
    <row r="12">
      <c r="A12" s="3" t="inlineStr">
        <is>
          <t xml:space="preserve">SECTION 2 — Latest-Year Facts (SEC EDGAR, frozen)</t>
        </is>
      </c>
      <c r="B12" s="3"/>
      <c r="C12" s="3"/>
      <c r="D12" s="3"/>
      <c r="E12" s="3"/>
      <c r="F12" s="3"/>
      <c r="G12" s="3"/>
      <c r="H12" s="3"/>
    </row>
    <row r="13">
      <c r="A13" s="7" t="inlineStr">
        <is>
          <t xml:space="preserve">Latest Complete Fiscal Year End</t>
        </is>
      </c>
      <c r="B13" s="14">
        <v>46018</v>
      </c>
    </row>
    <row r="14">
      <c r="A14" s="7" t="inlineStr">
        <is>
          <t xml:space="preserve">Pretax Income (USD)</t>
        </is>
      </c>
      <c r="B14" s="11">
        <v>1557000000</v>
      </c>
    </row>
    <row r="15">
      <c r="A15" s="7" t="inlineStr">
        <is>
          <t xml:space="preserve">Tax Provision (USD)</t>
        </is>
      </c>
      <c r="B15" s="11">
        <v>1531000000</v>
      </c>
    </row>
    <row r="16">
      <c r="A16" s="7" t="inlineStr">
        <is>
          <t xml:space="preserve">Interest Expense (USD)</t>
        </is>
      </c>
      <c r="B16" s="11">
        <v>1091000000</v>
      </c>
      <c r="D16" s="25" t="inlineStr">
        <is>
          <t xml:space="preserve">Method: reported; tag: InterestExpenseNonoperating</t>
        </is>
      </c>
    </row>
    <row r="17">
      <c r="A17" s="7" t="inlineStr">
        <is>
          <t xml:space="preserve">Total Debt (USD)</t>
        </is>
      </c>
      <c r="B17" s="11">
        <v>46585000000.0</v>
      </c>
      <c r="D17" s="25" t="inlineStr">
        <is>
          <t xml:space="preserve">Total Debt = LongTermDebtNoncurrent ($44,086,000,000) + LongTermDebtCurrent ($2,499,000,000) = $46,585,000,000  |  Full per-component provenance (XBRL tag, accession, filed date, source URL): see Sources sheet.</t>
        </is>
      </c>
    </row>
    <row r="18">
      <c r="A18" s="7" t="inlineStr">
        <is>
          <t xml:space="preserve">Cash &amp; Equivalents (USD)</t>
        </is>
      </c>
      <c r="B18" s="11">
        <v>14265000000</v>
      </c>
    </row>
    <row r="20">
      <c r="A20" s="3" t="inlineStr">
        <is>
          <t xml:space="preserve">SECTION 3 — Market Data (Yahoo Finance via yfinance, frozen)</t>
        </is>
      </c>
      <c r="B20" s="3"/>
      <c r="C20" s="3"/>
      <c r="D20" s="3"/>
      <c r="E20" s="3"/>
      <c r="F20" s="3"/>
      <c r="G20" s="3"/>
      <c r="H20" s="3"/>
    </row>
    <row r="21">
      <c r="A21" s="7" t="inlineStr">
        <is>
          <t xml:space="preserve">Current Price (USD/share)</t>
        </is>
      </c>
      <c r="B21" s="11">
        <v>104.125</v>
      </c>
    </row>
    <row r="22">
      <c r="A22" s="7" t="inlineStr">
        <is>
          <t xml:space="preserve">Shares Outstanding</t>
        </is>
      </c>
      <c r="B22" s="10">
        <v>5286105262</v>
      </c>
    </row>
    <row r="23">
      <c r="A23" s="7" t="inlineStr">
        <is>
          <t xml:space="preserve">Beta (levered equity)</t>
        </is>
      </c>
      <c r="B23" s="10">
        <v>2.241</v>
      </c>
    </row>
    <row r="24">
      <c r="A24" s="7" t="inlineStr">
        <is>
          <t xml:space="preserve">Sector (GICS)</t>
        </is>
      </c>
      <c r="B24" s="13" t="inlineStr">
        <is>
          <t xml:space="preserve">Technology</t>
        </is>
      </c>
    </row>
    <row r="26">
      <c r="A26" s="3" t="inlineStr">
        <is>
          <t xml:space="preserve">SECTION 4 — Assumptions (shared across companies unless noted; assumptions-register.md)</t>
        </is>
      </c>
      <c r="B26" s="3"/>
      <c r="C26" s="3"/>
      <c r="D26" s="3"/>
      <c r="E26" s="3"/>
      <c r="F26" s="3"/>
      <c r="G26" s="3"/>
      <c r="H26" s="3"/>
    </row>
    <row r="27">
      <c r="A27" s="7" t="inlineStr">
        <is>
          <t xml:space="preserve">Risk-free rate (A-001)</t>
        </is>
      </c>
      <c r="B27" s="12">
        <v>0.04</v>
      </c>
    </row>
    <row r="28">
      <c r="A28" s="7" t="inlineStr">
        <is>
          <t xml:space="preserve">Market risk premium (A-009)</t>
        </is>
      </c>
      <c r="B28" s="12">
        <v>0.055</v>
      </c>
    </row>
    <row r="29">
      <c r="A29" s="7" t="inlineStr">
        <is>
          <t xml:space="preserve">Terminal growth rate, base case (A-003)</t>
        </is>
      </c>
      <c r="B29" s="12">
        <v>0.025</v>
      </c>
    </row>
    <row r="30">
      <c r="A30" s="7" t="inlineStr">
        <is>
          <t xml:space="preserve">Projection years</t>
        </is>
      </c>
      <c r="B30" s="10">
        <v>5</v>
      </c>
    </row>
    <row r="31">
      <c r="A31" s="7" t="inlineStr">
        <is>
          <t xml:space="preserve">D&amp;A % of revenue (A-004)</t>
        </is>
      </c>
      <c r="B31" s="12">
        <v>0.03</v>
      </c>
    </row>
    <row r="32">
      <c r="A32" s="7" t="inlineStr">
        <is>
          <t xml:space="preserve">CapEx % of revenue (A-004)</t>
        </is>
      </c>
      <c r="B32" s="12">
        <v>0.04</v>
      </c>
    </row>
    <row r="33">
      <c r="A33" s="7" t="inlineStr">
        <is>
          <t xml:space="preserve">ΔNWC % of revenue change (A-004)</t>
        </is>
      </c>
      <c r="B33" s="12">
        <v>0.01</v>
      </c>
    </row>
    <row r="34">
      <c r="A34" s="7" t="inlineStr">
        <is>
          <t xml:space="preserve">WACC clamp — minimum (A-006)</t>
        </is>
      </c>
      <c r="B34" s="12">
        <v>0.05</v>
      </c>
    </row>
    <row r="35">
      <c r="A35" s="7" t="inlineStr">
        <is>
          <t xml:space="preserve">WACC clamp — maximum (A-006)</t>
        </is>
      </c>
      <c r="B35" s="12">
        <v>0.2</v>
      </c>
    </row>
    <row r="36">
      <c r="A36" s="7" t="inlineStr">
        <is>
          <t xml:space="preserve">Terminal growth clamp — minimum</t>
        </is>
      </c>
      <c r="B36" s="12">
        <v>0.0</v>
      </c>
    </row>
    <row r="37">
      <c r="A37" s="7" t="inlineStr">
        <is>
          <t xml:space="preserve">Terminal growth clamp — maximum</t>
        </is>
      </c>
      <c r="B37" s="12">
        <v>0.05</v>
      </c>
    </row>
    <row r="38">
      <c r="A38" s="7" t="inlineStr">
        <is>
          <t xml:space="preserve">Historical revenue growth cap (A-002)</t>
        </is>
      </c>
      <c r="B38" s="12">
        <v>0.25</v>
      </c>
    </row>
  </sheetData>
  <mergeCells count="5">
    <mergeCell ref="A1:G1"/>
    <mergeCell ref="A4:H4"/>
    <mergeCell ref="A12:H12"/>
    <mergeCell ref="A20:H20"/>
    <mergeCell ref="A26:H26"/>
  </mergeCells>
</worksheet>
</file>

<file path=xl/worksheets/sheet11.xml><?xml version="1.0" encoding="utf-8"?>
<worksheet xmlns="http://schemas.openxmlformats.org/spreadsheetml/2006/main">
  <dimension ref="A1:H52"/>
  <sheetViews>
    <sheetView workbookViewId="0">
      <pane xSplit="1" ySplit="4" topLeftCell="B5" activePane="bottomRight" state="frozen"/>
      <selection pane="bottomRight" activeCell="B5" sqref="B5"/>
    </sheetView>
  </sheetViews>
  <sheetFormatPr defaultRowHeight="15"/>
  <cols>
    <col min="1" max="1" width="46" customWidth="1"/>
    <col min="2" max="2" width="17" customWidth="1"/>
    <col min="3" max="3" width="17" customWidth="1"/>
    <col min="4" max="4" width="17" customWidth="1"/>
    <col min="5" max="5" width="17" customWidth="1"/>
    <col min="6" max="6" width="17" customWidth="1"/>
    <col min="7" max="7" width="17" customWidth="1"/>
    <col min="8" max="8" width="55" customWidth="1"/>
  </cols>
  <sheetData>
    <row r="1">
      <c r="A1" s="1" t="inlineStr">
        <is>
          <t xml:space="preserve">DCF Valuation — INTC (INTEL CORP)  [V2 — Track A Phase 2C]</t>
        </is>
      </c>
    </row>
    <row r="2">
      <c r="A2" s="2" t="inlineStr">
        <is>
          <t xml:space="preserve">Every formula below is entered independently from docs/model-specifications/dcf.md and wacc-capm.md prose/equations — never copied from src/dcf_model/dcf.py. V2: years_elapsed now uses actual fiscal-period-end date subtraction, per the Track A Phase 2C specification clarification (A-028/L-019) — see row below.</t>
        </is>
      </c>
    </row>
    <row r="4">
      <c r="A4" s="3" t="inlineStr">
        <is>
          <t xml:space="preserve">SECTION 1 — Historical Revenue CAGR &amp; Operating Margin  [dcf.md §Historical revenue-growth and operating-margin derivation]</t>
        </is>
      </c>
      <c r="B4" s="3"/>
      <c r="C4" s="3"/>
      <c r="D4" s="3"/>
      <c r="E4" s="3"/>
      <c r="F4" s="3"/>
      <c r="G4" s="3"/>
      <c r="H4" s="3"/>
    </row>
    <row r="5">
      <c r="A5" s="7" t="inlineStr">
        <is>
          <t xml:space="preserve">Years elapsed = (latest fiscal date − earliest fiscal date) / 365.25  [V2; A-028]</t>
        </is>
      </c>
      <c r="B5" s="15">
        <f>('Inputs_INTC'!$A$10-'Inputs_INTC'!$A$6)/365.25</f>
        <v>4.005475701574264</v>
      </c>
      <c r="D5" s="9" t="inlineStr">
        <is>
          <t xml:space="preserve">Spec: dcf.md — years_elapsed is ACTUAL elapsed calendar days between the earliest- and latest-dated valid observations / 365.25, never (periods−1) (A-028; Track A Phase 2C, resolving the ambiguity Phase 2B found).</t>
        </is>
      </c>
    </row>
    <row r="6">
      <c r="A6" s="7" t="inlineStr">
        <is>
          <t xml:space="preserve">Diagnostic — naive (N periods − 1) years [V1's convention; NOT used below]</t>
        </is>
      </c>
      <c r="B6" s="10">
        <v>4</v>
      </c>
      <c r="C6" s="23" t="inlineStr">
        <is>
          <t xml:space="preserve">IRREGULAR</t>
        </is>
      </c>
      <c r="D6" s="25" t="inlineStr">
        <is>
          <t xml:space="preserve">IRREGULAR FISCAL CALENDAR DETECTED — actual years_elapsed (4.005476) ≠ naive count (4). This is the exact condition that made V1 (COUNT−1) diverge from the codebase for this company in Track A Phase 2B — see docs/model-change-log.md.</t>
        </is>
      </c>
    </row>
    <row r="8">
      <c r="A8" s="7" t="inlineStr">
        <is>
          <t xml:space="preserve">Raw Revenue CAGR = (Rev_latest/Rev_earliest)^(1/years) − 1</t>
        </is>
      </c>
      <c r="B8" s="17">
        <f>('Inputs_INTC'!$B$10/'Inputs_INTC'!$B$6)^(1/B5)-1</f>
        <v>-0.09554417293826767</v>
      </c>
    </row>
    <row r="9">
      <c r="A9" s="7" t="inlineStr">
        <is>
          <t xml:space="preserve">Capped Revenue CAGR (cap A-002; NOT floored below)</t>
        </is>
      </c>
      <c r="B9" s="17">
        <f>MIN(B8,'Inputs_INTC'!$B$38)</f>
        <v>-0.09554417293826767</v>
      </c>
      <c r="D9" s="9" t="inlineStr">
        <is>
          <t xml:space="preserve">Spec: dcf.md — capped at MAX_REVENUE_GROWTH_RATE=25%, unbounded below (A-002)</t>
        </is>
      </c>
    </row>
    <row r="10">
      <c r="A10" s="7" t="inlineStr">
        <is>
          <t xml:space="preserve">Average Historical Operating Margin = simple average of EBIT_t/Revenue_t</t>
        </is>
      </c>
      <c r="B10" s="17">
        <f>('Inputs_INTC'!$C$6/'Inputs_INTC'!$B$6+'Inputs_INTC'!$C$7/'Inputs_INTC'!$B$7+'Inputs_INTC'!$C$8/'Inputs_INTC'!$B$8+'Inputs_INTC'!$C$9/'Inputs_INTC'!$B$9+'Inputs_INTC'!$C$10/'Inputs_INTC'!$B$10)/5</f>
        <v>0.004624851749122934</v>
      </c>
    </row>
    <row r="12">
      <c r="A12" s="3" t="inlineStr">
        <is>
          <t xml:space="preserve">SECTION 2 — WACC via CAPM  [wacc-capm.md §Formula]</t>
        </is>
      </c>
      <c r="B12" s="3"/>
      <c r="C12" s="3"/>
      <c r="D12" s="3"/>
      <c r="E12" s="3"/>
      <c r="F12" s="3"/>
      <c r="G12" s="3"/>
      <c r="H12" s="3"/>
    </row>
    <row r="13">
      <c r="A13" s="7" t="inlineStr">
        <is>
          <t xml:space="preserve">Market Capitalization = Price × Shares Outstanding</t>
        </is>
      </c>
      <c r="B13" s="16">
        <f>'Inputs_INTC'!$B$21*'Inputs_INTC'!$B$22</f>
        <v>550415710405.75</v>
      </c>
    </row>
    <row r="14">
      <c r="A14" s="7" t="inlineStr">
        <is>
          <t xml:space="preserve">Effective Tax Rate = Tax Provision / Pretax Income (latest FY)</t>
        </is>
      </c>
      <c r="B14" s="17">
        <f>'Inputs_INTC'!$B$15/'Inputs_INTC'!$B$14</f>
        <v>0.98330122029544</v>
      </c>
      <c r="D14" s="9" t="inlineStr">
        <is>
          <t xml:space="preserve">Method: derived. Spec: wacc-capm.md — derived as tax_provision/pretax_income, valid range [0,1); DEFAULT_TAX_RATE=21% only on missing data.</t>
        </is>
      </c>
    </row>
    <row r="15">
      <c r="A15" s="7" t="inlineStr">
        <is>
          <t xml:space="preserve">Cost of Debt = |Interest Expense| / Total Debt (latest FY)</t>
        </is>
      </c>
      <c r="B15" s="17">
        <f>ABS('Inputs_INTC'!$B$16)/'Inputs_INTC'!$B$17</f>
        <v>0.02341955565096061</v>
      </c>
    </row>
    <row r="16">
      <c r="A16" s="7" t="inlineStr">
        <is>
          <t xml:space="preserve">Cost of Equity (CAPM) = Rf + Beta × MRP</t>
        </is>
      </c>
      <c r="B16" s="17">
        <f>'Inputs_INTC'!$B$27+'Inputs_INTC'!$B$23*'Inputs_INTC'!$B$28</f>
        <v>0.163255</v>
      </c>
    </row>
    <row r="17">
      <c r="A17" s="7" t="inlineStr">
        <is>
          <t xml:space="preserve">After-Tax Cost of Debt = Cost of Debt × (1 − Tax Rate)</t>
        </is>
      </c>
      <c r="B17" s="17">
        <f>B15*(1-B14)</f>
        <v>0.0003910780005940749</v>
      </c>
    </row>
    <row r="18">
      <c r="A18" s="7" t="inlineStr">
        <is>
          <t xml:space="preserve">Weight of Equity = MktCap / (MktCap + Total Debt)</t>
        </is>
      </c>
      <c r="B18" s="17">
        <f>B13/(B13+'Inputs_INTC'!$B$17)</f>
        <v>0.9219682670589476</v>
      </c>
    </row>
    <row r="19">
      <c r="A19" s="7" t="inlineStr">
        <is>
          <t xml:space="preserve">Weight of Debt = Total Debt / (MktCap + Total Debt)</t>
        </is>
      </c>
      <c r="B19" s="17">
        <f>'Inputs_INTC'!$B$17/(B13+'Inputs_INTC'!$B$17)</f>
        <v>0.07803173294105233</v>
      </c>
    </row>
    <row r="20">
      <c r="A20" s="7" t="inlineStr">
        <is>
          <t xml:space="preserve">Raw WACC = We×Re + Wd×Rd(after-tax)</t>
        </is>
      </c>
      <c r="B20" s="17">
        <f>B18*B16+B19*B17</f>
        <v>0.15054644593281</v>
      </c>
    </row>
    <row r="21">
      <c r="A21" s="7" t="inlineStr">
        <is>
          <t xml:space="preserve">Final WACC — clamped to [5%,20%] (A-006), via MEDIAN(raw,min,max)</t>
        </is>
      </c>
      <c r="B21" s="17">
        <f>MEDIAN(B20,'Inputs_INTC'!$B$34,'Inputs_INTC'!$B$35)</f>
        <v>0.15054644593281</v>
      </c>
      <c r="D21" s="9" t="inlineStr">
        <is>
          <t xml:space="preserve">MEDIAN(x,min,max) is a standard single-formula clamp: returns min if x&lt;min, max if x&gt;max, else x.</t>
        </is>
      </c>
    </row>
    <row r="23">
      <c r="A23" s="3" t="inlineStr">
        <is>
          <t xml:space="preserve">SECTION 3 — 5-Year Free Cash Flow Projection  [dcf.md §Free Cash Flow projection]</t>
        </is>
      </c>
      <c r="B23" s="3"/>
      <c r="C23" s="3"/>
      <c r="D23" s="3"/>
      <c r="E23" s="3"/>
      <c r="F23" s="3"/>
      <c r="G23" s="3"/>
      <c r="H23" s="3"/>
    </row>
    <row r="24">
      <c r="A24" s="4" t="inlineStr">
        <is>
          <t xml:space="preserve"/>
        </is>
      </c>
      <c r="B24" s="5" t="inlineStr">
        <is>
          <t xml:space="preserve">Year 0 (base, actual)</t>
        </is>
      </c>
      <c r="C24" s="5" t="inlineStr">
        <is>
          <t xml:space="preserve">Year 1</t>
        </is>
      </c>
      <c r="D24" s="5" t="inlineStr">
        <is>
          <t xml:space="preserve">Year 2</t>
        </is>
      </c>
      <c r="E24" s="5" t="inlineStr">
        <is>
          <t xml:space="preserve">Year 3</t>
        </is>
      </c>
      <c r="F24" s="5" t="inlineStr">
        <is>
          <t xml:space="preserve">Year 4</t>
        </is>
      </c>
      <c r="G24" s="5" t="inlineStr">
        <is>
          <t xml:space="preserve">Year 5</t>
        </is>
      </c>
    </row>
    <row r="25">
      <c r="A25" s="7" t="inlineStr">
        <is>
          <t xml:space="preserve">Revenue = Revenue_(t-1) × (1 + growth)</t>
        </is>
      </c>
      <c r="B25" s="16">
        <f>'Inputs_INTC'!$B$10</f>
        <v>52853000000</v>
      </c>
      <c r="C25" s="16">
        <f>B25*(1+$B$9)</f>
        <v>47803203827.69374</v>
      </c>
      <c r="D25" s="16">
        <f>C25*(1+$B$9)</f>
        <v>43235886254.177315</v>
      </c>
      <c r="E25" s="16">
        <f>D25*(1+$B$9)</f>
        <v>39104949260.76893</v>
      </c>
      <c r="F25" s="16">
        <f>E25*(1+$B$9)</f>
        <v>35368699225.85584</v>
      </c>
      <c r="G25" s="16">
        <f>F25*(1+$B$9)</f>
        <v>31989426110.419098</v>
      </c>
    </row>
    <row r="26">
      <c r="A26" s="7" t="inlineStr">
        <is>
          <t xml:space="preserve">EBIT = Revenue × Operating Margin</t>
        </is>
      </c>
      <c r="C26" s="16">
        <f>C25*$B$10</f>
        <v>221082730.83618954</v>
      </c>
      <c r="D26" s="16">
        <f>D25*$B$10</f>
        <v>199959564.16751218</v>
      </c>
      <c r="E26" s="16">
        <f>E25*$B$10</f>
        <v>180854592.98803076</v>
      </c>
      <c r="F26" s="16">
        <f>F25*$B$10</f>
        <v>163574990.47890234</v>
      </c>
      <c r="G26" s="16">
        <f>G25*$B$10</f>
        <v>147946353.30021062</v>
      </c>
    </row>
    <row r="27">
      <c r="A27" s="7" t="inlineStr">
        <is>
          <t xml:space="preserve">NOPAT = EBIT × (1 − Tax Rate)</t>
        </is>
      </c>
      <c r="C27" s="16">
        <f>C26*(1-$B$14)</f>
        <v>3691811.8187160674</v>
      </c>
      <c r="D27" s="16">
        <f>D26*(1-$B$14)</f>
        <v>3339080.711853119</v>
      </c>
      <c r="E27" s="16">
        <f>E26*(1-$B$14)</f>
        <v>3020051.0068649906</v>
      </c>
      <c r="F27" s="16">
        <f>F26*(1-$B$14)</f>
        <v>2731502.7311826926</v>
      </c>
      <c r="G27" s="16">
        <f>G26*(1-$B$14)</f>
        <v>2470523.5618532235</v>
      </c>
    </row>
    <row r="28">
      <c r="A28" s="7" t="inlineStr">
        <is>
          <t xml:space="preserve">D&amp;A = Revenue × D&amp;A% (A-004)</t>
        </is>
      </c>
      <c r="C28" s="16">
        <f>C25*'Inputs_INTC'!$B$31</f>
        <v>1434096114.8308122</v>
      </c>
      <c r="D28" s="16">
        <f>D25*'Inputs_INTC'!$B$31</f>
        <v>1297076587.6253195</v>
      </c>
      <c r="E28" s="16">
        <f>E25*'Inputs_INTC'!$B$31</f>
        <v>1173148477.823068</v>
      </c>
      <c r="F28" s="16">
        <f>F25*'Inputs_INTC'!$B$31</f>
        <v>1061060976.7756753</v>
      </c>
      <c r="G28" s="16">
        <f>G25*'Inputs_INTC'!$B$31</f>
        <v>959682783.312573</v>
      </c>
    </row>
    <row r="29">
      <c r="A29" s="7" t="inlineStr">
        <is>
          <t xml:space="preserve">CapEx = Revenue × CapEx% (A-004)</t>
        </is>
      </c>
      <c r="C29" s="16">
        <f>C25*'Inputs_INTC'!$B$32</f>
        <v>1912128153.1077497</v>
      </c>
      <c r="D29" s="16">
        <f>D25*'Inputs_INTC'!$B$32</f>
        <v>1729435450.1670926</v>
      </c>
      <c r="E29" s="16">
        <f>E25*'Inputs_INTC'!$B$32</f>
        <v>1564197970.4307573</v>
      </c>
      <c r="F29" s="16">
        <f>F25*'Inputs_INTC'!$B$32</f>
        <v>1414747969.0342338</v>
      </c>
      <c r="G29" s="16">
        <f>G25*'Inputs_INTC'!$B$32</f>
        <v>1279577044.416764</v>
      </c>
    </row>
    <row r="30">
      <c r="A30" s="7" t="inlineStr">
        <is>
          <t xml:space="preserve">ΔNWC = NWC% × (Revenue_t − Revenue_(t-1)) (A-004)</t>
        </is>
      </c>
      <c r="C30" s="16">
        <f>'Inputs_INTC'!$B$33*(C25-B25)</f>
        <v>-50497961.72306259</v>
      </c>
      <c r="D30" s="16">
        <f>'Inputs_INTC'!$B$33*(D25-C25)</f>
        <v>-45673175.73516426</v>
      </c>
      <c r="E30" s="16">
        <f>'Inputs_INTC'!$B$33*(E25-D25)</f>
        <v>-41309369.934083864</v>
      </c>
      <c r="F30" s="16">
        <f>'Inputs_INTC'!$B$33*(F25-E25)</f>
        <v>-37362500.34913086</v>
      </c>
      <c r="G30" s="16">
        <f>'Inputs_INTC'!$B$33*(G25-F25)</f>
        <v>-33792731.15436745</v>
      </c>
    </row>
    <row r="31">
      <c r="A31" s="7" t="inlineStr">
        <is>
          <t xml:space="preserve">Unlevered FCF = NOPAT + D&amp;A − CapEx − ΔNWC</t>
        </is>
      </c>
      <c r="C31" s="16">
        <f>C27+C28-C29-C30</f>
        <v>-423842264.73515886</v>
      </c>
      <c r="D31" s="16">
        <f>D27+D28-D29-D30</f>
        <v>-383346606.09475577</v>
      </c>
      <c r="E31" s="16">
        <f>E27+E28-E29-E30</f>
        <v>-346720071.6667405</v>
      </c>
      <c r="F31" s="16">
        <f>F27+F28-F29-F30</f>
        <v>-313592989.17824495</v>
      </c>
      <c r="G31" s="16">
        <f>G27+G28-G29-G30</f>
        <v>-283631006.38797045</v>
      </c>
    </row>
    <row r="33">
      <c r="A33" s="3" t="inlineStr">
        <is>
          <t xml:space="preserve">SECTION 4 — Terminal Value (Gordon Growth)  [dcf.md §Terminal value]</t>
        </is>
      </c>
      <c r="B33" s="3"/>
      <c r="C33" s="3"/>
      <c r="D33" s="3"/>
      <c r="E33" s="3"/>
      <c r="F33" s="3"/>
      <c r="G33" s="3"/>
      <c r="H33" s="3"/>
    </row>
    <row r="34">
      <c r="A34" s="7" t="inlineStr">
        <is>
          <t xml:space="preserve">Terminal Value = FCF_Y5 × (1+g) / (WACC − g)</t>
        </is>
      </c>
      <c r="B34" s="16">
        <f>G31*(1+'Inputs_INTC'!$B$29)/(B21-'Inputs_INTC'!$B$29)</f>
        <v>-2315651226.8237233</v>
      </c>
    </row>
    <row r="35">
      <c r="A35" s="7" t="inlineStr">
        <is>
          <t xml:space="preserve">Check: Final WACC &gt; Terminal Growth Rate?</t>
        </is>
      </c>
      <c r="B35" s="21" t="str">
        <f>IF(B21&gt;'Inputs_INTC'!$B$29,"PASS","FAIL")</f>
        <v>PASS</v>
      </c>
    </row>
    <row r="37">
      <c r="A37" s="3" t="inlineStr">
        <is>
          <t xml:space="preserve">SECTION 5 — Discounting &amp; Enterprise-to-Equity Bridge  [dcf.md §Discounting and the Enterprise-to-Equity bridge]</t>
        </is>
      </c>
      <c r="B37" s="3"/>
      <c r="C37" s="3"/>
      <c r="D37" s="3"/>
      <c r="E37" s="3"/>
      <c r="F37" s="3"/>
      <c r="G37" s="3"/>
      <c r="H37" s="3"/>
    </row>
    <row r="38">
      <c r="A38" s="7" t="inlineStr">
        <is>
          <t xml:space="preserve">PV(FCF_t) = FCF_t / (1+WACC)^t</t>
        </is>
      </c>
      <c r="C38" s="16">
        <f>C31/(1+$B$21)^1</f>
        <v>-368383446.1732895</v>
      </c>
      <c r="D38" s="16">
        <f>D31/(1+$B$21)^2</f>
        <v>-289589834.1716934</v>
      </c>
      <c r="E38" s="16">
        <f>E31/(1+$B$21)^3</f>
        <v>-227649404.24641025</v>
      </c>
      <c r="F38" s="16">
        <f>F31/(1+$B$21)^4</f>
        <v>-178957425.77420625</v>
      </c>
      <c r="G38" s="16">
        <f>G31/(1+$B$21)^5</f>
        <v>-140680184.71537706</v>
      </c>
    </row>
    <row r="39">
      <c r="A39" s="7" t="inlineStr">
        <is>
          <t xml:space="preserve">Sum of PV(FCF Years 1-5)</t>
        </is>
      </c>
      <c r="B39" s="16">
        <f>SUM(C38:G38)</f>
        <v>-1205260295.0809765</v>
      </c>
    </row>
    <row r="40">
      <c r="A40" s="7" t="inlineStr">
        <is>
          <t xml:space="preserve">PV(Terminal Value) = TV / (1+WACC)^5</t>
        </is>
      </c>
      <c r="B40" s="16">
        <f>B34/(1+B21)^5</f>
        <v>-1148556522.3441927</v>
      </c>
    </row>
    <row r="41">
      <c r="A41" s="7" t="inlineStr">
        <is>
          <t xml:space="preserve">Enterprise Value = Sum PV(FCF) + PV(Terminal Value)</t>
        </is>
      </c>
      <c r="B41" s="16">
        <f>B39+B40</f>
        <v>-2353816817.425169</v>
      </c>
    </row>
    <row r="42">
      <c r="A42" s="7" t="inlineStr">
        <is>
          <t xml:space="preserve">Equity Value = Enterprise Value − Total Debt + Cash</t>
        </is>
      </c>
      <c r="B42" s="16">
        <f>B41-'Inputs_INTC'!$B$17+'Inputs_INTC'!$B$18</f>
        <v>-34673816817.42517</v>
      </c>
    </row>
    <row r="43">
      <c r="A43" s="7" t="inlineStr">
        <is>
          <t xml:space="preserve">Intrinsic Value per Share = Equity Value / Shares Outstanding</t>
        </is>
      </c>
      <c r="B43" s="19">
        <f>B42/'Inputs_INTC'!$B$22</f>
        <v>-6.55942609896238</v>
      </c>
    </row>
    <row r="44">
      <c r="A44" s="7" t="inlineStr">
        <is>
          <t xml:space="preserve">Current Price / Intrinsic Value (descriptive ratio, NOT a recommendation)</t>
        </is>
      </c>
      <c r="B44" s="20">
        <f>'Inputs_INTC'!$B$21/B43</f>
        <v>-15.874102159100671</v>
      </c>
    </row>
    <row r="46">
      <c r="A46" s="3" t="inlineStr">
        <is>
          <t xml:space="preserve">SECTION 6 — Validation Checks (local to this company)</t>
        </is>
      </c>
      <c r="B46" s="3"/>
      <c r="C46" s="3"/>
      <c r="D46" s="3"/>
      <c r="E46" s="3"/>
      <c r="F46" s="3"/>
      <c r="G46" s="3"/>
      <c r="H46" s="3"/>
    </row>
    <row r="47">
      <c r="A47" s="7" t="inlineStr">
        <is>
          <t xml:space="preserve">WACC within documented clamp [5%,20%]?</t>
        </is>
      </c>
      <c r="B47" s="22" t="str">
        <f>IF(AND(B21&gt;='Inputs_INTC'!$B$34,B21&lt;='Inputs_INTC'!$B$35),"PASS","FAIL")</f>
        <v>PASS</v>
      </c>
    </row>
    <row r="48">
      <c r="A48" s="7" t="inlineStr">
        <is>
          <t xml:space="preserve">Enterprise Value is a finite number?</t>
        </is>
      </c>
      <c r="B48" s="22" t="str">
        <f>IF(ISNUMBER(B41),"PASS","FAIL")</f>
        <v>PASS</v>
      </c>
    </row>
    <row r="49">
      <c r="A49" s="7" t="inlineStr">
        <is>
          <t xml:space="preserve">Intrinsic Value per Share is a finite number?</t>
        </is>
      </c>
      <c r="B49" s="22" t="str">
        <f>IF(ISNUMBER(B43),"PASS","FAIL")</f>
        <v>PASS</v>
      </c>
    </row>
    <row r="50">
      <c r="A50" s="7" t="inlineStr">
        <is>
          <t xml:space="preserve">Intrinsic Value per Share is positive?</t>
        </is>
      </c>
      <c r="B50" s="23" t="str">
        <f>IF(B43&gt;0,"PASS","FAIL")</f>
        <v>FAIL</v>
      </c>
      <c r="D50" s="25" t="inlineStr">
        <is>
          <t xml:space="preserve">Negative base-case IV is a legitimate model output here (structurally negative unlevered FCF under fixed A-004 percentages + near-100% latest-year effective tax rate) — see Research Outlook. Not a workbook defect.</t>
        </is>
      </c>
    </row>
    <row r="51">
      <c r="A51" s="7" t="inlineStr">
        <is>
          <t xml:space="preserve">Effective tax rate within valid [0,1) range?</t>
        </is>
      </c>
      <c r="B51" s="22" t="str">
        <f>IF(AND(B14&gt;=0,B14&lt;1),"PASS","FAIL")</f>
        <v>PASS</v>
      </c>
    </row>
    <row r="52">
      <c r="A52" s="7" t="inlineStr">
        <is>
          <t xml:space="preserve">Final WACC exceeds terminal growth rate?</t>
        </is>
      </c>
      <c r="B52" s="22" t="str">
        <f>IF(B21&gt;'Inputs_INTC'!$B$29,"PASS","FAIL")</f>
        <v>PASS</v>
      </c>
    </row>
  </sheetData>
  <mergeCells count="7">
    <mergeCell ref="A1:G1"/>
    <mergeCell ref="A4:H4"/>
    <mergeCell ref="A12:H12"/>
    <mergeCell ref="A23:H23"/>
    <mergeCell ref="A33:H33"/>
    <mergeCell ref="A37:H37"/>
    <mergeCell ref="A46:H46"/>
  </mergeCells>
</worksheet>
</file>

<file path=xl/worksheets/sheet12.xml><?xml version="1.0" encoding="utf-8"?>
<worksheet xmlns="http://schemas.openxmlformats.org/spreadsheetml/2006/main">
  <dimension ref="A1:P60"/>
  <sheetViews>
    <sheetView workbookViewId="0">
      <pane xSplit="1" ySplit="2" topLeftCell="B3" activePane="bottomRight" state="frozen"/>
      <selection pane="bottomRight" activeCell="B3" sqref="B3"/>
    </sheetView>
  </sheetViews>
  <sheetFormatPr defaultRowHeight="15"/>
  <cols>
    <col min="1" max="1" width="14"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s>
  <sheetData>
    <row r="1">
      <c r="A1" s="1" t="inlineStr">
        <is>
          <t xml:space="preserve">Sensitivity Analysis — INTC</t>
        </is>
      </c>
    </row>
    <row r="2">
      <c r="A2" s="2" t="inlineStr">
        <is>
          <t xml:space="preserve">One variable at a time, other inputs held at base case. Per docs/independent-validation-plan.md §Sensitivity tables.</t>
        </is>
      </c>
    </row>
    <row r="4">
      <c r="A4" s="3" t="inlineStr">
        <is>
          <t xml:space="preserve">TABLE 1 — WACC Sensitivity (range [5%,20%], base FCF path held fixed)  [dcf.md Terminal Value + discounting]</t>
        </is>
      </c>
      <c r="B4" s="3"/>
      <c r="C4" s="3"/>
      <c r="D4" s="3"/>
      <c r="E4" s="3"/>
    </row>
    <row r="5">
      <c r="A5" s="4" t="inlineStr">
        <is>
          <t xml:space="preserve">WACC</t>
        </is>
      </c>
      <c r="B5" s="4" t="inlineStr">
        <is>
          <t xml:space="preserve">Terminal Value</t>
        </is>
      </c>
      <c r="C5" s="4" t="inlineStr">
        <is>
          <t xml:space="preserve">Enterprise Value</t>
        </is>
      </c>
      <c r="D5" s="4" t="inlineStr">
        <is>
          <t xml:space="preserve">Equity Value</t>
        </is>
      </c>
      <c r="E5" s="4" t="inlineStr">
        <is>
          <t xml:space="preserve">Intrinsic Value/Share</t>
        </is>
      </c>
    </row>
    <row r="6">
      <c r="A6" s="12">
        <v>0.05</v>
      </c>
      <c r="B6" s="16">
        <f>IF($A$6&lt;='Inputs_INTC'!$B$29,"n/a (WACC&lt;=g)",'DCF_INTC'!$G$31*(1+'Inputs_INTC'!$B$29)/($A$6-'Inputs_INTC'!$B$29))</f>
        <v>-11628871261.906788</v>
      </c>
      <c r="C6" s="16">
        <f>IF(B6="n/a (WACC&lt;=g)","n/a",SUMPRODUCT('DCF_INTC'!$C$31:$G$31,1/(1+$A$6)^{1,2,3,4,5})+B6/(1+$A$6)^5)</f>
        <v>-10642626769.611946</v>
      </c>
      <c r="D6" s="16">
        <f>IF(C6="n/a","n/a",C6-'Inputs_INTC'!$B$17+'Inputs_INTC'!$B$18)</f>
        <v>-42962626769.611946</v>
      </c>
      <c r="E6" s="19">
        <f>IF(D6="n/a","n/a",D6/'Inputs_INTC'!$B$22)</f>
        <v>-8.127463347817827</v>
      </c>
    </row>
    <row r="7">
      <c r="A7" s="12">
        <v>0.075</v>
      </c>
      <c r="B7" s="16">
        <f>IF($A$7&lt;='Inputs_INTC'!$B$29,"n/a (WACC&lt;=g)",'DCF_INTC'!$G$31*(1+'Inputs_INTC'!$B$29)/($A$7-'Inputs_INTC'!$B$29))</f>
        <v>-5814435630.953395</v>
      </c>
      <c r="C7" s="16">
        <f>IF(B7="n/a (WACC&lt;=g)","n/a",SUMPRODUCT('DCF_INTC'!$C$31:$G$31,1/(1+$A$7)^{1,2,3,4,5})+B7/(1+$A$7)^5)</f>
        <v>-5487569733.877441</v>
      </c>
      <c r="D7" s="16">
        <f>IF(C7="n/a","n/a",C7-'Inputs_INTC'!$B$17+'Inputs_INTC'!$B$18)</f>
        <v>-37807569733.87744</v>
      </c>
      <c r="E7" s="19">
        <f>IF(D7="n/a","n/a",D7/'Inputs_INTC'!$B$22)</f>
        <v>-7.1522544217314605</v>
      </c>
    </row>
    <row r="8">
      <c r="A8" s="12">
        <v>0.1</v>
      </c>
      <c r="B8" s="16">
        <f>IF($A$8&lt;='Inputs_INTC'!$B$29,"n/a (WACC&lt;=g)",'DCF_INTC'!$G$31*(1+'Inputs_INTC'!$B$29)/($A$8-'Inputs_INTC'!$B$29))</f>
        <v>-3876290420.6355953</v>
      </c>
      <c r="C8" s="16">
        <f>IF(B8="n/a (WACC&lt;=g)","n/a",SUMPRODUCT('DCF_INTC'!$C$31:$G$31,1/(1+$A$8)^{1,2,3,4,5})+B8/(1+$A$8)^5)</f>
        <v>-3759794595.716423</v>
      </c>
      <c r="D8" s="16">
        <f>IF(C8="n/a","n/a",C8-'Inputs_INTC'!$B$17+'Inputs_INTC'!$B$18)</f>
        <v>-36079794595.71642</v>
      </c>
      <c r="E8" s="19">
        <f>IF(D8="n/a","n/a",D8/'Inputs_INTC'!$B$22)</f>
        <v>-6.825402221004131</v>
      </c>
    </row>
    <row r="9">
      <c r="A9" s="12">
        <v>0.125</v>
      </c>
      <c r="B9" s="16">
        <f>IF($A$9&lt;='Inputs_INTC'!$B$29,"n/a (WACC&lt;=g)",'DCF_INTC'!$G$31*(1+'Inputs_INTC'!$B$29)/($A$9-'Inputs_INTC'!$B$29))</f>
        <v>-2907217815.476697</v>
      </c>
      <c r="C9" s="16">
        <f>IF(B9="n/a (WACC&lt;=g)","n/a",SUMPRODUCT('DCF_INTC'!$C$31:$G$31,1/(1+$A$9)^{1,2,3,4,5})+B9/(1+$A$9)^5)</f>
        <v>-2889621382.3344574</v>
      </c>
      <c r="D9" s="16">
        <f>IF(C9="n/a","n/a",C9-'Inputs_INTC'!$B$17+'Inputs_INTC'!$B$18)</f>
        <v>-35209621382.33446</v>
      </c>
      <c r="E9" s="19">
        <f>IF(D9="n/a","n/a",D9/'Inputs_INTC'!$B$22)</f>
        <v>-6.660787032646581</v>
      </c>
    </row>
    <row r="10">
      <c r="A10" s="12">
        <v>0.15</v>
      </c>
      <c r="B10" s="16">
        <f>IF($A$10&lt;='Inputs_INTC'!$B$29,"n/a (WACC&lt;=g)",'DCF_INTC'!$G$31*(1+'Inputs_INTC'!$B$29)/($A$10-'Inputs_INTC'!$B$29))</f>
        <v>-2325774252.3813577</v>
      </c>
      <c r="C10" s="16">
        <f>IF(B10="n/a (WACC&lt;=g)","n/a",SUMPRODUCT('DCF_INTC'!$C$31:$G$31,1/(1+$A$10)^{1,2,3,4,5})+B10/(1+$A$10)^5)</f>
        <v>-2363031071.866188</v>
      </c>
      <c r="D10" s="16">
        <f>IF(C10="n/a","n/a",C10-'Inputs_INTC'!$B$17+'Inputs_INTC'!$B$18)</f>
        <v>-34683031071.86619</v>
      </c>
      <c r="E10" s="19">
        <f>IF(D10="n/a","n/a",D10/'Inputs_INTC'!$B$22)</f>
        <v>-6.56116920735397</v>
      </c>
    </row>
    <row r="11">
      <c r="A11" s="12">
        <v>0.175</v>
      </c>
      <c r="B11" s="16">
        <f>IF($A$11&lt;='Inputs_INTC'!$B$29,"n/a (WACC&lt;=g)",'DCF_INTC'!$G$31*(1+'Inputs_INTC'!$B$29)/($A$11-'Inputs_INTC'!$B$29))</f>
        <v>-1938145210.3177981</v>
      </c>
      <c r="C11" s="16">
        <f>IF(B11="n/a (WACC&lt;=g)","n/a",SUMPRODUCT('DCF_INTC'!$C$31:$G$31,1/(1+$A$11)^{1,2,3,4,5})+B11/(1+$A$11)^5)</f>
        <v>-2008625386.140976</v>
      </c>
      <c r="D11" s="16">
        <f>IF(C11="n/a","n/a",C11-'Inputs_INTC'!$B$17+'Inputs_INTC'!$B$18)</f>
        <v>-34328625386.140976</v>
      </c>
      <c r="E11" s="19">
        <f>IF(D11="n/a","n/a",D11/'Inputs_INTC'!$B$22)</f>
        <v>-6.494124442227381</v>
      </c>
    </row>
    <row r="12">
      <c r="A12" s="12">
        <v>0.2</v>
      </c>
      <c r="B12" s="16">
        <f>IF($A$12&lt;='Inputs_INTC'!$B$29,"n/a (WACC&lt;=g)",'DCF_INTC'!$G$31*(1+'Inputs_INTC'!$B$29)/($A$12-'Inputs_INTC'!$B$29))</f>
        <v>-1661267323.129541</v>
      </c>
      <c r="C12" s="16">
        <f>IF(B12="n/a (WACC&lt;=g)","n/a",SUMPRODUCT('DCF_INTC'!$C$31:$G$31,1/(1+$A$12)^{1,2,3,4,5})+B12/(1+$A$12)^5)</f>
        <v>-1752905203.1965637</v>
      </c>
      <c r="D12" s="16">
        <f>IF(C12="n/a","n/a",C12-'Inputs_INTC'!$B$17+'Inputs_INTC'!$B$18)</f>
        <v>-34072905203.196564</v>
      </c>
      <c r="E12" s="19">
        <f>IF(D12="n/a","n/a",D12/'Inputs_INTC'!$B$22)</f>
        <v>-6.44574852645009</v>
      </c>
    </row>
    <row r="13" ht="45" customHeight="1">
      <c r="A13" s="26" t="inlineStr">
        <is>
          <t xml:space="preserve">Direction check: IV decreases as WACC rises?</t>
        </is>
      </c>
      <c r="B13" s="23" t="str">
        <f>IF(E6&gt;E12,"PASS (as expected)","FAIL — investigate (see note)")</f>
        <v>FAIL — investigate (see note)</v>
      </c>
      <c r="F13" s="25" t="inlineStr">
        <is>
          <t xml:space="preserve">INVESTIGATED: base-case FCF is negative every year for this company, so higher WACC discounts a negative stream LESS, making IV rise (not fall) with WACC. This is mathematically correct DCF behavior for negative cash flows, not a workbook defect — see Research Outlook.</t>
        </is>
      </c>
    </row>
    <row r="16">
      <c r="A16" s="3" t="inlineStr">
        <is>
          <t xml:space="preserve">TABLE 2 — Terminal Growth Rate Sensitivity (range [0%,5%]); invalid where g&gt;=WACC</t>
        </is>
      </c>
      <c r="B16" s="3"/>
      <c r="C16" s="3"/>
      <c r="D16" s="3"/>
      <c r="E16" s="3"/>
    </row>
    <row r="17">
      <c r="A17" s="4" t="inlineStr">
        <is>
          <t xml:space="preserve">Terminal Growth g</t>
        </is>
      </c>
      <c r="B17" s="4" t="inlineStr">
        <is>
          <t xml:space="preserve">Terminal Value</t>
        </is>
      </c>
      <c r="C17" s="4" t="inlineStr">
        <is>
          <t xml:space="preserve">Enterprise Value</t>
        </is>
      </c>
      <c r="D17" s="4" t="inlineStr">
        <is>
          <t xml:space="preserve">Equity Value</t>
        </is>
      </c>
      <c r="E17" s="4" t="inlineStr">
        <is>
          <t xml:space="preserve">Intrinsic Value/Share</t>
        </is>
      </c>
    </row>
    <row r="18">
      <c r="A18" s="12">
        <v>0.0</v>
      </c>
      <c r="B18" s="16">
        <f>IF($A$18&gt;='DCF_INTC'!$B$21,"n/a (g&gt;=WACC)",'DCF_INTC'!$G$31*(1+$A$18)/('DCF_INTC'!$B$21-$A$18))</f>
        <v>-1884009978.6517518</v>
      </c>
      <c r="C18" s="16">
        <f>IF(B18="n/a (g&gt;=WACC)","n/a",'DCF_INTC'!$B$39+B18/(1+'DCF_INTC'!$B$21)^5)</f>
        <v>-2139723967.3629756</v>
      </c>
      <c r="D18" s="16">
        <f>IF(C18="n/a","n/a",C18-'Inputs_INTC'!$B$17+'Inputs_INTC'!$B$18)</f>
        <v>-34459723967.362976</v>
      </c>
      <c r="E18" s="19">
        <f>IF(D18="n/a","n/a",D18/'Inputs_INTC'!$B$22)</f>
        <v>-6.5189250420497915</v>
      </c>
    </row>
    <row r="19">
      <c r="A19" s="12">
        <v>0.01</v>
      </c>
      <c r="B19" s="16">
        <f>IF($A$19&gt;='DCF_INTC'!$B$21,"n/a (g&gt;=WACC)",'DCF_INTC'!$G$31*(1+$A$19)/('DCF_INTC'!$B$21-$A$19))</f>
        <v>-2038239491.226975</v>
      </c>
      <c r="C19" s="16">
        <f>IF(B19="n/a (g&gt;=WACC)","n/a",'DCF_INTC'!$B$39+B19/(1+'DCF_INTC'!$B$21)^5)</f>
        <v>-2216221373.602004</v>
      </c>
      <c r="D19" s="16">
        <f>IF(C19="n/a","n/a",C19-'Inputs_INTC'!$B$17+'Inputs_INTC'!$B$18)</f>
        <v>-34536221373.602005</v>
      </c>
      <c r="E19" s="19">
        <f>IF(D19="n/a","n/a",D19/'Inputs_INTC'!$B$22)</f>
        <v>-6.5333964538827995</v>
      </c>
    </row>
    <row r="20">
      <c r="A20" s="12">
        <v>0.02</v>
      </c>
      <c r="B20" s="16">
        <f>IF($A$20&gt;='DCF_INTC'!$B$21,"n/a (g&gt;=WACC)",'DCF_INTC'!$G$31*(1+$A$20)/('DCF_INTC'!$B$21-$A$20))</f>
        <v>-2216097301.2212787</v>
      </c>
      <c r="C20" s="16">
        <f>IF(B20="n/a (g&gt;=WACC)","n/a",'DCF_INTC'!$B$39+B20/(1+'DCF_INTC'!$B$21)^5)</f>
        <v>-2304438349.1778173</v>
      </c>
      <c r="D20" s="16">
        <f>IF(C20="n/a","n/a",C20-'Inputs_INTC'!$B$17+'Inputs_INTC'!$B$18)</f>
        <v>-34624438349.17782</v>
      </c>
      <c r="E20" s="19">
        <f>IF(D20="n/a","n/a",D20/'Inputs_INTC'!$B$22)</f>
        <v>-6.550084917544311</v>
      </c>
    </row>
    <row r="21">
      <c r="A21" s="12">
        <v>0.025</v>
      </c>
      <c r="B21" s="16">
        <f>IF($A$21&gt;='DCF_INTC'!$B$21,"n/a (g&gt;=WACC)",'DCF_INTC'!$G$31*(1+$A$21)/('DCF_INTC'!$B$21-$A$21))</f>
        <v>-2315651226.8237233</v>
      </c>
      <c r="C21" s="16">
        <f>IF(B21="n/a (g&gt;=WACC)","n/a",'DCF_INTC'!$B$39+B21/(1+'DCF_INTC'!$B$21)^5)</f>
        <v>-2353816817.425169</v>
      </c>
      <c r="D21" s="16">
        <f>IF(C21="n/a","n/a",C21-'Inputs_INTC'!$B$17+'Inputs_INTC'!$B$18)</f>
        <v>-34673816817.42517</v>
      </c>
      <c r="E21" s="19">
        <f>IF(D21="n/a","n/a",D21/'Inputs_INTC'!$B$22)</f>
        <v>-6.55942609896238</v>
      </c>
    </row>
    <row r="22">
      <c r="A22" s="12">
        <v>0.03</v>
      </c>
      <c r="B22" s="16">
        <f>IF($A$22&gt;='DCF_INTC'!$B$21,"n/a (g&gt;=WACC)",'DCF_INTC'!$G$31*(1+$A$22)/('DCF_INTC'!$B$21-$A$22))</f>
        <v>-2423463705.785587</v>
      </c>
      <c r="C22" s="16">
        <f>IF(B22="n/a (g&gt;=WACC)","n/a",'DCF_INTC'!$B$39+B22/(1+'DCF_INTC'!$B$21)^5)</f>
        <v>-2407291505.006509</v>
      </c>
      <c r="D22" s="16">
        <f>IF(C22="n/a","n/a",C22-'Inputs_INTC'!$B$17+'Inputs_INTC'!$B$18)</f>
        <v>-34727291505.00651</v>
      </c>
      <c r="E22" s="19">
        <f>IF(D22="n/a","n/a",D22/'Inputs_INTC'!$B$22)</f>
        <v>-6.569542183476578</v>
      </c>
    </row>
    <row r="23">
      <c r="A23" s="12">
        <v>0.04</v>
      </c>
      <c r="B23" s="16">
        <f>IF($A$23&gt;='DCF_INTC'!$B$21,"n/a (g&gt;=WACC)",'DCF_INTC'!$G$31*(1+$A$23)/('DCF_INTC'!$B$21-$A$23))</f>
        <v>-2668346722.089786</v>
      </c>
      <c r="C23" s="16">
        <f>IF(B23="n/a (g&gt;=WACC)","n/a",'DCF_INTC'!$B$39+B23/(1+'DCF_INTC'!$B$21)^5)</f>
        <v>-2528752795.173812</v>
      </c>
      <c r="D23" s="16">
        <f>IF(C23="n/a","n/a",C23-'Inputs_INTC'!$B$17+'Inputs_INTC'!$B$18)</f>
        <v>-34848752795.17381</v>
      </c>
      <c r="E23" s="19">
        <f>IF(D23="n/a","n/a",D23/'Inputs_INTC'!$B$22)</f>
        <v>-6.592519646873012</v>
      </c>
    </row>
    <row r="24">
      <c r="A24" s="12">
        <v>0.05</v>
      </c>
      <c r="B24" s="16">
        <f>IF($A$24&gt;='DCF_INTC'!$B$21,"n/a (g&gt;=WACC)",'DCF_INTC'!$G$31*(1+$A$24)/('DCF_INTC'!$B$21-$A$24))</f>
        <v>-2961940165.507011</v>
      </c>
      <c r="C24" s="16">
        <f>IF(B24="n/a (g&gt;=WACC)","n/a",'DCF_INTC'!$B$39+B24/(1+'DCF_INTC'!$B$21)^5)</f>
        <v>-2674374320.750821</v>
      </c>
      <c r="D24" s="16">
        <f>IF(C24="n/a","n/a",C24-'Inputs_INTC'!$B$17+'Inputs_INTC'!$B$18)</f>
        <v>-34994374320.750824</v>
      </c>
      <c r="E24" s="19">
        <f>IF(D24="n/a","n/a",D24/'Inputs_INTC'!$B$22)</f>
        <v>-6.620067627542984</v>
      </c>
    </row>
    <row r="25" ht="45" customHeight="1">
      <c r="A25" s="26" t="inlineStr">
        <is>
          <t xml:space="preserve">Direction check: IV increases as terminal growth rises (where valid)?</t>
        </is>
      </c>
      <c r="B25" s="23" t="str">
        <f>IF(E18&lt;E24,"PASS (as expected)","FAIL — investigate (see note)")</f>
        <v>FAIL — investigate (see note)</v>
      </c>
      <c r="F25" s="25" t="inlineStr">
        <is>
          <t xml:space="preserve">INVESTIGATED: base-case FCF is negative, so a higher terminal growth rate makes the (negative) terminal value MORE negative, not less — IV falls as g rises. Mathematically correct given negative FCF, not a defect. See Research Outlook.</t>
        </is>
      </c>
    </row>
    <row r="28">
      <c r="A28" s="3" t="inlineStr">
        <is>
          <t xml:space="preserve">TABLE 3 — Revenue Growth Sensitivity (range [-10%,40%]); base WACC &amp; margin held fixed</t>
        </is>
      </c>
      <c r="B28" s="3"/>
      <c r="C28" s="3"/>
      <c r="D28" s="3"/>
      <c r="E28" s="3"/>
      <c r="F28" s="3"/>
      <c r="G28" s="3"/>
      <c r="H28" s="3"/>
      <c r="I28" s="3"/>
      <c r="J28" s="3"/>
      <c r="K28" s="3"/>
      <c r="L28" s="3"/>
      <c r="M28" s="3"/>
      <c r="N28" s="3"/>
    </row>
    <row r="29">
      <c r="A29" s="4" t="inlineStr">
        <is>
          <t xml:space="preserve">Growth g</t>
        </is>
      </c>
      <c r="B29" s="4" t="inlineStr">
        <is>
          <t xml:space="preserve">Rev Y1</t>
        </is>
      </c>
      <c r="C29" s="4" t="inlineStr">
        <is>
          <t xml:space="preserve">Rev Y2</t>
        </is>
      </c>
      <c r="D29" s="4" t="inlineStr">
        <is>
          <t xml:space="preserve">Rev Y3</t>
        </is>
      </c>
      <c r="E29" s="4" t="inlineStr">
        <is>
          <t xml:space="preserve">Rev Y4</t>
        </is>
      </c>
      <c r="F29" s="4" t="inlineStr">
        <is>
          <t xml:space="preserve">Rev Y5</t>
        </is>
      </c>
      <c r="G29" s="4" t="inlineStr">
        <is>
          <t xml:space="preserve">FCF Y1</t>
        </is>
      </c>
      <c r="H29" s="4" t="inlineStr">
        <is>
          <t xml:space="preserve">FCF Y2</t>
        </is>
      </c>
      <c r="I29" s="4" t="inlineStr">
        <is>
          <t xml:space="preserve">FCF Y3</t>
        </is>
      </c>
      <c r="J29" s="4" t="inlineStr">
        <is>
          <t xml:space="preserve">FCF Y4</t>
        </is>
      </c>
      <c r="K29" s="4" t="inlineStr">
        <is>
          <t xml:space="preserve">FCF Y5</t>
        </is>
      </c>
      <c r="L29" s="4" t="inlineStr">
        <is>
          <t xml:space="preserve">Terminal Value</t>
        </is>
      </c>
      <c r="M29" s="4" t="inlineStr">
        <is>
          <t xml:space="preserve">Enterprise Value</t>
        </is>
      </c>
      <c r="N29" s="4" t="inlineStr">
        <is>
          <t xml:space="preserve">Equity Value</t>
        </is>
      </c>
      <c r="O29" s="4" t="inlineStr">
        <is>
          <t xml:space="preserve">Intrinsic Value/Share</t>
        </is>
      </c>
    </row>
    <row r="30">
      <c r="A30" s="12">
        <v>-0.1</v>
      </c>
      <c r="B30" s="16">
        <f>'DCF_INTC'!$B$25*(1+$A$30)</f>
        <v>47567700000.0</v>
      </c>
      <c r="C30" s="16">
        <f>B30*(1+$A$30)</f>
        <v>42810930000.0</v>
      </c>
      <c r="D30" s="16">
        <f>C30*(1+$A$30)</f>
        <v>38529837000.0</v>
      </c>
      <c r="E30" s="16">
        <f>D30*(1+$A$30)</f>
        <v>34676853300.0</v>
      </c>
      <c r="F30" s="16">
        <f>E30*(1+$A$30)</f>
        <v>31209167970.0</v>
      </c>
      <c r="G30" s="16">
        <f>B30*'DCF_INTC'!$B$10*(1-'DCF_INTC'!$B$14)+B30*'Inputs_INTC'!$B$31-B30*'Inputs_INTC'!$B$32-'Inputs_INTC'!$B$33*(B30-'DCF_INTC'!$B$25)</f>
        <v>-419150375.9960079</v>
      </c>
      <c r="H30" s="16">
        <f>C30*'DCF_INTC'!$B$10*(1-'DCF_INTC'!$B$14)+C30*'Inputs_INTC'!$B$31-C30*'Inputs_INTC'!$B$32-'Inputs_INTC'!$B$33*(C30-B30)</f>
        <v>-377235338.3964071</v>
      </c>
      <c r="I30" s="16">
        <f>D30*'DCF_INTC'!$B$10*(1-'DCF_INTC'!$B$14)+D30*'Inputs_INTC'!$B$31-D30*'Inputs_INTC'!$B$32-'Inputs_INTC'!$B$33*(D30-C30)</f>
        <v>-339511804.5567665</v>
      </c>
      <c r="J30" s="16">
        <f>E30*'DCF_INTC'!$B$10*(1-'DCF_INTC'!$B$14)+E30*'Inputs_INTC'!$B$31-E30*'Inputs_INTC'!$B$32-'Inputs_INTC'!$B$33*(E30-D30)</f>
        <v>-305560624.10108984</v>
      </c>
      <c r="K30" s="16">
        <f>F30*'DCF_INTC'!$B$10*(1-'DCF_INTC'!$B$14)+F30*'Inputs_INTC'!$B$31-F30*'Inputs_INTC'!$B$32-'Inputs_INTC'!$B$33*(F30-E30)</f>
        <v>-275004561.69098073</v>
      </c>
      <c r="L30" s="16">
        <f>K30*(1+'Inputs_INTC'!$B$29)/('DCF_INTC'!$B$21-'Inputs_INTC'!$B$29)</f>
        <v>-2245222265.265173</v>
      </c>
      <c r="M30" s="16">
        <f>SUMPRODUCT(G30:K30,1/(1+'DCF_INTC'!$B$21)^{1,2,3,4,5})+L30/(1+'DCF_INTC'!$B$21)^5</f>
        <v>-2296594368.871166</v>
      </c>
      <c r="N30" s="16">
        <f>M30-'Inputs_INTC'!$B$17+'Inputs_INTC'!$B$18</f>
        <v>-34616594368.87117</v>
      </c>
      <c r="O30" s="19">
        <f>N30/'Inputs_INTC'!$B$22</f>
        <v>-6.54860103103092</v>
      </c>
    </row>
    <row r="31">
      <c r="A31" s="12">
        <v>-0.05</v>
      </c>
      <c r="B31" s="16">
        <f>'DCF_INTC'!$B$25*(1+$A$31)</f>
        <v>50210350000.0</v>
      </c>
      <c r="C31" s="16">
        <f>B31*(1+$A$31)</f>
        <v>47699832500.0</v>
      </c>
      <c r="D31" s="16">
        <f>C31*(1+$A$31)</f>
        <v>45314840875.0</v>
      </c>
      <c r="E31" s="16">
        <f>D31*(1+$A$31)</f>
        <v>43049098831.25</v>
      </c>
      <c r="F31" s="16">
        <f>E31*(1+$A$31)</f>
        <v>40896643889.6875</v>
      </c>
      <c r="G31" s="16">
        <f>B31*'DCF_INTC'!$B$10*(1-'DCF_INTC'!$B$14)+B31*'Inputs_INTC'!$B$31-B31*'Inputs_INTC'!$B$32-'Inputs_INTC'!$B$33*(B31-'DCF_INTC'!$B$25)</f>
        <v>-471799285.77356386</v>
      </c>
      <c r="H31" s="16">
        <f>C31*'DCF_INTC'!$B$10*(1-'DCF_INTC'!$B$14)+C31*'Inputs_INTC'!$B$31-C31*'Inputs_INTC'!$B$32-'Inputs_INTC'!$B$33*(C31-B31)</f>
        <v>-448209321.4848857</v>
      </c>
      <c r="I31" s="16">
        <f>D31*'DCF_INTC'!$B$10*(1-'DCF_INTC'!$B$14)+D31*'Inputs_INTC'!$B$31-D31*'Inputs_INTC'!$B$32-'Inputs_INTC'!$B$33*(D31-C31)</f>
        <v>-425798855.41064143</v>
      </c>
      <c r="J31" s="16">
        <f>E31*'DCF_INTC'!$B$10*(1-'DCF_INTC'!$B$14)+E31*'Inputs_INTC'!$B$31-E31*'Inputs_INTC'!$B$32-'Inputs_INTC'!$B$33*(E31-D31)</f>
        <v>-404508912.6401093</v>
      </c>
      <c r="K31" s="16">
        <f>F31*'DCF_INTC'!$B$10*(1-'DCF_INTC'!$B$14)+F31*'Inputs_INTC'!$B$31-F31*'Inputs_INTC'!$B$32-'Inputs_INTC'!$B$33*(F31-E31)</f>
        <v>-384283467.0081042</v>
      </c>
      <c r="L31" s="16">
        <f>K31*(1+'Inputs_INTC'!$B$29)/('DCF_INTC'!$B$21-'Inputs_INTC'!$B$29)</f>
        <v>-3137409034.2159843</v>
      </c>
      <c r="M31" s="16">
        <f>SUMPRODUCT(G31:K31,1/(1+'DCF_INTC'!$B$21)^{1,2,3,4,5})+L31/(1+'DCF_INTC'!$B$21)^5</f>
        <v>-3005814958.1921806</v>
      </c>
      <c r="N31" s="16">
        <f>M31-'Inputs_INTC'!$B$17+'Inputs_INTC'!$B$18</f>
        <v>-35325814958.192184</v>
      </c>
      <c r="O31" s="19">
        <f>N31/'Inputs_INTC'!$B$22</f>
        <v>-6.682767975155048</v>
      </c>
    </row>
    <row r="32">
      <c r="A32" s="12">
        <v>0.0</v>
      </c>
      <c r="B32" s="16">
        <f>'DCF_INTC'!$B$25*(1+$A$32)</f>
        <v>52853000000.0</v>
      </c>
      <c r="C32" s="16">
        <f>B32*(1+$A$32)</f>
        <v>52853000000.0</v>
      </c>
      <c r="D32" s="16">
        <f>C32*(1+$A$32)</f>
        <v>52853000000.0</v>
      </c>
      <c r="E32" s="16">
        <f>D32*(1+$A$32)</f>
        <v>52853000000.0</v>
      </c>
      <c r="F32" s="16">
        <f>E32*(1+$A$32)</f>
        <v>52853000000.0</v>
      </c>
      <c r="G32" s="16">
        <f>B32*'DCF_INTC'!$B$10*(1-'DCF_INTC'!$B$14)+B32*'Inputs_INTC'!$B$31-B32*'Inputs_INTC'!$B$32-'Inputs_INTC'!$B$33*(B32-'DCF_INTC'!$B$25)</f>
        <v>-524448195.55112004</v>
      </c>
      <c r="H32" s="16">
        <f>C32*'DCF_INTC'!$B$10*(1-'DCF_INTC'!$B$14)+C32*'Inputs_INTC'!$B$31-C32*'Inputs_INTC'!$B$32-'Inputs_INTC'!$B$33*(C32-B32)</f>
        <v>-524448195.55112004</v>
      </c>
      <c r="I32" s="16">
        <f>D32*'DCF_INTC'!$B$10*(1-'DCF_INTC'!$B$14)+D32*'Inputs_INTC'!$B$31-D32*'Inputs_INTC'!$B$32-'Inputs_INTC'!$B$33*(D32-C32)</f>
        <v>-524448195.55112004</v>
      </c>
      <c r="J32" s="16">
        <f>E32*'DCF_INTC'!$B$10*(1-'DCF_INTC'!$B$14)+E32*'Inputs_INTC'!$B$31-E32*'Inputs_INTC'!$B$32-'Inputs_INTC'!$B$33*(E32-D32)</f>
        <v>-524448195.55112004</v>
      </c>
      <c r="K32" s="16">
        <f>F32*'DCF_INTC'!$B$10*(1-'DCF_INTC'!$B$14)+F32*'Inputs_INTC'!$B$31-F32*'Inputs_INTC'!$B$32-'Inputs_INTC'!$B$33*(F32-E32)</f>
        <v>-524448195.55112004</v>
      </c>
      <c r="L32" s="16">
        <f>K32*(1+'Inputs_INTC'!$B$29)/('DCF_INTC'!$B$21-'Inputs_INTC'!$B$29)</f>
        <v>-4281757213.0045743</v>
      </c>
      <c r="M32" s="16">
        <f>SUMPRODUCT(G32:K32,1/(1+'DCF_INTC'!$B$21)^{1,2,3,4,5})+L32/(1+'DCF_INTC'!$B$21)^5</f>
        <v>-3879499130.2699747</v>
      </c>
      <c r="N32" s="16">
        <f>M32-'Inputs_INTC'!$B$17+'Inputs_INTC'!$B$18</f>
        <v>-36199499130.26997</v>
      </c>
      <c r="O32" s="19">
        <f>N32/'Inputs_INTC'!$B$22</f>
        <v>-6.848047349812682</v>
      </c>
    </row>
    <row r="33">
      <c r="A33" s="12">
        <v>0.05</v>
      </c>
      <c r="B33" s="16">
        <f>'DCF_INTC'!$B$25*(1+$A$33)</f>
        <v>55495650000.0</v>
      </c>
      <c r="C33" s="16">
        <f>B33*(1+$A$33)</f>
        <v>58270432500.0</v>
      </c>
      <c r="D33" s="16">
        <f>C33*(1+$A$33)</f>
        <v>61183954125.0</v>
      </c>
      <c r="E33" s="16">
        <f>D33*(1+$A$33)</f>
        <v>64243151831.25</v>
      </c>
      <c r="F33" s="16">
        <f>E33*(1+$A$33)</f>
        <v>67455309422.8125</v>
      </c>
      <c r="G33" s="16">
        <f>B33*'DCF_INTC'!$B$10*(1-'DCF_INTC'!$B$14)+B33*'Inputs_INTC'!$B$31-B33*'Inputs_INTC'!$B$32-'Inputs_INTC'!$B$33*(B33-'DCF_INTC'!$B$25)</f>
        <v>-577097105.328676</v>
      </c>
      <c r="H33" s="16">
        <f>C33*'DCF_INTC'!$B$10*(1-'DCF_INTC'!$B$14)+C33*'Inputs_INTC'!$B$31-C33*'Inputs_INTC'!$B$32-'Inputs_INTC'!$B$33*(C33-B33)</f>
        <v>-605951960.5951097</v>
      </c>
      <c r="I33" s="16">
        <f>D33*'DCF_INTC'!$B$10*(1-'DCF_INTC'!$B$14)+D33*'Inputs_INTC'!$B$31-D33*'Inputs_INTC'!$B$32-'Inputs_INTC'!$B$33*(D33-C33)</f>
        <v>-636249558.6248653</v>
      </c>
      <c r="J33" s="16">
        <f>E33*'DCF_INTC'!$B$10*(1-'DCF_INTC'!$B$14)+E33*'Inputs_INTC'!$B$31-E33*'Inputs_INTC'!$B$32-'Inputs_INTC'!$B$33*(E33-D33)</f>
        <v>-668062036.5561085</v>
      </c>
      <c r="K33" s="16">
        <f>F33*'DCF_INTC'!$B$10*(1-'DCF_INTC'!$B$14)+F33*'Inputs_INTC'!$B$31-F33*'Inputs_INTC'!$B$32-'Inputs_INTC'!$B$33*(F33-E33)</f>
        <v>-701465138.3839139</v>
      </c>
      <c r="L33" s="16">
        <f>K33*(1+'Inputs_INTC'!$B$29)/('DCF_INTC'!$B$21-'Inputs_INTC'!$B$29)</f>
        <v>-5726978262.915602</v>
      </c>
      <c r="M33" s="16">
        <f>SUMPRODUCT(G33:K33,1/(1+'DCF_INTC'!$B$21)^{1,2,3,4,5})+L33/(1+'DCF_INTC'!$B$21)^5</f>
        <v>-4946816893.340665</v>
      </c>
      <c r="N33" s="16">
        <f>M33-'Inputs_INTC'!$B$17+'Inputs_INTC'!$B$18</f>
        <v>-37266816893.34067</v>
      </c>
      <c r="O33" s="19">
        <f>N33/'Inputs_INTC'!$B$22</f>
        <v>-7.049957397034646</v>
      </c>
    </row>
    <row r="34">
      <c r="A34" s="12">
        <v>0.1</v>
      </c>
      <c r="B34" s="16">
        <f>'DCF_INTC'!$B$25*(1+$A$34)</f>
        <v>58138300000.00001</v>
      </c>
      <c r="C34" s="16">
        <f>B34*(1+$A$34)</f>
        <v>63952130000.000015</v>
      </c>
      <c r="D34" s="16">
        <f>C34*(1+$A$34)</f>
        <v>70347343000.00002</v>
      </c>
      <c r="E34" s="16">
        <f>D34*(1+$A$34)</f>
        <v>77382077300.00003</v>
      </c>
      <c r="F34" s="16">
        <f>E34*(1+$A$34)</f>
        <v>85120285030.00005</v>
      </c>
      <c r="G34" s="16">
        <f>B34*'DCF_INTC'!$B$10*(1-'DCF_INTC'!$B$14)+B34*'Inputs_INTC'!$B$31-B34*'Inputs_INTC'!$B$32-'Inputs_INTC'!$B$33*(B34-'DCF_INTC'!$B$25)</f>
        <v>-629746015.1062323</v>
      </c>
      <c r="H34" s="16">
        <f>C34*'DCF_INTC'!$B$10*(1-'DCF_INTC'!$B$14)+C34*'Inputs_INTC'!$B$31-C34*'Inputs_INTC'!$B$32-'Inputs_INTC'!$B$33*(C34-B34)</f>
        <v>-692720616.6168553</v>
      </c>
      <c r="I34" s="16">
        <f>D34*'DCF_INTC'!$B$10*(1-'DCF_INTC'!$B$14)+D34*'Inputs_INTC'!$B$31-D34*'Inputs_INTC'!$B$32-'Inputs_INTC'!$B$33*(D34-C34)</f>
        <v>-761992678.2785406</v>
      </c>
      <c r="J34" s="16">
        <f>E34*'DCF_INTC'!$B$10*(1-'DCF_INTC'!$B$14)+E34*'Inputs_INTC'!$B$31-E34*'Inputs_INTC'!$B$32-'Inputs_INTC'!$B$33*(E34-D34)</f>
        <v>-838191946.1063954</v>
      </c>
      <c r="K34" s="16">
        <f>F34*'DCF_INTC'!$B$10*(1-'DCF_INTC'!$B$14)+F34*'Inputs_INTC'!$B$31-F34*'Inputs_INTC'!$B$32-'Inputs_INTC'!$B$33*(F34-E34)</f>
        <v>-922011140.7170348</v>
      </c>
      <c r="L34" s="16">
        <f>K34*(1+'Inputs_INTC'!$B$29)/('DCF_INTC'!$B$21-'Inputs_INTC'!$B$29)</f>
        <v>-7527584012.539383</v>
      </c>
      <c r="M34" s="16">
        <f>SUMPRODUCT(G34:K34,1/(1+'DCF_INTC'!$B$21)^{1,2,3,4,5})+L34/(1+'DCF_INTC'!$B$21)^5</f>
        <v>-6240257739.958687</v>
      </c>
      <c r="N34" s="16">
        <f>M34-'Inputs_INTC'!$B$17+'Inputs_INTC'!$B$18</f>
        <v>-38560257739.95869</v>
      </c>
      <c r="O34" s="19">
        <f>N34/'Inputs_INTC'!$B$22</f>
        <v>-7.294644322948915</v>
      </c>
    </row>
    <row r="35">
      <c r="A35" s="12">
        <v>0.2</v>
      </c>
      <c r="B35" s="16">
        <f>'DCF_INTC'!$B$25*(1+$A$35)</f>
        <v>63423600000.0</v>
      </c>
      <c r="C35" s="16">
        <f>B35*(1+$A$35)</f>
        <v>76108320000.0</v>
      </c>
      <c r="D35" s="16">
        <f>C35*(1+$A$35)</f>
        <v>91329984000.0</v>
      </c>
      <c r="E35" s="16">
        <f>D35*(1+$A$35)</f>
        <v>109595980800.0</v>
      </c>
      <c r="F35" s="16">
        <f>E35*(1+$A$35)</f>
        <v>131515176960.0</v>
      </c>
      <c r="G35" s="16">
        <f>B35*'DCF_INTC'!$B$10*(1-'DCF_INTC'!$B$14)+B35*'Inputs_INTC'!$B$31-B35*'Inputs_INTC'!$B$32-'Inputs_INTC'!$B$33*(B35-'DCF_INTC'!$B$25)</f>
        <v>-735043834.661344</v>
      </c>
      <c r="H35" s="16">
        <f>C35*'DCF_INTC'!$B$10*(1-'DCF_INTC'!$B$14)+C35*'Inputs_INTC'!$B$31-C35*'Inputs_INTC'!$B$32-'Inputs_INTC'!$B$33*(C35-B35)</f>
        <v>-882052601.5936127</v>
      </c>
      <c r="I35" s="16">
        <f>D35*'DCF_INTC'!$B$10*(1-'DCF_INTC'!$B$14)+D35*'Inputs_INTC'!$B$31-D35*'Inputs_INTC'!$B$32-'Inputs_INTC'!$B$33*(D35-C35)</f>
        <v>-1058463121.9123354</v>
      </c>
      <c r="J35" s="16">
        <f>E35*'DCF_INTC'!$B$10*(1-'DCF_INTC'!$B$14)+E35*'Inputs_INTC'!$B$31-E35*'Inputs_INTC'!$B$32-'Inputs_INTC'!$B$33*(E35-D35)</f>
        <v>-1270155746.2948022</v>
      </c>
      <c r="K35" s="16">
        <f>F35*'DCF_INTC'!$B$10*(1-'DCF_INTC'!$B$14)+F35*'Inputs_INTC'!$B$31-F35*'Inputs_INTC'!$B$32-'Inputs_INTC'!$B$33*(F35-E35)</f>
        <v>-1524186895.5537634</v>
      </c>
      <c r="L35" s="16">
        <f>K35*(1+'Inputs_INTC'!$B$29)/('DCF_INTC'!$B$21-'Inputs_INTC'!$B$29)</f>
        <v>-12443933050.71109</v>
      </c>
      <c r="M35" s="16">
        <f>SUMPRODUCT(G35:K35,1/(1+'DCF_INTC'!$B$21)^{1,2,3,4,5})+L35/(1+'DCF_INTC'!$B$21)^5</f>
        <v>-9653140989.223644</v>
      </c>
      <c r="N35" s="16">
        <f>M35-'Inputs_INTC'!$B$17+'Inputs_INTC'!$B$18</f>
        <v>-41973140989.22365</v>
      </c>
      <c r="O35" s="19">
        <f>N35/'Inputs_INTC'!$B$22</f>
        <v>-7.940277181189368</v>
      </c>
    </row>
    <row r="36">
      <c r="A36" s="12">
        <v>0.3</v>
      </c>
      <c r="B36" s="16">
        <f>'DCF_INTC'!$B$25*(1+$A$36)</f>
        <v>68708900000.0</v>
      </c>
      <c r="C36" s="16">
        <f>B36*(1+$A$36)</f>
        <v>89321570000.0</v>
      </c>
      <c r="D36" s="16">
        <f>C36*(1+$A$36)</f>
        <v>116118041000.0</v>
      </c>
      <c r="E36" s="16">
        <f>D36*(1+$A$36)</f>
        <v>150953453300.0</v>
      </c>
      <c r="F36" s="16">
        <f>E36*(1+$A$36)</f>
        <v>196239489290.0</v>
      </c>
      <c r="G36" s="16">
        <f>B36*'DCF_INTC'!$B$10*(1-'DCF_INTC'!$B$14)+B36*'Inputs_INTC'!$B$31-B36*'Inputs_INTC'!$B$32-'Inputs_INTC'!$B$33*(B36-'DCF_INTC'!$B$25)</f>
        <v>-840341654.2164559</v>
      </c>
      <c r="H36" s="16">
        <f>C36*'DCF_INTC'!$B$10*(1-'DCF_INTC'!$B$14)+C36*'Inputs_INTC'!$B$31-C36*'Inputs_INTC'!$B$32-'Inputs_INTC'!$B$33*(C36-B36)</f>
        <v>-1092444150.4813929</v>
      </c>
      <c r="I36" s="16">
        <f>D36*'DCF_INTC'!$B$10*(1-'DCF_INTC'!$B$14)+D36*'Inputs_INTC'!$B$31-D36*'Inputs_INTC'!$B$32-'Inputs_INTC'!$B$33*(D36-C36)</f>
        <v>-1420177395.6258106</v>
      </c>
      <c r="J36" s="16">
        <f>E36*'DCF_INTC'!$B$10*(1-'DCF_INTC'!$B$14)+E36*'Inputs_INTC'!$B$31-E36*'Inputs_INTC'!$B$32-'Inputs_INTC'!$B$33*(E36-D36)</f>
        <v>-1846230614.3135538</v>
      </c>
      <c r="K36" s="16">
        <f>F36*'DCF_INTC'!$B$10*(1-'DCF_INTC'!$B$14)+F36*'Inputs_INTC'!$B$31-F36*'Inputs_INTC'!$B$32-'Inputs_INTC'!$B$33*(F36-E36)</f>
        <v>-2400099798.6076207</v>
      </c>
      <c r="L36" s="16">
        <f>K36*(1+'Inputs_INTC'!$B$29)/('DCF_INTC'!$B$21-'Inputs_INTC'!$B$29)</f>
        <v>-19595156798.6991</v>
      </c>
      <c r="M36" s="16">
        <f>SUMPRODUCT(G36:K36,1/(1+'DCF_INTC'!$B$21)^{1,2,3,4,5})+L36/(1+'DCF_INTC'!$B$21)^5</f>
        <v>-14451274957.52506</v>
      </c>
      <c r="N36" s="16">
        <f>M36-'Inputs_INTC'!$B$17+'Inputs_INTC'!$B$18</f>
        <v>-46771274957.52506</v>
      </c>
      <c r="O36" s="19">
        <f>N36/'Inputs_INTC'!$B$22</f>
        <v>-8.847965115970682</v>
      </c>
    </row>
    <row r="37">
      <c r="A37" s="12">
        <v>0.4</v>
      </c>
      <c r="B37" s="16">
        <f>'DCF_INTC'!$B$25*(1+$A$37)</f>
        <v>73994200000.0</v>
      </c>
      <c r="C37" s="16">
        <f>B37*(1+$A$37)</f>
        <v>103591880000.0</v>
      </c>
      <c r="D37" s="16">
        <f>C37*(1+$A$37)</f>
        <v>145028632000.0</v>
      </c>
      <c r="E37" s="16">
        <f>D37*(1+$A$37)</f>
        <v>203040084800.0</v>
      </c>
      <c r="F37" s="16">
        <f>E37*(1+$A$37)</f>
        <v>284256118720.0</v>
      </c>
      <c r="G37" s="16">
        <f>B37*'DCF_INTC'!$B$10*(1-'DCF_INTC'!$B$14)+B37*'Inputs_INTC'!$B$31-B37*'Inputs_INTC'!$B$32-'Inputs_INTC'!$B$33*(B37-'DCF_INTC'!$B$25)</f>
        <v>-945639473.7715678</v>
      </c>
      <c r="H37" s="16">
        <f>C37*'DCF_INTC'!$B$10*(1-'DCF_INTC'!$B$14)+C37*'Inputs_INTC'!$B$31-C37*'Inputs_INTC'!$B$32-'Inputs_INTC'!$B$33*(C37-B37)</f>
        <v>-1323895263.2801952</v>
      </c>
      <c r="I37" s="16">
        <f>D37*'DCF_INTC'!$B$10*(1-'DCF_INTC'!$B$14)+D37*'Inputs_INTC'!$B$31-D37*'Inputs_INTC'!$B$32-'Inputs_INTC'!$B$33*(D37-C37)</f>
        <v>-1853453368.5922728</v>
      </c>
      <c r="J37" s="16">
        <f>E37*'DCF_INTC'!$B$10*(1-'DCF_INTC'!$B$14)+E37*'Inputs_INTC'!$B$31-E37*'Inputs_INTC'!$B$32-'Inputs_INTC'!$B$33*(E37-D37)</f>
        <v>-2594834716.0291824</v>
      </c>
      <c r="K37" s="16">
        <f>F37*'DCF_INTC'!$B$10*(1-'DCF_INTC'!$B$14)+F37*'Inputs_INTC'!$B$31-F37*'Inputs_INTC'!$B$32-'Inputs_INTC'!$B$33*(F37-E37)</f>
        <v>-3632768602.440857</v>
      </c>
      <c r="L37" s="16">
        <f>K37*(1+'Inputs_INTC'!$B$29)/('DCF_INTC'!$B$21-'Inputs_INTC'!$B$29)</f>
        <v>-29659046019.46812</v>
      </c>
      <c r="M37" s="16">
        <f>SUMPRODUCT(G37:K37,1/(1+'DCF_INTC'!$B$21)^{1,2,3,4,5})+L37/(1+'DCF_INTC'!$B$21)^5</f>
        <v>-21032384551.57782</v>
      </c>
      <c r="N37" s="16">
        <f>M37-'Inputs_INTC'!$B$17+'Inputs_INTC'!$B$18</f>
        <v>-53352384551.57782</v>
      </c>
      <c r="O37" s="19">
        <f>N37/'Inputs_INTC'!$B$22</f>
        <v>-10.092947814548802</v>
      </c>
    </row>
    <row r="38" ht="45" customHeight="1">
      <c r="A38" s="26" t="inlineStr">
        <is>
          <t xml:space="preserve">Direction check: IV increases as revenue growth rises?</t>
        </is>
      </c>
      <c r="B38" s="23" t="str">
        <f>IF(O30&lt;O37,"PASS (as expected)","FAIL — investigate (see note)")</f>
        <v>FAIL — investigate (see note)</v>
      </c>
      <c r="P38" s="25" t="inlineStr">
        <is>
          <t xml:space="preserve">INVESTIGATED: this company's unit economics (margin*(1-tax)+D&amp;A%-CapEx%) are structurally negative per dollar of revenue, so growing revenue faster only compounds losses — IV falls as growth rises. Mathematically correct, not a defect. See Research Outlook.</t>
        </is>
      </c>
    </row>
    <row r="41">
      <c r="A41" s="3" t="inlineStr">
        <is>
          <t xml:space="preserve">TABLE 4 — Operating Margin Sensitivity (range [0%,60%]); base revenue path &amp; WACC held fixed</t>
        </is>
      </c>
      <c r="B41" s="3"/>
      <c r="C41" s="3"/>
      <c r="D41" s="3"/>
      <c r="E41" s="3"/>
      <c r="F41" s="3"/>
      <c r="G41" s="3"/>
      <c r="H41" s="3"/>
      <c r="I41" s="3"/>
      <c r="J41" s="3"/>
    </row>
    <row r="42">
      <c r="A42" s="4" t="inlineStr">
        <is>
          <t xml:space="preserve">Margin</t>
        </is>
      </c>
      <c r="B42" s="4" t="inlineStr">
        <is>
          <t xml:space="preserve">FCF Y1</t>
        </is>
      </c>
      <c r="C42" s="4" t="inlineStr">
        <is>
          <t xml:space="preserve">FCF Y2</t>
        </is>
      </c>
      <c r="D42" s="4" t="inlineStr">
        <is>
          <t xml:space="preserve">FCF Y3</t>
        </is>
      </c>
      <c r="E42" s="4" t="inlineStr">
        <is>
          <t xml:space="preserve">FCF Y4</t>
        </is>
      </c>
      <c r="F42" s="4" t="inlineStr">
        <is>
          <t xml:space="preserve">FCF Y5</t>
        </is>
      </c>
      <c r="G42" s="4" t="inlineStr">
        <is>
          <t xml:space="preserve">Terminal Value</t>
        </is>
      </c>
      <c r="H42" s="4" t="inlineStr">
        <is>
          <t xml:space="preserve">Enterprise Value</t>
        </is>
      </c>
      <c r="I42" s="4" t="inlineStr">
        <is>
          <t xml:space="preserve">Equity Value</t>
        </is>
      </c>
      <c r="J42" s="4" t="inlineStr">
        <is>
          <t xml:space="preserve">Intrinsic Value/Share</t>
        </is>
      </c>
    </row>
    <row r="43">
      <c r="A43" s="12">
        <v>0.0</v>
      </c>
      <c r="B43" s="16">
        <f>'DCF_INTC'!$C$25*$A$43*(1-'DCF_INTC'!$B$14)+'DCF_INTC'!$C$28-'DCF_INTC'!$C$29-'DCF_INTC'!$C$30</f>
        <v>-427534076.5538749</v>
      </c>
      <c r="C43" s="16">
        <f>'DCF_INTC'!$D$25*$A$43*(1-'DCF_INTC'!$B$14)+'DCF_INTC'!$D$28-'DCF_INTC'!$D$29-'DCF_INTC'!$D$30</f>
        <v>-386685686.8066088</v>
      </c>
      <c r="D43" s="16">
        <f>'DCF_INTC'!$E$25*$A$43*(1-'DCF_INTC'!$B$14)+'DCF_INTC'!$E$28-'DCF_INTC'!$E$29-'DCF_INTC'!$E$30</f>
        <v>-349740122.6736055</v>
      </c>
      <c r="E43" s="16">
        <f>'DCF_INTC'!$F$25*$A$43*(1-'DCF_INTC'!$B$14)+'DCF_INTC'!$F$28-'DCF_INTC'!$F$29-'DCF_INTC'!$F$30</f>
        <v>-316324491.90942764</v>
      </c>
      <c r="F43" s="16">
        <f>'DCF_INTC'!$G$25*$A$43*(1-'DCF_INTC'!$B$14)+'DCF_INTC'!$G$28-'DCF_INTC'!$G$29-'DCF_INTC'!$G$30</f>
        <v>-286101529.9498236</v>
      </c>
      <c r="G43" s="16">
        <f>F43*(1+'Inputs_INTC'!$B$29)/('DCF_INTC'!$B$21-'Inputs_INTC'!$B$29)</f>
        <v>-2335821344.9985914</v>
      </c>
      <c r="H43" s="16">
        <f>SUMPRODUCT(B43:F43,1/(1+'DCF_INTC'!$B$21)^{1,2,3,4,5})+G43/(1+'DCF_INTC'!$B$21)^5</f>
        <v>-2374319371.013336</v>
      </c>
      <c r="I43" s="16">
        <f>H43-'Inputs_INTC'!$B$17+'Inputs_INTC'!$B$18</f>
        <v>-34694319371.013336</v>
      </c>
      <c r="J43" s="19">
        <f>I43/'Inputs_INTC'!$B$22</f>
        <v>-6.56330467355974</v>
      </c>
    </row>
    <row r="44">
      <c r="A44" s="12">
        <v>0.1</v>
      </c>
      <c r="B44" s="16">
        <f>'DCF_INTC'!$C$25*$A$44*(1-'DCF_INTC'!$B$14)+'DCF_INTC'!$C$28-'DCF_INTC'!$C$29-'DCF_INTC'!$C$30</f>
        <v>-347708559.56479114</v>
      </c>
      <c r="C44" s="16">
        <f>'DCF_INTC'!$D$25*$A$44*(1-'DCF_INTC'!$B$14)+'DCF_INTC'!$D$28-'DCF_INTC'!$D$29-'DCF_INTC'!$D$30</f>
        <v>-314487032.8176166</v>
      </c>
      <c r="D44" s="16">
        <f>'DCF_INTC'!$E$25*$A$44*(1-'DCF_INTC'!$B$14)+'DCF_INTC'!$E$28-'DCF_INTC'!$E$29-'DCF_INTC'!$E$30</f>
        <v>-284439629.36724764</v>
      </c>
      <c r="E44" s="16">
        <f>'DCF_INTC'!$F$25*$A$44*(1-'DCF_INTC'!$B$14)+'DCF_INTC'!$F$28-'DCF_INTC'!$F$29-'DCF_INTC'!$F$30</f>
        <v>-257263080.22848678</v>
      </c>
      <c r="F44" s="16">
        <f>'DCF_INTC'!$G$25*$A$44*(1-'DCF_INTC'!$B$14)+'DCF_INTC'!$G$28-'DCF_INTC'!$G$29-'DCF_INTC'!$G$30</f>
        <v>-232683092.00050473</v>
      </c>
      <c r="G44" s="16">
        <f>F44*(1+'Inputs_INTC'!$B$29)/('DCF_INTC'!$B$21-'Inputs_INTC'!$B$29)</f>
        <v>-1899696702.1126025</v>
      </c>
      <c r="H44" s="16">
        <f>SUMPRODUCT(B44:F44,1/(1+'DCF_INTC'!$B$21)^{1,2,3,4,5})+G44/(1+'DCF_INTC'!$B$21)^5</f>
        <v>-1931006705.0007303</v>
      </c>
      <c r="I44" s="16">
        <f>H44-'Inputs_INTC'!$B$17+'Inputs_INTC'!$B$18</f>
        <v>-34251006705.000732</v>
      </c>
      <c r="J44" s="19">
        <f>I44/'Inputs_INTC'!$B$22</f>
        <v>-6.479440912994958</v>
      </c>
    </row>
    <row r="45">
      <c r="A45" s="12">
        <v>0.2</v>
      </c>
      <c r="B45" s="16">
        <f>'DCF_INTC'!$C$25*$A$45*(1-'DCF_INTC'!$B$14)+'DCF_INTC'!$C$28-'DCF_INTC'!$C$29-'DCF_INTC'!$C$30</f>
        <v>-267883042.57570738</v>
      </c>
      <c r="C45" s="16">
        <f>'DCF_INTC'!$D$25*$A$45*(1-'DCF_INTC'!$B$14)+'DCF_INTC'!$D$28-'DCF_INTC'!$D$29-'DCF_INTC'!$D$30</f>
        <v>-242288378.8286244</v>
      </c>
      <c r="D45" s="16">
        <f>'DCF_INTC'!$E$25*$A$45*(1-'DCF_INTC'!$B$14)+'DCF_INTC'!$E$28-'DCF_INTC'!$E$29-'DCF_INTC'!$E$30</f>
        <v>-219139136.06089002</v>
      </c>
      <c r="E45" s="16">
        <f>'DCF_INTC'!$F$25*$A$45*(1-'DCF_INTC'!$B$14)+'DCF_INTC'!$F$28-'DCF_INTC'!$F$29-'DCF_INTC'!$F$30</f>
        <v>-198201668.5475459</v>
      </c>
      <c r="F45" s="16">
        <f>'DCF_INTC'!$G$25*$A$45*(1-'DCF_INTC'!$B$14)+'DCF_INTC'!$G$28-'DCF_INTC'!$G$29-'DCF_INTC'!$G$30</f>
        <v>-179264654.05118585</v>
      </c>
      <c r="G45" s="16">
        <f>F45*(1+'Inputs_INTC'!$B$29)/('DCF_INTC'!$B$21-'Inputs_INTC'!$B$29)</f>
        <v>-1463572059.2266138</v>
      </c>
      <c r="H45" s="16">
        <f>SUMPRODUCT(B45:F45,1/(1+'DCF_INTC'!$B$21)^{1,2,3,4,5})+G45/(1+'DCF_INTC'!$B$21)^5</f>
        <v>-1487694038.9881244</v>
      </c>
      <c r="I45" s="16">
        <f>H45-'Inputs_INTC'!$B$17+'Inputs_INTC'!$B$18</f>
        <v>-33807694038.98812</v>
      </c>
      <c r="J45" s="19">
        <f>I45/'Inputs_INTC'!$B$22</f>
        <v>-6.3955771524301746</v>
      </c>
    </row>
    <row r="46">
      <c r="A46" s="12">
        <v>0.3</v>
      </c>
      <c r="B46" s="16">
        <f>'DCF_INTC'!$C$25*$A$46*(1-'DCF_INTC'!$B$14)+'DCF_INTC'!$C$28-'DCF_INTC'!$C$29-'DCF_INTC'!$C$30</f>
        <v>-188057525.58662337</v>
      </c>
      <c r="C46" s="16">
        <f>'DCF_INTC'!$D$25*$A$46*(1-'DCF_INTC'!$B$14)+'DCF_INTC'!$D$28-'DCF_INTC'!$D$29-'DCF_INTC'!$D$30</f>
        <v>-170089724.83963242</v>
      </c>
      <c r="D46" s="16">
        <f>'DCF_INTC'!$E$25*$A$46*(1-'DCF_INTC'!$B$14)+'DCF_INTC'!$E$28-'DCF_INTC'!$E$29-'DCF_INTC'!$E$30</f>
        <v>-153838642.75453216</v>
      </c>
      <c r="E46" s="16">
        <f>'DCF_INTC'!$F$25*$A$46*(1-'DCF_INTC'!$B$14)+'DCF_INTC'!$F$28-'DCF_INTC'!$F$29-'DCF_INTC'!$F$30</f>
        <v>-139140256.8666048</v>
      </c>
      <c r="F46" s="16">
        <f>'DCF_INTC'!$G$25*$A$46*(1-'DCF_INTC'!$B$14)+'DCF_INTC'!$G$28-'DCF_INTC'!$G$29-'DCF_INTC'!$G$30</f>
        <v>-125846216.10186696</v>
      </c>
      <c r="G46" s="16">
        <f>F46*(1+'Inputs_INTC'!$B$29)/('DCF_INTC'!$B$21-'Inputs_INTC'!$B$29)</f>
        <v>-1027447416.3406252</v>
      </c>
      <c r="H46" s="16">
        <f>SUMPRODUCT(B46:F46,1/(1+'DCF_INTC'!$B$21)^{1,2,3,4,5})+G46/(1+'DCF_INTC'!$B$21)^5</f>
        <v>-1044381372.9755182</v>
      </c>
      <c r="I46" s="16">
        <f>H46-'Inputs_INTC'!$B$17+'Inputs_INTC'!$B$18</f>
        <v>-33364381372.975517</v>
      </c>
      <c r="J46" s="19">
        <f>I46/'Inputs_INTC'!$B$22</f>
        <v>-6.311713391865392</v>
      </c>
    </row>
    <row r="47">
      <c r="A47" s="12">
        <v>0.4</v>
      </c>
      <c r="B47" s="16">
        <f>'DCF_INTC'!$C$25*$A$47*(1-'DCF_INTC'!$B$14)+'DCF_INTC'!$C$28-'DCF_INTC'!$C$29-'DCF_INTC'!$C$30</f>
        <v>-108232008.59753959</v>
      </c>
      <c r="C47" s="16">
        <f>'DCF_INTC'!$D$25*$A$47*(1-'DCF_INTC'!$B$14)+'DCF_INTC'!$D$28-'DCF_INTC'!$D$29-'DCF_INTC'!$D$30</f>
        <v>-97891070.85064021</v>
      </c>
      <c r="D47" s="16">
        <f>'DCF_INTC'!$E$25*$A$47*(1-'DCF_INTC'!$B$14)+'DCF_INTC'!$E$28-'DCF_INTC'!$E$29-'DCF_INTC'!$E$30</f>
        <v>-88538149.44817455</v>
      </c>
      <c r="E47" s="16">
        <f>'DCF_INTC'!$F$25*$A$47*(1-'DCF_INTC'!$B$14)+'DCF_INTC'!$F$28-'DCF_INTC'!$F$29-'DCF_INTC'!$F$30</f>
        <v>-80078845.18566394</v>
      </c>
      <c r="F47" s="16">
        <f>'DCF_INTC'!$G$25*$A$47*(1-'DCF_INTC'!$B$14)+'DCF_INTC'!$G$28-'DCF_INTC'!$G$29-'DCF_INTC'!$G$30</f>
        <v>-72427778.15254807</v>
      </c>
      <c r="G47" s="16">
        <f>F47*(1+'Inputs_INTC'!$B$29)/('DCF_INTC'!$B$21-'Inputs_INTC'!$B$29)</f>
        <v>-591322773.4546365</v>
      </c>
      <c r="H47" s="16">
        <f>SUMPRODUCT(B47:F47,1/(1+'DCF_INTC'!$B$21)^{1,2,3,4,5})+G47/(1+'DCF_INTC'!$B$21)^5</f>
        <v>-601068706.9629123</v>
      </c>
      <c r="I47" s="16">
        <f>H47-'Inputs_INTC'!$B$17+'Inputs_INTC'!$B$18</f>
        <v>-32921068706.962914</v>
      </c>
      <c r="J47" s="19">
        <f>I47/'Inputs_INTC'!$B$22</f>
        <v>-6.22784963130061</v>
      </c>
    </row>
    <row r="48">
      <c r="A48" s="12">
        <v>0.5</v>
      </c>
      <c r="B48" s="16">
        <f>'DCF_INTC'!$C$25*$A$48*(1-'DCF_INTC'!$B$14)+'DCF_INTC'!$C$28-'DCF_INTC'!$C$29-'DCF_INTC'!$C$30</f>
        <v>-28406491.608455822</v>
      </c>
      <c r="C48" s="16">
        <f>'DCF_INTC'!$D$25*$A$48*(1-'DCF_INTC'!$B$14)+'DCF_INTC'!$D$28-'DCF_INTC'!$D$29-'DCF_INTC'!$D$30</f>
        <v>-25692416.861647986</v>
      </c>
      <c r="D48" s="16">
        <f>'DCF_INTC'!$E$25*$A$48*(1-'DCF_INTC'!$B$14)+'DCF_INTC'!$E$28-'DCF_INTC'!$E$29-'DCF_INTC'!$E$30</f>
        <v>-23237656.14181669</v>
      </c>
      <c r="E48" s="16">
        <f>'DCF_INTC'!$F$25*$A$48*(1-'DCF_INTC'!$B$14)+'DCF_INTC'!$F$28-'DCF_INTC'!$F$29-'DCF_INTC'!$F$30</f>
        <v>-21017433.50472308</v>
      </c>
      <c r="F48" s="16">
        <f>'DCF_INTC'!$G$25*$A$48*(1-'DCF_INTC'!$B$14)+'DCF_INTC'!$G$28-'DCF_INTC'!$G$29-'DCF_INTC'!$G$30</f>
        <v>-19009340.20322919</v>
      </c>
      <c r="G48" s="16">
        <f>F48*(1+'Inputs_INTC'!$B$29)/('DCF_INTC'!$B$21-'Inputs_INTC'!$B$29)</f>
        <v>-155198130.5686477</v>
      </c>
      <c r="H48" s="16">
        <f>SUMPRODUCT(B48:F48,1/(1+'DCF_INTC'!$B$21)^{1,2,3,4,5})+G48/(1+'DCF_INTC'!$B$21)^5</f>
        <v>-157756040.95030624</v>
      </c>
      <c r="I48" s="16">
        <f>H48-'Inputs_INTC'!$B$17+'Inputs_INTC'!$B$18</f>
        <v>-32477756040.95031</v>
      </c>
      <c r="J48" s="19">
        <f>I48/'Inputs_INTC'!$B$22</f>
        <v>-6.143985870735827</v>
      </c>
    </row>
    <row r="49">
      <c r="A49" s="12">
        <v>0.6</v>
      </c>
      <c r="B49" s="16">
        <f>'DCF_INTC'!$C$25*$A$49*(1-'DCF_INTC'!$B$14)+'DCF_INTC'!$C$28-'DCF_INTC'!$C$29-'DCF_INTC'!$C$30</f>
        <v>51419025.380627945</v>
      </c>
      <c r="C49" s="16">
        <f>'DCF_INTC'!$D$25*$A$49*(1-'DCF_INTC'!$B$14)+'DCF_INTC'!$D$28-'DCF_INTC'!$D$29-'DCF_INTC'!$D$30</f>
        <v>46506237.12734423</v>
      </c>
      <c r="D49" s="16">
        <f>'DCF_INTC'!$E$25*$A$49*(1-'DCF_INTC'!$B$14)+'DCF_INTC'!$E$28-'DCF_INTC'!$E$29-'DCF_INTC'!$E$30</f>
        <v>42062837.16454093</v>
      </c>
      <c r="E49" s="16">
        <f>'DCF_INTC'!$F$25*$A$49*(1-'DCF_INTC'!$B$14)+'DCF_INTC'!$F$28-'DCF_INTC'!$F$29-'DCF_INTC'!$F$30</f>
        <v>38043978.17621779</v>
      </c>
      <c r="F49" s="16">
        <f>'DCF_INTC'!$G$25*$A$49*(1-'DCF_INTC'!$B$14)+'DCF_INTC'!$G$28-'DCF_INTC'!$G$29-'DCF_INTC'!$G$30</f>
        <v>34409097.7460897</v>
      </c>
      <c r="G49" s="16">
        <f>F49*(1+'Inputs_INTC'!$B$29)/('DCF_INTC'!$B$21-'Inputs_INTC'!$B$29)</f>
        <v>280926512.317341</v>
      </c>
      <c r="H49" s="16">
        <f>SUMPRODUCT(B49:F49,1/(1+'DCF_INTC'!$B$21)^{1,2,3,4,5})+G49/(1+'DCF_INTC'!$B$21)^5</f>
        <v>285556625.0622996</v>
      </c>
      <c r="I49" s="16">
        <f>H49-'Inputs_INTC'!$B$17+'Inputs_INTC'!$B$18</f>
        <v>-32034443374.9377</v>
      </c>
      <c r="J49" s="19">
        <f>I49/'Inputs_INTC'!$B$22</f>
        <v>-6.060122110171044</v>
      </c>
    </row>
    <row r="50" ht="45" customHeight="1">
      <c r="A50" s="26" t="inlineStr">
        <is>
          <t xml:space="preserve">Direction check: IV increases as operating margin rises?</t>
        </is>
      </c>
      <c r="B50" s="22" t="str">
        <f>IF(J43&lt;J49,"PASS (as expected)","FAIL — investigate")</f>
        <v>PASS (as expected)</v>
      </c>
    </row>
    <row r="53">
      <c r="A53" s="3" t="inlineStr">
        <is>
          <t xml:space="preserve">TABLE 5 — Two-Way Sensitivity: WACC (rows) × Terminal Growth (columns) — Intrinsic Value/Share</t>
        </is>
      </c>
      <c r="B53" s="3"/>
      <c r="C53" s="3"/>
      <c r="D53" s="3"/>
      <c r="E53" s="3"/>
      <c r="F53" s="3"/>
      <c r="G53" s="3"/>
    </row>
    <row r="54">
      <c r="A54" s="4" t="inlineStr">
        <is>
          <t xml:space="preserve">WACC \ g</t>
        </is>
      </c>
      <c r="B54" s="5">
        <v>0.0</v>
      </c>
      <c r="C54" s="5">
        <v>0.01</v>
      </c>
      <c r="D54" s="5">
        <v>0.02</v>
      </c>
      <c r="E54" s="5">
        <v>0.03</v>
      </c>
      <c r="F54" s="5">
        <v>0.04</v>
      </c>
      <c r="G54" s="5">
        <v>0.05</v>
      </c>
    </row>
    <row r="55">
      <c r="A55" s="12">
        <v>0.05</v>
      </c>
      <c r="B55" s="19">
        <f>IF(B$54&gt;=$A55,"n/a",(SUMPRODUCT('DCF_INTC'!$C$31:$G$31,1/(1+$A55)^{1,2,3,4,5})+('DCF_INTC'!$G$31*(1+B$54)/($A55-B$54))/(1+$A55)^5-'Inputs_INTC'!$B$17+'Inputs_INTC'!$B$18)/'Inputs_INTC'!$B$22)</f>
        <v>-7.244605669744238</v>
      </c>
      <c r="C55" s="19">
        <f>IF(C$54&gt;=$A55,"n/a",(SUMPRODUCT('DCF_INTC'!$C$31:$G$31,1/(1+$A55)^{1,2,3,4,5})+('DCF_INTC'!$G$31*(1+C$54)/($A55-C$54))/(1+$A55)^5-'Inputs_INTC'!$B$17+'Inputs_INTC'!$B$18)/'Inputs_INTC'!$B$22)</f>
        <v>-7.465320089262635</v>
      </c>
      <c r="D55" s="19">
        <f>IF(D$54&gt;=$A55,"n/a",(SUMPRODUCT('DCF_INTC'!$C$31:$G$31,1/(1+$A55)^{1,2,3,4,5})+('DCF_INTC'!$G$31*(1+D$54)/($A55-D$54))/(1+$A55)^5-'Inputs_INTC'!$B$17+'Inputs_INTC'!$B$18)/'Inputs_INTC'!$B$22)</f>
        <v>-7.8331774551266315</v>
      </c>
      <c r="E55" s="19">
        <f>IF(E$54&gt;=$A55,"n/a",(SUMPRODUCT('DCF_INTC'!$C$31:$G$31,1/(1+$A55)^{1,2,3,4,5})+('DCF_INTC'!$G$31*(1+E$54)/($A55-E$54))/(1+$A55)^5-'Inputs_INTC'!$B$17+'Inputs_INTC'!$B$18)/'Inputs_INTC'!$B$22)</f>
        <v>-8.568892186854622</v>
      </c>
      <c r="F55" s="19">
        <f>IF(F$54&gt;=$A55,"n/a",(SUMPRODUCT('DCF_INTC'!$C$31:$G$31,1/(1+$A55)^{1,2,3,4,5})+('DCF_INTC'!$G$31*(1+F$54)/($A55-F$54))/(1+$A55)^5-'Inputs_INTC'!$B$17+'Inputs_INTC'!$B$18)/'Inputs_INTC'!$B$22)</f>
        <v>-10.776036382038598</v>
      </c>
      <c r="G55" s="19" t="str">
        <f>IF(G$54&gt;=$A55,"n/a",(SUMPRODUCT('DCF_INTC'!$C$31:$G$31,1/(1+$A55)^{1,2,3,4,5})+('DCF_INTC'!$G$31*(1+G$54)/($A55-G$54))/(1+$A55)^5-'Inputs_INTC'!$B$17+'Inputs_INTC'!$B$18)/'Inputs_INTC'!$B$22)</f>
        <v>n/a</v>
      </c>
    </row>
    <row r="56">
      <c r="A56" s="12">
        <v>0.08</v>
      </c>
      <c r="B56" s="19">
        <f>IF(B$54&gt;=$A56,"n/a",(SUMPRODUCT('DCF_INTC'!$C$31:$G$31,1/(1+$A56)^{1,2,3,4,5})+('DCF_INTC'!$G$31*(1+B$54)/($A56-B$54))/(1+$A56)^5-'Inputs_INTC'!$B$17+'Inputs_INTC'!$B$18)/'Inputs_INTC'!$B$22)</f>
        <v>-6.839214538431988</v>
      </c>
      <c r="C56" s="19">
        <f>IF(C$54&gt;=$A56,"n/a",(SUMPRODUCT('DCF_INTC'!$C$31:$G$31,1/(1+$A56)^{1,2,3,4,5})+('DCF_INTC'!$G$31*(1+C$54)/($A56-C$54))/(1+$A56)^5-'Inputs_INTC'!$B$17+'Inputs_INTC'!$B$18)/'Inputs_INTC'!$B$22)</f>
        <v>-6.909640834806064</v>
      </c>
      <c r="D56" s="19">
        <f>IF(D$54&gt;=$A56,"n/a",(SUMPRODUCT('DCF_INTC'!$C$31:$G$31,1/(1+$A56)^{1,2,3,4,5})+('DCF_INTC'!$G$31*(1+D$54)/($A56-D$54))/(1+$A56)^5-'Inputs_INTC'!$B$17+'Inputs_INTC'!$B$18)/'Inputs_INTC'!$B$22)</f>
        <v>-7.0035425633048325</v>
      </c>
      <c r="E56" s="19">
        <f>IF(E$54&gt;=$A56,"n/a",(SUMPRODUCT('DCF_INTC'!$C$31:$G$31,1/(1+$A56)^{1,2,3,4,5})+('DCF_INTC'!$G$31*(1+E$54)/($A56-E$54))/(1+$A56)^5-'Inputs_INTC'!$B$17+'Inputs_INTC'!$B$18)/'Inputs_INTC'!$B$22)</f>
        <v>-7.1350049832031095</v>
      </c>
      <c r="F56" s="19">
        <f>IF(F$54&gt;=$A56,"n/a",(SUMPRODUCT('DCF_INTC'!$C$31:$G$31,1/(1+$A56)^{1,2,3,4,5})+('DCF_INTC'!$G$31*(1+F$54)/($A56-F$54))/(1+$A56)^5-'Inputs_INTC'!$B$17+'Inputs_INTC'!$B$18)/'Inputs_INTC'!$B$22)</f>
        <v>-7.332198613050524</v>
      </c>
      <c r="G56" s="19">
        <f>IF(G$54&gt;=$A56,"n/a",(SUMPRODUCT('DCF_INTC'!$C$31:$G$31,1/(1+$A56)^{1,2,3,4,5})+('DCF_INTC'!$G$31*(1+G$54)/($A56-G$54))/(1+$A56)^5-'Inputs_INTC'!$B$17+'Inputs_INTC'!$B$18)/'Inputs_INTC'!$B$22)</f>
        <v>-7.660854662796215</v>
      </c>
    </row>
    <row r="57">
      <c r="A57" s="12">
        <v>0.11</v>
      </c>
      <c r="B57" s="19">
        <f>IF(B$54&gt;=$A57,"n/a",(SUMPRODUCT('DCF_INTC'!$C$31:$G$31,1/(1+$A57)^{1,2,3,4,5})+('DCF_INTC'!$G$31*(1+B$54)/($A57-B$54))/(1+$A57)^5-'Inputs_INTC'!$B$17+'Inputs_INTC'!$B$18)/'Inputs_INTC'!$B$22)</f>
        <v>-6.653590287124491</v>
      </c>
      <c r="C57" s="19">
        <f>IF(C$54&gt;=$A57,"n/a",(SUMPRODUCT('DCF_INTC'!$C$31:$G$31,1/(1+$A57)^{1,2,3,4,5})+('DCF_INTC'!$G$31*(1+C$54)/($A57-C$54))/(1+$A57)^5-'Inputs_INTC'!$B$17+'Inputs_INTC'!$B$18)/'Inputs_INTC'!$B$22)</f>
        <v>-6.6857219571735795</v>
      </c>
      <c r="D57" s="19">
        <f>IF(D$54&gt;=$A57,"n/a",(SUMPRODUCT('DCF_INTC'!$C$31:$G$31,1/(1+$A57)^{1,2,3,4,5})+('DCF_INTC'!$G$31*(1+D$54)/($A57-D$54))/(1+$A57)^5-'Inputs_INTC'!$B$17+'Inputs_INTC'!$B$18)/'Inputs_INTC'!$B$22)</f>
        <v>-6.72499399834469</v>
      </c>
      <c r="E57" s="19">
        <f>IF(E$54&gt;=$A57,"n/a",(SUMPRODUCT('DCF_INTC'!$C$31:$G$31,1/(1+$A57)^{1,2,3,4,5})+('DCF_INTC'!$G$31*(1+E$54)/($A57-E$54))/(1+$A57)^5-'Inputs_INTC'!$B$17+'Inputs_INTC'!$B$18)/'Inputs_INTC'!$B$22)</f>
        <v>-6.774084049808576</v>
      </c>
      <c r="F57" s="19">
        <f>IF(F$54&gt;=$A57,"n/a",(SUMPRODUCT('DCF_INTC'!$C$31:$G$31,1/(1+$A57)^{1,2,3,4,5})+('DCF_INTC'!$G$31*(1+F$54)/($A57-F$54))/(1+$A57)^5-'Inputs_INTC'!$B$17+'Inputs_INTC'!$B$18)/'Inputs_INTC'!$B$22)</f>
        <v>-6.837199830262144</v>
      </c>
      <c r="G57" s="19">
        <f>IF(G$54&gt;=$A57,"n/a",(SUMPRODUCT('DCF_INTC'!$C$31:$G$31,1/(1+$A57)^{1,2,3,4,5})+('DCF_INTC'!$G$31*(1+G$54)/($A57-G$54))/(1+$A57)^5-'Inputs_INTC'!$B$17+'Inputs_INTC'!$B$18)/'Inputs_INTC'!$B$22)</f>
        <v>-6.921354204200236</v>
      </c>
    </row>
    <row r="58">
      <c r="A58" s="12">
        <v>0.14</v>
      </c>
      <c r="B58" s="19">
        <f>IF(B$54&gt;=$A58,"n/a",(SUMPRODUCT('DCF_INTC'!$C$31:$G$31,1/(1+$A58)^{1,2,3,4,5})+('DCF_INTC'!$G$31*(1+B$54)/($A58-B$54))/(1+$A58)^5-'Inputs_INTC'!$B$17+'Inputs_INTC'!$B$18)/'Inputs_INTC'!$B$22)</f>
        <v>-6.54659290985982</v>
      </c>
      <c r="C58" s="19">
        <f>IF(C$54&gt;=$A58,"n/a",(SUMPRODUCT('DCF_INTC'!$C$31:$G$31,1/(1+$A58)^{1,2,3,4,5})+('DCF_INTC'!$G$31*(1+C$54)/($A58-C$54))/(1+$A58)^5-'Inputs_INTC'!$B$17+'Inputs_INTC'!$B$18)/'Inputs_INTC'!$B$22)</f>
        <v>-6.564048201351693</v>
      </c>
      <c r="D58" s="19">
        <f>IF(D$54&gt;=$A58,"n/a",(SUMPRODUCT('DCF_INTC'!$C$31:$G$31,1/(1+$A58)^{1,2,3,4,5})+('DCF_INTC'!$G$31*(1+D$54)/($A58-D$54))/(1+$A58)^5-'Inputs_INTC'!$B$17+'Inputs_INTC'!$B$18)/'Inputs_INTC'!$B$22)</f>
        <v>-6.584412708092212</v>
      </c>
      <c r="E58" s="19">
        <f>IF(E$54&gt;=$A58,"n/a",(SUMPRODUCT('DCF_INTC'!$C$31:$G$31,1/(1+$A58)^{1,2,3,4,5})+('DCF_INTC'!$G$31*(1+E$54)/($A58-E$54))/(1+$A58)^5-'Inputs_INTC'!$B$17+'Inputs_INTC'!$B$18)/'Inputs_INTC'!$B$22)</f>
        <v>-6.608479852421914</v>
      </c>
      <c r="F58" s="19">
        <f>IF(F$54&gt;=$A58,"n/a",(SUMPRODUCT('DCF_INTC'!$C$31:$G$31,1/(1+$A58)^{1,2,3,4,5})+('DCF_INTC'!$G$31*(1+F$54)/($A58-F$54))/(1+$A58)^5-'Inputs_INTC'!$B$17+'Inputs_INTC'!$B$18)/'Inputs_INTC'!$B$22)</f>
        <v>-6.637360425617559</v>
      </c>
      <c r="G58" s="19">
        <f>IF(G$54&gt;=$A58,"n/a",(SUMPRODUCT('DCF_INTC'!$C$31:$G$31,1/(1+$A58)^{1,2,3,4,5})+('DCF_INTC'!$G$31*(1+G$54)/($A58-G$54))/(1+$A58)^5-'Inputs_INTC'!$B$17+'Inputs_INTC'!$B$18)/'Inputs_INTC'!$B$22)</f>
        <v>-6.67265890396779</v>
      </c>
    </row>
    <row r="59">
      <c r="A59" s="12">
        <v>0.17</v>
      </c>
      <c r="B59" s="19">
        <f>IF(B$54&gt;=$A59,"n/a",(SUMPRODUCT('DCF_INTC'!$C$31:$G$31,1/(1+$A59)^{1,2,3,4,5})+('DCF_INTC'!$G$31*(1+B$54)/($A59-B$54))/(1+$A59)^5-'Inputs_INTC'!$B$17+'Inputs_INTC'!$B$18)/'Inputs_INTC'!$B$22)</f>
        <v>-6.476692845730129</v>
      </c>
      <c r="C59" s="19">
        <f>IF(C$54&gt;=$A59,"n/a",(SUMPRODUCT('DCF_INTC'!$C$31:$G$31,1/(1+$A59)^{1,2,3,4,5})+('DCF_INTC'!$G$31*(1+C$54)/($A59-C$54))/(1+$A59)^5-'Inputs_INTC'!$B$17+'Inputs_INTC'!$B$18)/'Inputs_INTC'!$B$22)</f>
        <v>-6.487219868151995</v>
      </c>
      <c r="D59" s="19">
        <f>IF(D$54&gt;=$A59,"n/a",(SUMPRODUCT('DCF_INTC'!$C$31:$G$31,1/(1+$A59)^{1,2,3,4,5})+('DCF_INTC'!$G$31*(1+D$54)/($A59-D$54))/(1+$A59)^5-'Inputs_INTC'!$B$17+'Inputs_INTC'!$B$18)/'Inputs_INTC'!$B$22)</f>
        <v>-6.499150493563441</v>
      </c>
      <c r="E59" s="19">
        <f>IF(E$54&gt;=$A59,"n/a",(SUMPRODUCT('DCF_INTC'!$C$31:$G$31,1/(1+$A59)^{1,2,3,4,5})+('DCF_INTC'!$G$31*(1+E$54)/($A59-E$54))/(1+$A59)^5-'Inputs_INTC'!$B$17+'Inputs_INTC'!$B$18)/'Inputs_INTC'!$B$22)</f>
        <v>-6.5127854940336665</v>
      </c>
      <c r="F59" s="19">
        <f>IF(F$54&gt;=$A59,"n/a",(SUMPRODUCT('DCF_INTC'!$C$31:$G$31,1/(1+$A59)^{1,2,3,4,5})+('DCF_INTC'!$G$31*(1+F$54)/($A59-F$54))/(1+$A59)^5-'Inputs_INTC'!$B$17+'Inputs_INTC'!$B$18)/'Inputs_INTC'!$B$22)</f>
        <v>-6.528518186883927</v>
      </c>
      <c r="G59" s="19">
        <f>IF(G$54&gt;=$A59,"n/a",(SUMPRODUCT('DCF_INTC'!$C$31:$G$31,1/(1+$A59)^{1,2,3,4,5})+('DCF_INTC'!$G$31*(1+G$54)/($A59-G$54))/(1+$A59)^5-'Inputs_INTC'!$B$17+'Inputs_INTC'!$B$18)/'Inputs_INTC'!$B$22)</f>
        <v>-6.546872995209229</v>
      </c>
    </row>
    <row r="60">
      <c r="A60" s="12">
        <v>0.2</v>
      </c>
      <c r="B60" s="19">
        <f>IF(B$54&gt;=$A60,"n/a",(SUMPRODUCT('DCF_INTC'!$C$31:$G$31,1/(1+$A60)^{1,2,3,4,5})+('DCF_INTC'!$G$31*(1+B$54)/($A60-B$54))/(1+$A60)^5-'Inputs_INTC'!$B$17+'Inputs_INTC'!$B$18)/'Inputs_INTC'!$B$22)</f>
        <v>-6.427265849229677</v>
      </c>
      <c r="C60" s="19">
        <f>IF(C$54&gt;=$A60,"n/a",(SUMPRODUCT('DCF_INTC'!$C$31:$G$31,1/(1+$A60)^{1,2,3,4,5})+('DCF_INTC'!$G$31*(1+C$54)/($A60-C$54))/(1+$A60)^5-'Inputs_INTC'!$B$17+'Inputs_INTC'!$B$18)/'Inputs_INTC'!$B$22)</f>
        <v>-6.434075256626672</v>
      </c>
      <c r="D60" s="19">
        <f>IF(D$54&gt;=$A60,"n/a",(SUMPRODUCT('DCF_INTC'!$C$31:$G$31,1/(1+$A60)^{1,2,3,4,5})+('DCF_INTC'!$G$31*(1+D$54)/($A60-D$54))/(1+$A60)^5-'Inputs_INTC'!$B$17+'Inputs_INTC'!$B$18)/'Inputs_INTC'!$B$22)</f>
        <v>-6.441641264845554</v>
      </c>
      <c r="E60" s="19">
        <f>IF(E$54&gt;=$A60,"n/a",(SUMPRODUCT('DCF_INTC'!$C$31:$G$31,1/(1+$A60)^{1,2,3,4,5})+('DCF_INTC'!$G$31*(1+E$54)/($A60-E$54))/(1+$A60)^5-'Inputs_INTC'!$B$17+'Inputs_INTC'!$B$18)/'Inputs_INTC'!$B$22)</f>
        <v>-6.450097391678422</v>
      </c>
      <c r="F60" s="19">
        <f>IF(F$54&gt;=$A60,"n/a",(SUMPRODUCT('DCF_INTC'!$C$31:$G$31,1/(1+$A60)^{1,2,3,4,5})+('DCF_INTC'!$G$31*(1+F$54)/($A60-F$54))/(1+$A60)^5-'Inputs_INTC'!$B$17+'Inputs_INTC'!$B$18)/'Inputs_INTC'!$B$22)</f>
        <v>-6.459610534365399</v>
      </c>
      <c r="G60" s="19">
        <f>IF(G$54&gt;=$A60,"n/a",(SUMPRODUCT('DCF_INTC'!$C$31:$G$31,1/(1+$A60)^{1,2,3,4,5})+('DCF_INTC'!$G$31*(1+G$54)/($A60-G$54))/(1+$A60)^5-'Inputs_INTC'!$B$17+'Inputs_INTC'!$B$18)/'Inputs_INTC'!$B$22)</f>
        <v>-6.4703920960773065</v>
      </c>
    </row>
  </sheetData>
  <mergeCells count="6">
    <mergeCell ref="A1:G1"/>
    <mergeCell ref="A4:E4"/>
    <mergeCell ref="A16:E16"/>
    <mergeCell ref="A28:N28"/>
    <mergeCell ref="A41:J41"/>
    <mergeCell ref="A53:G53"/>
  </mergeCells>
</worksheet>
</file>

<file path=xl/worksheets/sheet13.xml><?xml version="1.0" encoding="utf-8"?>
<worksheet xmlns="http://schemas.openxmlformats.org/spreadsheetml/2006/main">
  <dimension ref="A1:H38"/>
  <sheetViews>
    <sheetView workbookViewId="0">
      <pane xSplit="1" ySplit="4" topLeftCell="B5" activePane="bottomRight" state="frozen"/>
      <selection pane="bottomRight" activeCell="B5" sqref="B5"/>
    </sheetView>
  </sheetViews>
  <sheetFormatPr defaultRowHeight="15"/>
  <cols>
    <col min="1" max="1" width="42" customWidth="1"/>
    <col min="2" max="2" width="16" customWidth="1"/>
    <col min="3" max="3" width="16" customWidth="1"/>
    <col min="4" max="4" width="60" customWidth="1"/>
  </cols>
  <sheetData>
    <row r="1">
      <c r="A1" s="1" t="inlineStr">
        <is>
          <t xml:space="preserve">Inputs — VZ (VERIZON COMMUNICATIONS INC)  |  Frozen 2026-08-17T17:23:45.328585+00:00</t>
        </is>
      </c>
    </row>
    <row r="2">
      <c r="A2" s="2" t="inlineStr">
        <is>
          <t xml:space="preserve">Profile: Meaningfully leveraged (recommended 4th profile)  |  CIK 0000732712  |  All USD values are actual dollars (not thousands/millions) unless noted.</t>
        </is>
      </c>
    </row>
    <row r="4">
      <c r="A4" s="3" t="inlineStr">
        <is>
          <t xml:space="preserve">SECTION 1 — Historical Annual Data (SEC EDGAR, frozen)</t>
        </is>
      </c>
      <c r="B4" s="3"/>
      <c r="C4" s="3"/>
      <c r="D4" s="3"/>
      <c r="E4" s="3"/>
      <c r="F4" s="3"/>
      <c r="G4" s="3"/>
      <c r="H4" s="3"/>
    </row>
    <row r="5">
      <c r="A5" s="4" t="inlineStr">
        <is>
          <t xml:space="preserve">Fiscal Year End</t>
        </is>
      </c>
      <c r="B5" s="4" t="inlineStr">
        <is>
          <t xml:space="preserve">Revenue (USD)</t>
        </is>
      </c>
      <c r="C5" s="4" t="inlineStr">
        <is>
          <t xml:space="preserve">EBIT / Operating Income (USD)</t>
        </is>
      </c>
      <c r="D5" s="4" t="inlineStr">
        <is>
          <t xml:space="preserve">Provenance</t>
        </is>
      </c>
    </row>
    <row r="6">
      <c r="A6" s="14">
        <v>44561</v>
      </c>
      <c r="B6" s="11">
        <v>133613000000</v>
      </c>
      <c r="C6" s="11">
        <v>32448000000</v>
      </c>
      <c r="D6" s="25" t="inlineStr">
        <is>
          <t xml:space="preserve">XBRL tag: Revenues</t>
        </is>
      </c>
    </row>
    <row r="7">
      <c r="A7" s="14">
        <v>44926</v>
      </c>
      <c r="B7" s="11">
        <v>136835000000</v>
      </c>
      <c r="C7" s="11">
        <v>30467000000</v>
      </c>
      <c r="D7" s="25" t="inlineStr">
        <is>
          <t xml:space="preserve">XBRL tag: Revenues</t>
        </is>
      </c>
    </row>
    <row r="8">
      <c r="A8" s="14">
        <v>45291</v>
      </c>
      <c r="B8" s="11">
        <v>133974000000</v>
      </c>
      <c r="C8" s="11">
        <v>22877000000</v>
      </c>
      <c r="D8" s="25" t="inlineStr">
        <is>
          <t xml:space="preserve">XBRL tag: Revenues</t>
        </is>
      </c>
    </row>
    <row r="9">
      <c r="A9" s="14">
        <v>45657</v>
      </c>
      <c r="B9" s="11">
        <v>134788000000</v>
      </c>
      <c r="C9" s="11">
        <v>28686000000</v>
      </c>
      <c r="D9" s="25" t="inlineStr">
        <is>
          <t xml:space="preserve">XBRL tag: Revenues</t>
        </is>
      </c>
    </row>
    <row r="10">
      <c r="A10" s="14">
        <v>46022</v>
      </c>
      <c r="B10" s="11">
        <v>138191000000</v>
      </c>
      <c r="C10" s="11">
        <v>29259000000</v>
      </c>
      <c r="D10" s="25" t="inlineStr">
        <is>
          <t xml:space="preserve">XBRL tag: Revenues</t>
        </is>
      </c>
    </row>
    <row r="12">
      <c r="A12" s="3" t="inlineStr">
        <is>
          <t xml:space="preserve">SECTION 2 — Latest-Year Facts (SEC EDGAR, frozen)</t>
        </is>
      </c>
      <c r="B12" s="3"/>
      <c r="C12" s="3"/>
      <c r="D12" s="3"/>
      <c r="E12" s="3"/>
      <c r="F12" s="3"/>
      <c r="G12" s="3"/>
      <c r="H12" s="3"/>
    </row>
    <row r="13">
      <c r="A13" s="7" t="inlineStr">
        <is>
          <t xml:space="preserve">Latest Complete Fiscal Year End</t>
        </is>
      </c>
      <c r="B13" s="14">
        <v>46022</v>
      </c>
    </row>
    <row r="14">
      <c r="A14" s="7" t="inlineStr">
        <is>
          <t xml:space="preserve">Pretax Income (USD)</t>
        </is>
      </c>
      <c r="B14" s="11">
        <v>22672000000</v>
      </c>
    </row>
    <row r="15">
      <c r="A15" s="7" t="inlineStr">
        <is>
          <t xml:space="preserve">Tax Provision (USD)</t>
        </is>
      </c>
      <c r="B15" s="11">
        <v>5064000000</v>
      </c>
    </row>
    <row r="16">
      <c r="A16" s="7" t="inlineStr">
        <is>
          <t xml:space="preserve">Interest Expense (USD)</t>
        </is>
      </c>
      <c r="B16" s="11">
        <v>6694000000</v>
      </c>
      <c r="D16" s="25" t="inlineStr">
        <is>
          <t xml:space="preserve">Method: reported; tag: InterestExpenseNonoperating</t>
        </is>
      </c>
    </row>
    <row r="17">
      <c r="A17" s="7" t="inlineStr">
        <is>
          <t xml:space="preserve">Total Debt (USD)</t>
        </is>
      </c>
      <c r="B17" s="11">
        <v>158150000000</v>
      </c>
      <c r="D17" s="25" t="inlineStr">
        <is>
          <t xml:space="preserve">Total Debt = DebtLongtermAndShorttermCombinedAmount (reported directly, not summed) = $158,150,000,000  |  Full per-component provenance (XBRL tag, accession, filed date, source URL): see Sources sheet.</t>
        </is>
      </c>
    </row>
    <row r="18">
      <c r="A18" s="7" t="inlineStr">
        <is>
          <t xml:space="preserve">Cash &amp; Equivalents (USD)</t>
        </is>
      </c>
      <c r="B18" s="11">
        <v>19048000000</v>
      </c>
    </row>
    <row r="20">
      <c r="A20" s="3" t="inlineStr">
        <is>
          <t xml:space="preserve">SECTION 3 — Market Data (Yahoo Finance via yfinance, frozen)</t>
        </is>
      </c>
      <c r="B20" s="3"/>
      <c r="C20" s="3"/>
      <c r="D20" s="3"/>
      <c r="E20" s="3"/>
      <c r="F20" s="3"/>
      <c r="G20" s="3"/>
      <c r="H20" s="3"/>
    </row>
    <row r="21">
      <c r="A21" s="7" t="inlineStr">
        <is>
          <t xml:space="preserve">Current Price (USD/share)</t>
        </is>
      </c>
      <c r="B21" s="11">
        <v>48.155</v>
      </c>
    </row>
    <row r="22">
      <c r="A22" s="7" t="inlineStr">
        <is>
          <t xml:space="preserve">Shares Outstanding</t>
        </is>
      </c>
      <c r="B22" s="10">
        <v>4154775202</v>
      </c>
    </row>
    <row r="23">
      <c r="A23" s="7" t="inlineStr">
        <is>
          <t xml:space="preserve">Beta (levered equity)</t>
        </is>
      </c>
      <c r="B23" s="10">
        <v>0.231</v>
      </c>
    </row>
    <row r="24">
      <c r="A24" s="7" t="inlineStr">
        <is>
          <t xml:space="preserve">Sector (GICS)</t>
        </is>
      </c>
      <c r="B24" s="13" t="inlineStr">
        <is>
          <t xml:space="preserve">Communication Services</t>
        </is>
      </c>
    </row>
    <row r="26">
      <c r="A26" s="3" t="inlineStr">
        <is>
          <t xml:space="preserve">SECTION 4 — Assumptions (shared across companies unless noted; assumptions-register.md)</t>
        </is>
      </c>
      <c r="B26" s="3"/>
      <c r="C26" s="3"/>
      <c r="D26" s="3"/>
      <c r="E26" s="3"/>
      <c r="F26" s="3"/>
      <c r="G26" s="3"/>
      <c r="H26" s="3"/>
    </row>
    <row r="27">
      <c r="A27" s="7" t="inlineStr">
        <is>
          <t xml:space="preserve">Risk-free rate (A-001)</t>
        </is>
      </c>
      <c r="B27" s="12">
        <v>0.04</v>
      </c>
    </row>
    <row r="28">
      <c r="A28" s="7" t="inlineStr">
        <is>
          <t xml:space="preserve">Market risk premium (A-009)</t>
        </is>
      </c>
      <c r="B28" s="12">
        <v>0.055</v>
      </c>
    </row>
    <row r="29">
      <c r="A29" s="7" t="inlineStr">
        <is>
          <t xml:space="preserve">Terminal growth rate, base case (A-003)</t>
        </is>
      </c>
      <c r="B29" s="12">
        <v>0.025</v>
      </c>
    </row>
    <row r="30">
      <c r="A30" s="7" t="inlineStr">
        <is>
          <t xml:space="preserve">Projection years</t>
        </is>
      </c>
      <c r="B30" s="10">
        <v>5</v>
      </c>
    </row>
    <row r="31">
      <c r="A31" s="7" t="inlineStr">
        <is>
          <t xml:space="preserve">D&amp;A % of revenue (A-004)</t>
        </is>
      </c>
      <c r="B31" s="12">
        <v>0.03</v>
      </c>
    </row>
    <row r="32">
      <c r="A32" s="7" t="inlineStr">
        <is>
          <t xml:space="preserve">CapEx % of revenue (A-004)</t>
        </is>
      </c>
      <c r="B32" s="12">
        <v>0.04</v>
      </c>
    </row>
    <row r="33">
      <c r="A33" s="7" t="inlineStr">
        <is>
          <t xml:space="preserve">ΔNWC % of revenue change (A-004)</t>
        </is>
      </c>
      <c r="B33" s="12">
        <v>0.01</v>
      </c>
    </row>
    <row r="34">
      <c r="A34" s="7" t="inlineStr">
        <is>
          <t xml:space="preserve">WACC clamp — minimum (A-006)</t>
        </is>
      </c>
      <c r="B34" s="12">
        <v>0.05</v>
      </c>
    </row>
    <row r="35">
      <c r="A35" s="7" t="inlineStr">
        <is>
          <t xml:space="preserve">WACC clamp — maximum (A-006)</t>
        </is>
      </c>
      <c r="B35" s="12">
        <v>0.2</v>
      </c>
    </row>
    <row r="36">
      <c r="A36" s="7" t="inlineStr">
        <is>
          <t xml:space="preserve">Terminal growth clamp — minimum</t>
        </is>
      </c>
      <c r="B36" s="12">
        <v>0.0</v>
      </c>
    </row>
    <row r="37">
      <c r="A37" s="7" t="inlineStr">
        <is>
          <t xml:space="preserve">Terminal growth clamp — maximum</t>
        </is>
      </c>
      <c r="B37" s="12">
        <v>0.05</v>
      </c>
    </row>
    <row r="38">
      <c r="A38" s="7" t="inlineStr">
        <is>
          <t xml:space="preserve">Historical revenue growth cap (A-002)</t>
        </is>
      </c>
      <c r="B38" s="12">
        <v>0.25</v>
      </c>
    </row>
  </sheetData>
  <mergeCells count="5">
    <mergeCell ref="A1:G1"/>
    <mergeCell ref="A4:H4"/>
    <mergeCell ref="A12:H12"/>
    <mergeCell ref="A20:H20"/>
    <mergeCell ref="A26:H26"/>
  </mergeCells>
</worksheet>
</file>

<file path=xl/worksheets/sheet14.xml><?xml version="1.0" encoding="utf-8"?>
<worksheet xmlns="http://schemas.openxmlformats.org/spreadsheetml/2006/main">
  <dimension ref="A1:H52"/>
  <sheetViews>
    <sheetView workbookViewId="0">
      <pane xSplit="1" ySplit="4" topLeftCell="B5" activePane="bottomRight" state="frozen"/>
      <selection pane="bottomRight" activeCell="B5" sqref="B5"/>
    </sheetView>
  </sheetViews>
  <sheetFormatPr defaultRowHeight="15"/>
  <cols>
    <col min="1" max="1" width="46" customWidth="1"/>
    <col min="2" max="2" width="17" customWidth="1"/>
    <col min="3" max="3" width="17" customWidth="1"/>
    <col min="4" max="4" width="17" customWidth="1"/>
    <col min="5" max="5" width="17" customWidth="1"/>
    <col min="6" max="6" width="17" customWidth="1"/>
    <col min="7" max="7" width="17" customWidth="1"/>
    <col min="8" max="8" width="55" customWidth="1"/>
  </cols>
  <sheetData>
    <row r="1">
      <c r="A1" s="1" t="inlineStr">
        <is>
          <t xml:space="preserve">DCF Valuation — VZ (VERIZON COMMUNICATIONS INC)  [V2 — Track A Phase 2C]</t>
        </is>
      </c>
    </row>
    <row r="2">
      <c r="A2" s="2" t="inlineStr">
        <is>
          <t xml:space="preserve">Every formula below is entered independently from docs/model-specifications/dcf.md and wacc-capm.md prose/equations — never copied from src/dcf_model/dcf.py. V2: years_elapsed now uses actual fiscal-period-end date subtraction, per the Track A Phase 2C specification clarification (A-028/L-019) — see row below.</t>
        </is>
      </c>
    </row>
    <row r="4">
      <c r="A4" s="3" t="inlineStr">
        <is>
          <t xml:space="preserve">SECTION 1 — Historical Revenue CAGR &amp; Operating Margin  [dcf.md §Historical revenue-growth and operating-margin derivation]</t>
        </is>
      </c>
      <c r="B4" s="3"/>
      <c r="C4" s="3"/>
      <c r="D4" s="3"/>
      <c r="E4" s="3"/>
      <c r="F4" s="3"/>
      <c r="G4" s="3"/>
      <c r="H4" s="3"/>
    </row>
    <row r="5">
      <c r="A5" s="7" t="inlineStr">
        <is>
          <t xml:space="preserve">Years elapsed = (latest fiscal date − earliest fiscal date) / 365.25  [V2; A-028]</t>
        </is>
      </c>
      <c r="B5" s="15">
        <f>('Inputs_VZ'!$A$10-'Inputs_VZ'!$A$6)/365.25</f>
        <v>4.0</v>
      </c>
      <c r="D5" s="9" t="inlineStr">
        <is>
          <t xml:space="preserve">Spec: dcf.md — years_elapsed is ACTUAL elapsed calendar days between the earliest- and latest-dated valid observations / 365.25, never (periods−1) (A-028; Track A Phase 2C, resolving the ambiguity Phase 2B found).</t>
        </is>
      </c>
    </row>
    <row r="6">
      <c r="A6" s="7" t="inlineStr">
        <is>
          <t xml:space="preserve">Diagnostic — naive (N periods − 1) years [V1's convention; NOT used below]</t>
        </is>
      </c>
      <c r="B6" s="10">
        <v>4</v>
      </c>
      <c r="C6" s="22" t="inlineStr">
        <is>
          <t xml:space="preserve">REGULAR</t>
        </is>
      </c>
      <c r="D6" s="25" t="inlineStr">
        <is>
          <t xml:space="preserve">Fiscal calendar is evenly spaced for this company — actual years_elapsed equals the naive (N periods − 1) count to within floating-point noise, so V1 and V2 agree here by coincidence, not because (periods − 1) is a generally correct convention.</t>
        </is>
      </c>
    </row>
    <row r="8">
      <c r="A8" s="7" t="inlineStr">
        <is>
          <t xml:space="preserve">Raw Revenue CAGR = (Rev_latest/Rev_earliest)^(1/years) − 1</t>
        </is>
      </c>
      <c r="B8" s="17">
        <f>('Inputs_VZ'!$B$10/'Inputs_VZ'!$B$6)^(1/B5)-1</f>
        <v>0.008457873514414072</v>
      </c>
    </row>
    <row r="9">
      <c r="A9" s="7" t="inlineStr">
        <is>
          <t xml:space="preserve">Capped Revenue CAGR (cap A-002; NOT floored below)</t>
        </is>
      </c>
      <c r="B9" s="17">
        <f>MIN(B8,'Inputs_VZ'!$B$38)</f>
        <v>0.008457873514414072</v>
      </c>
      <c r="D9" s="9" t="inlineStr">
        <is>
          <t xml:space="preserve">Spec: dcf.md — capped at MAX_REVENUE_GROWTH_RATE=25%, unbounded below (A-002)</t>
        </is>
      </c>
    </row>
    <row r="10">
      <c r="A10" s="7" t="inlineStr">
        <is>
          <t xml:space="preserve">Average Historical Operating Margin = simple average of EBIT_t/Revenue_t</t>
        </is>
      </c>
      <c r="B10" s="17">
        <f>('Inputs_VZ'!$C$6/'Inputs_VZ'!$B$6+'Inputs_VZ'!$C$7/'Inputs_VZ'!$B$7+'Inputs_VZ'!$C$8/'Inputs_VZ'!$B$8+'Inputs_VZ'!$C$9/'Inputs_VZ'!$B$9+'Inputs_VZ'!$C$10/'Inputs_VZ'!$B$10)/5</f>
        <v>0.21216289003447653</v>
      </c>
    </row>
    <row r="12">
      <c r="A12" s="3" t="inlineStr">
        <is>
          <t xml:space="preserve">SECTION 2 — WACC via CAPM  [wacc-capm.md §Formula]</t>
        </is>
      </c>
      <c r="B12" s="3"/>
      <c r="C12" s="3"/>
      <c r="D12" s="3"/>
      <c r="E12" s="3"/>
      <c r="F12" s="3"/>
      <c r="G12" s="3"/>
      <c r="H12" s="3"/>
    </row>
    <row r="13">
      <c r="A13" s="7" t="inlineStr">
        <is>
          <t xml:space="preserve">Market Capitalization = Price × Shares Outstanding</t>
        </is>
      </c>
      <c r="B13" s="16">
        <f>'Inputs_VZ'!$B$21*'Inputs_VZ'!$B$22</f>
        <v>200073199852.31</v>
      </c>
    </row>
    <row r="14">
      <c r="A14" s="7" t="inlineStr">
        <is>
          <t xml:space="preserve">Effective Tax Rate = Tax Provision / Pretax Income (latest FY)</t>
        </is>
      </c>
      <c r="B14" s="17">
        <f>'Inputs_VZ'!$B$15/'Inputs_VZ'!$B$14</f>
        <v>0.22335920959774172</v>
      </c>
      <c r="D14" s="9" t="inlineStr">
        <is>
          <t xml:space="preserve">Method: derived. Spec: wacc-capm.md — derived as tax_provision/pretax_income, valid range [0,1); DEFAULT_TAX_RATE=21% only on missing data.</t>
        </is>
      </c>
    </row>
    <row r="15">
      <c r="A15" s="7" t="inlineStr">
        <is>
          <t xml:space="preserve">Cost of Debt = |Interest Expense| / Total Debt (latest FY)</t>
        </is>
      </c>
      <c r="B15" s="17">
        <f>ABS('Inputs_VZ'!$B$16)/'Inputs_VZ'!$B$17</f>
        <v>0.04232690483717989</v>
      </c>
    </row>
    <row r="16">
      <c r="A16" s="7" t="inlineStr">
        <is>
          <t xml:space="preserve">Cost of Equity (CAPM) = Rf + Beta × MRP</t>
        </is>
      </c>
      <c r="B16" s="17">
        <f>'Inputs_VZ'!$B$27+'Inputs_VZ'!$B$23*'Inputs_VZ'!$B$28</f>
        <v>0.052705</v>
      </c>
    </row>
    <row r="17">
      <c r="A17" s="7" t="inlineStr">
        <is>
          <t xml:space="preserve">After-Tax Cost of Debt = Cost of Debt × (1 − Tax Rate)</t>
        </is>
      </c>
      <c r="B17" s="17">
        <f>B15*(1-B14)</f>
        <v>0.03287280082802856</v>
      </c>
    </row>
    <row r="18">
      <c r="A18" s="7" t="inlineStr">
        <is>
          <t xml:space="preserve">Weight of Equity = MktCap / (MktCap + Total Debt)</t>
        </is>
      </c>
      <c r="B18" s="17">
        <f>B13/(B13+'Inputs_VZ'!$B$17)</f>
        <v>0.5585154728526716</v>
      </c>
    </row>
    <row r="19">
      <c r="A19" s="7" t="inlineStr">
        <is>
          <t xml:space="preserve">Weight of Debt = Total Debt / (MktCap + Total Debt)</t>
        </is>
      </c>
      <c r="B19" s="17">
        <f>'Inputs_VZ'!$B$17/(B13+'Inputs_VZ'!$B$17)</f>
        <v>0.4414845271473284</v>
      </c>
    </row>
    <row r="20">
      <c r="A20" s="7" t="inlineStr">
        <is>
          <t xml:space="preserve">Raw WACC = We×Re + Wd×Rd(after-tax)</t>
        </is>
      </c>
      <c r="B20" s="17">
        <f>B18*B16+B19*B17</f>
        <v>0.04394939092627055</v>
      </c>
    </row>
    <row r="21">
      <c r="A21" s="7" t="inlineStr">
        <is>
          <t xml:space="preserve">Final WACC — clamped to [5%,20%] (A-006), via MEDIAN(raw,min,max)</t>
        </is>
      </c>
      <c r="B21" s="17">
        <f>MEDIAN(B20,'Inputs_VZ'!$B$34,'Inputs_VZ'!$B$35)</f>
        <v>0.05</v>
      </c>
      <c r="D21" s="9" t="inlineStr">
        <is>
          <t xml:space="preserve">MEDIAN(x,min,max) is a standard single-formula clamp: returns min if x&lt;min, max if x&gt;max, else x.</t>
        </is>
      </c>
    </row>
    <row r="23">
      <c r="A23" s="3" t="inlineStr">
        <is>
          <t xml:space="preserve">SECTION 3 — 5-Year Free Cash Flow Projection  [dcf.md §Free Cash Flow projection]</t>
        </is>
      </c>
      <c r="B23" s="3"/>
      <c r="C23" s="3"/>
      <c r="D23" s="3"/>
      <c r="E23" s="3"/>
      <c r="F23" s="3"/>
      <c r="G23" s="3"/>
      <c r="H23" s="3"/>
    </row>
    <row r="24">
      <c r="A24" s="4" t="inlineStr">
        <is>
          <t xml:space="preserve"/>
        </is>
      </c>
      <c r="B24" s="5" t="inlineStr">
        <is>
          <t xml:space="preserve">Year 0 (base, actual)</t>
        </is>
      </c>
      <c r="C24" s="5" t="inlineStr">
        <is>
          <t xml:space="preserve">Year 1</t>
        </is>
      </c>
      <c r="D24" s="5" t="inlineStr">
        <is>
          <t xml:space="preserve">Year 2</t>
        </is>
      </c>
      <c r="E24" s="5" t="inlineStr">
        <is>
          <t xml:space="preserve">Year 3</t>
        </is>
      </c>
      <c r="F24" s="5" t="inlineStr">
        <is>
          <t xml:space="preserve">Year 4</t>
        </is>
      </c>
      <c r="G24" s="5" t="inlineStr">
        <is>
          <t xml:space="preserve">Year 5</t>
        </is>
      </c>
    </row>
    <row r="25">
      <c r="A25" s="7" t="inlineStr">
        <is>
          <t xml:space="preserve">Revenue = Revenue_(t-1) × (1 + growth)</t>
        </is>
      </c>
      <c r="B25" s="16">
        <f>'Inputs_VZ'!$B$10</f>
        <v>138191000000</v>
      </c>
      <c r="C25" s="16">
        <f>B25*(1+$B$9)</f>
        <v>139359801998.83038</v>
      </c>
      <c r="D25" s="16">
        <f>C25*(1+$B$9)</f>
        <v>140538489577.13028</v>
      </c>
      <c r="E25" s="16">
        <f>D25*(1+$B$9)</f>
        <v>141727146345.88046</v>
      </c>
      <c r="F25" s="16">
        <f>E25*(1+$B$9)</f>
        <v>142925856623.23276</v>
      </c>
      <c r="G25" s="16">
        <f>F25*(1+$B$9)</f>
        <v>144134705440.49133</v>
      </c>
    </row>
    <row r="26">
      <c r="A26" s="7" t="inlineStr">
        <is>
          <t xml:space="preserve">EBIT = Revenue × Operating Margin</t>
        </is>
      </c>
      <c r="C26" s="16">
        <f>C25*$B$10</f>
        <v>29566978346.704273</v>
      </c>
      <c r="D26" s="16">
        <f>D25*$B$10</f>
        <v>29817052109.76412</v>
      </c>
      <c r="E26" s="16">
        <f>E25*$B$10</f>
        <v>30069240965.0812</v>
      </c>
      <c r="F26" s="16">
        <f>F25*$B$10</f>
        <v>30323562801.83829</v>
      </c>
      <c r="G26" s="16">
        <f>G25*$B$10</f>
        <v>30580035660.52263</v>
      </c>
    </row>
    <row r="27">
      <c r="A27" s="7" t="inlineStr">
        <is>
          <t xml:space="preserve">NOPAT = EBIT × (1 − Tax Rate)</t>
        </is>
      </c>
      <c r="C27" s="16">
        <f>C26*(1-$B$14)</f>
        <v>22962921432.990864</v>
      </c>
      <c r="D27" s="16">
        <f>D26*(1-$B$14)</f>
        <v>23157138917.992527</v>
      </c>
      <c r="E27" s="16">
        <f>E26*(1-$B$14)</f>
        <v>23352999069.916626</v>
      </c>
      <c r="F27" s="16">
        <f>F26*(1-$B$14)</f>
        <v>23550515782.23221</v>
      </c>
      <c r="G27" s="16">
        <f>G26*(1-$B$14)</f>
        <v>23749703065.91754</v>
      </c>
    </row>
    <row r="28">
      <c r="A28" s="7" t="inlineStr">
        <is>
          <t xml:space="preserve">D&amp;A = Revenue × D&amp;A% (A-004)</t>
        </is>
      </c>
      <c r="C28" s="16">
        <f>C25*'Inputs_VZ'!$B$31</f>
        <v>4180794059.9649115</v>
      </c>
      <c r="D28" s="16">
        <f>D25*'Inputs_VZ'!$B$31</f>
        <v>4216154687.313908</v>
      </c>
      <c r="E28" s="16">
        <f>E25*'Inputs_VZ'!$B$31</f>
        <v>4251814390.376414</v>
      </c>
      <c r="F28" s="16">
        <f>F25*'Inputs_VZ'!$B$31</f>
        <v>4287775698.6969824</v>
      </c>
      <c r="G28" s="16">
        <f>G25*'Inputs_VZ'!$B$31</f>
        <v>4324041163.21474</v>
      </c>
    </row>
    <row r="29">
      <c r="A29" s="7" t="inlineStr">
        <is>
          <t xml:space="preserve">CapEx = Revenue × CapEx% (A-004)</t>
        </is>
      </c>
      <c r="C29" s="16">
        <f>C25*'Inputs_VZ'!$B$32</f>
        <v>5574392079.953216</v>
      </c>
      <c r="D29" s="16">
        <f>D25*'Inputs_VZ'!$B$32</f>
        <v>5621539583.085212</v>
      </c>
      <c r="E29" s="16">
        <f>E25*'Inputs_VZ'!$B$32</f>
        <v>5669085853.835218</v>
      </c>
      <c r="F29" s="16">
        <f>F25*'Inputs_VZ'!$B$32</f>
        <v>5717034264.929311</v>
      </c>
      <c r="G29" s="16">
        <f>G25*'Inputs_VZ'!$B$32</f>
        <v>5765388217.619654</v>
      </c>
    </row>
    <row r="30">
      <c r="A30" s="7" t="inlineStr">
        <is>
          <t xml:space="preserve">ΔNWC = NWC% × (Revenue_t − Revenue_(t-1)) (A-004)</t>
        </is>
      </c>
      <c r="C30" s="16">
        <f>'Inputs_VZ'!$B$33*(C25-B25)</f>
        <v>11688019.988303833</v>
      </c>
      <c r="D30" s="16">
        <f>'Inputs_VZ'!$B$33*(D25-C25)</f>
        <v>11786875.782998962</v>
      </c>
      <c r="E30" s="16">
        <f>'Inputs_VZ'!$B$33*(E25-D25)</f>
        <v>11886567.687501831</v>
      </c>
      <c r="F30" s="16">
        <f>'Inputs_VZ'!$B$33*(F25-E25)</f>
        <v>11987102.773522949</v>
      </c>
      <c r="G30" s="16">
        <f>'Inputs_VZ'!$B$33*(G25-F25)</f>
        <v>12088488.172585754</v>
      </c>
    </row>
    <row r="31">
      <c r="A31" s="7" t="inlineStr">
        <is>
          <t xml:space="preserve">Unlevered FCF = NOPAT + D&amp;A − CapEx − ΔNWC</t>
        </is>
      </c>
      <c r="C31" s="16">
        <f>C27+C28-C29-C30</f>
        <v>21557635393.014256</v>
      </c>
      <c r="D31" s="16">
        <f>D27+D28-D29-D30</f>
        <v>21739967146.438225</v>
      </c>
      <c r="E31" s="16">
        <f>E27+E28-E29-E30</f>
        <v>21923841038.770325</v>
      </c>
      <c r="F31" s="16">
        <f>F27+F28-F29-F30</f>
        <v>22109270113.22636</v>
      </c>
      <c r="G31" s="16">
        <f>G27+G28-G29-G30</f>
        <v>22296267523.340042</v>
      </c>
    </row>
    <row r="33">
      <c r="A33" s="3" t="inlineStr">
        <is>
          <t xml:space="preserve">SECTION 4 — Terminal Value (Gordon Growth)  [dcf.md §Terminal value]</t>
        </is>
      </c>
      <c r="B33" s="3"/>
      <c r="C33" s="3"/>
      <c r="D33" s="3"/>
      <c r="E33" s="3"/>
      <c r="F33" s="3"/>
      <c r="G33" s="3"/>
      <c r="H33" s="3"/>
    </row>
    <row r="34">
      <c r="A34" s="7" t="inlineStr">
        <is>
          <t xml:space="preserve">Terminal Value = FCF_Y5 × (1+g) / (WACC − g)</t>
        </is>
      </c>
      <c r="B34" s="16">
        <f>G31*(1+'Inputs_VZ'!$B$29)/(B21-'Inputs_VZ'!$B$29)</f>
        <v>914146968456.9417</v>
      </c>
    </row>
    <row r="35">
      <c r="A35" s="7" t="inlineStr">
        <is>
          <t xml:space="preserve">Check: Final WACC &gt; Terminal Growth Rate?</t>
        </is>
      </c>
      <c r="B35" s="21" t="str">
        <f>IF(B21&gt;'Inputs_VZ'!$B$29,"PASS","FAIL")</f>
        <v>PASS</v>
      </c>
    </row>
    <row r="37">
      <c r="A37" s="3" t="inlineStr">
        <is>
          <t xml:space="preserve">SECTION 5 — Discounting &amp; Enterprise-to-Equity Bridge  [dcf.md §Discounting and the Enterprise-to-Equity bridge]</t>
        </is>
      </c>
      <c r="B37" s="3"/>
      <c r="C37" s="3"/>
      <c r="D37" s="3"/>
      <c r="E37" s="3"/>
      <c r="F37" s="3"/>
      <c r="G37" s="3"/>
      <c r="H37" s="3"/>
    </row>
    <row r="38">
      <c r="A38" s="7" t="inlineStr">
        <is>
          <t xml:space="preserve">PV(FCF_t) = FCF_t / (1+WACC)^t</t>
        </is>
      </c>
      <c r="C38" s="16">
        <f>C31/(1+$B$21)^1</f>
        <v>20531081326.68024</v>
      </c>
      <c r="D38" s="16">
        <f>D31/(1+$B$21)^2</f>
        <v>19718791062.529003</v>
      </c>
      <c r="E38" s="16">
        <f>E31/(1+$B$21)^3</f>
        <v>18938638193.517178</v>
      </c>
      <c r="F38" s="16">
        <f>F31/(1+$B$21)^4</f>
        <v>18189351237.993515</v>
      </c>
      <c r="G38" s="16">
        <f>G31/(1+$B$21)^5</f>
        <v>17469709019.11782</v>
      </c>
    </row>
    <row r="39">
      <c r="A39" s="7" t="inlineStr">
        <is>
          <t xml:space="preserve">Sum of PV(FCF Years 1-5)</t>
        </is>
      </c>
      <c r="B39" s="16">
        <f>SUM(C38:G38)</f>
        <v>94847570839.83777</v>
      </c>
    </row>
    <row r="40">
      <c r="A40" s="7" t="inlineStr">
        <is>
          <t xml:space="preserve">PV(Terminal Value) = TV / (1+WACC)^5</t>
        </is>
      </c>
      <c r="B40" s="16">
        <f>B34/(1+B21)^5</f>
        <v>716258069783.8307</v>
      </c>
    </row>
    <row r="41">
      <c r="A41" s="7" t="inlineStr">
        <is>
          <t xml:space="preserve">Enterprise Value = Sum PV(FCF) + PV(Terminal Value)</t>
        </is>
      </c>
      <c r="B41" s="16">
        <f>B39+B40</f>
        <v>811105640623.6685</v>
      </c>
    </row>
    <row r="42">
      <c r="A42" s="7" t="inlineStr">
        <is>
          <t xml:space="preserve">Equity Value = Enterprise Value − Total Debt + Cash</t>
        </is>
      </c>
      <c r="B42" s="16">
        <f>B41-'Inputs_VZ'!$B$17+'Inputs_VZ'!$B$18</f>
        <v>672003640623.6685</v>
      </c>
    </row>
    <row r="43">
      <c r="A43" s="7" t="inlineStr">
        <is>
          <t xml:space="preserve">Intrinsic Value per Share = Equity Value / Shares Outstanding</t>
        </is>
      </c>
      <c r="B43" s="19">
        <f>B42/'Inputs_VZ'!$B$22</f>
        <v>161.74247894330927</v>
      </c>
    </row>
    <row r="44">
      <c r="A44" s="7" t="inlineStr">
        <is>
          <t xml:space="preserve">Current Price / Intrinsic Value (descriptive ratio, NOT a recommendation)</t>
        </is>
      </c>
      <c r="B44" s="20">
        <f>'Inputs_VZ'!$B$21/B43</f>
        <v>0.2977263630099198</v>
      </c>
    </row>
    <row r="46">
      <c r="A46" s="3" t="inlineStr">
        <is>
          <t xml:space="preserve">SECTION 6 — Validation Checks (local to this company)</t>
        </is>
      </c>
      <c r="B46" s="3"/>
      <c r="C46" s="3"/>
      <c r="D46" s="3"/>
      <c r="E46" s="3"/>
      <c r="F46" s="3"/>
      <c r="G46" s="3"/>
      <c r="H46" s="3"/>
    </row>
    <row r="47">
      <c r="A47" s="7" t="inlineStr">
        <is>
          <t xml:space="preserve">WACC within documented clamp [5%,20%]?</t>
        </is>
      </c>
      <c r="B47" s="22" t="str">
        <f>IF(AND(B21&gt;='Inputs_VZ'!$B$34,B21&lt;='Inputs_VZ'!$B$35),"PASS","FAIL")</f>
        <v>PASS</v>
      </c>
    </row>
    <row r="48">
      <c r="A48" s="7" t="inlineStr">
        <is>
          <t xml:space="preserve">Enterprise Value is a finite number?</t>
        </is>
      </c>
      <c r="B48" s="22" t="str">
        <f>IF(ISNUMBER(B41),"PASS","FAIL")</f>
        <v>PASS</v>
      </c>
    </row>
    <row r="49">
      <c r="A49" s="7" t="inlineStr">
        <is>
          <t xml:space="preserve">Intrinsic Value per Share is a finite number?</t>
        </is>
      </c>
      <c r="B49" s="22" t="str">
        <f>IF(ISNUMBER(B43),"PASS","FAIL")</f>
        <v>PASS</v>
      </c>
    </row>
    <row r="50">
      <c r="A50" s="7" t="inlineStr">
        <is>
          <t xml:space="preserve">Intrinsic Value per Share is positive?</t>
        </is>
      </c>
      <c r="B50" s="22" t="str">
        <f>IF(B43&gt;0,"PASS","FAIL")</f>
        <v>PASS</v>
      </c>
    </row>
    <row r="51">
      <c r="A51" s="7" t="inlineStr">
        <is>
          <t xml:space="preserve">Effective tax rate within valid [0,1) range?</t>
        </is>
      </c>
      <c r="B51" s="22" t="str">
        <f>IF(AND(B14&gt;=0,B14&lt;1),"PASS","FAIL")</f>
        <v>PASS</v>
      </c>
    </row>
    <row r="52">
      <c r="A52" s="7" t="inlineStr">
        <is>
          <t xml:space="preserve">Final WACC exceeds terminal growth rate?</t>
        </is>
      </c>
      <c r="B52" s="22" t="str">
        <f>IF(B21&gt;'Inputs_VZ'!$B$29,"PASS","FAIL")</f>
        <v>PASS</v>
      </c>
    </row>
  </sheetData>
  <mergeCells count="7">
    <mergeCell ref="A1:G1"/>
    <mergeCell ref="A4:H4"/>
    <mergeCell ref="A12:H12"/>
    <mergeCell ref="A23:H23"/>
    <mergeCell ref="A33:H33"/>
    <mergeCell ref="A37:H37"/>
    <mergeCell ref="A46:H46"/>
  </mergeCells>
</worksheet>
</file>

<file path=xl/worksheets/sheet15.xml><?xml version="1.0" encoding="utf-8"?>
<worksheet xmlns="http://schemas.openxmlformats.org/spreadsheetml/2006/main">
  <dimension ref="A1:O60"/>
  <sheetViews>
    <sheetView workbookViewId="0">
      <pane xSplit="1" ySplit="2" topLeftCell="B3" activePane="bottomRight" state="frozen"/>
      <selection pane="bottomRight" activeCell="B3" sqref="B3"/>
    </sheetView>
  </sheetViews>
  <sheetFormatPr defaultRowHeight="15"/>
  <cols>
    <col min="1" max="1" width="14"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s>
  <sheetData>
    <row r="1">
      <c r="A1" s="1" t="inlineStr">
        <is>
          <t xml:space="preserve">Sensitivity Analysis — VZ</t>
        </is>
      </c>
    </row>
    <row r="2">
      <c r="A2" s="2" t="inlineStr">
        <is>
          <t xml:space="preserve">One variable at a time, other inputs held at base case. Per docs/independent-validation-plan.md §Sensitivity tables.</t>
        </is>
      </c>
    </row>
    <row r="4">
      <c r="A4" s="3" t="inlineStr">
        <is>
          <t xml:space="preserve">TABLE 1 — WACC Sensitivity (range [5%,20%], base FCF path held fixed)  [dcf.md Terminal Value + discounting]</t>
        </is>
      </c>
      <c r="B4" s="3"/>
      <c r="C4" s="3"/>
      <c r="D4" s="3"/>
      <c r="E4" s="3"/>
    </row>
    <row r="5">
      <c r="A5" s="4" t="inlineStr">
        <is>
          <t xml:space="preserve">WACC</t>
        </is>
      </c>
      <c r="B5" s="4" t="inlineStr">
        <is>
          <t xml:space="preserve">Terminal Value</t>
        </is>
      </c>
      <c r="C5" s="4" t="inlineStr">
        <is>
          <t xml:space="preserve">Enterprise Value</t>
        </is>
      </c>
      <c r="D5" s="4" t="inlineStr">
        <is>
          <t xml:space="preserve">Equity Value</t>
        </is>
      </c>
      <c r="E5" s="4" t="inlineStr">
        <is>
          <t xml:space="preserve">Intrinsic Value/Share</t>
        </is>
      </c>
    </row>
    <row r="6">
      <c r="A6" s="12">
        <v>0.05</v>
      </c>
      <c r="B6" s="16">
        <f>IF($A$6&lt;='Inputs_VZ'!$B$29,"n/a (WACC&lt;=g)",'DCF_VZ'!$G$31*(1+'Inputs_VZ'!$B$29)/($A$6-'Inputs_VZ'!$B$29))</f>
        <v>914146968456.9417</v>
      </c>
      <c r="C6" s="16">
        <f>IF(B6="n/a (WACC&lt;=g)","n/a",SUMPRODUCT('DCF_VZ'!$C$31:$G$31,1/(1+$A$6)^{1,2,3,4,5})+B6/(1+$A$6)^5)</f>
        <v>811105640623.6685</v>
      </c>
      <c r="D6" s="16">
        <f>IF(C6="n/a","n/a",C6-'Inputs_VZ'!$B$17+'Inputs_VZ'!$B$18)</f>
        <v>672003640623.6685</v>
      </c>
      <c r="E6" s="19">
        <f>IF(D6="n/a","n/a",D6/'Inputs_VZ'!$B$22)</f>
        <v>161.74247894330927</v>
      </c>
    </row>
    <row r="7">
      <c r="A7" s="12">
        <v>0.075</v>
      </c>
      <c r="B7" s="16">
        <f>IF($A$7&lt;='Inputs_VZ'!$B$29,"n/a (WACC&lt;=g)",'DCF_VZ'!$G$31*(1+'Inputs_VZ'!$B$29)/($A$7-'Inputs_VZ'!$B$29))</f>
        <v>457073484228.4709</v>
      </c>
      <c r="C7" s="16">
        <f>IF(B7="n/a (WACC&lt;=g)","n/a",SUMPRODUCT('DCF_VZ'!$C$31:$G$31,1/(1+$A$7)^{1,2,3,4,5})+B7/(1+$A$7)^5)</f>
        <v>406978316291.96436</v>
      </c>
      <c r="D7" s="16">
        <f>IF(C7="n/a","n/a",C7-'Inputs_VZ'!$B$17+'Inputs_VZ'!$B$18)</f>
        <v>267876316291.96436</v>
      </c>
      <c r="E7" s="19">
        <f>IF(D7="n/a","n/a",D7/'Inputs_VZ'!$B$22)</f>
        <v>64.4743225007735</v>
      </c>
    </row>
    <row r="8">
      <c r="A8" s="12">
        <v>0.1</v>
      </c>
      <c r="B8" s="16">
        <f>IF($A$8&lt;='Inputs_VZ'!$B$29,"n/a (WACC&lt;=g)",'DCF_VZ'!$G$31*(1+'Inputs_VZ'!$B$29)/($A$8-'Inputs_VZ'!$B$29))</f>
        <v>304715656152.31384</v>
      </c>
      <c r="C8" s="16">
        <f>IF(B8="n/a (WACC&lt;=g)","n/a",SUMPRODUCT('DCF_VZ'!$C$31:$G$31,1/(1+$A$8)^{1,2,3,4,5})+B8/(1+$A$8)^5)</f>
        <v>272186076899.82446</v>
      </c>
      <c r="D8" s="16">
        <f>IF(C8="n/a","n/a",C8-'Inputs_VZ'!$B$17+'Inputs_VZ'!$B$18)</f>
        <v>133084076899.82446</v>
      </c>
      <c r="E8" s="19">
        <f>IF(D8="n/a","n/a",D8/'Inputs_VZ'!$B$22)</f>
        <v>32.03159507541137</v>
      </c>
    </row>
    <row r="9">
      <c r="A9" s="12">
        <v>0.125</v>
      </c>
      <c r="B9" s="16">
        <f>IF($A$9&lt;='Inputs_VZ'!$B$29,"n/a (WACC&lt;=g)",'DCF_VZ'!$G$31*(1+'Inputs_VZ'!$B$29)/($A$9-'Inputs_VZ'!$B$29))</f>
        <v>228536742114.2354</v>
      </c>
      <c r="C9" s="16">
        <f>IF(B9="n/a (WACC&lt;=g)","n/a",SUMPRODUCT('DCF_VZ'!$C$31:$G$31,1/(1+$A$9)^{1,2,3,4,5})+B9/(1+$A$9)^5)</f>
        <v>204734623829.54303</v>
      </c>
      <c r="D9" s="16">
        <f>IF(C9="n/a","n/a",C9-'Inputs_VZ'!$B$17+'Inputs_VZ'!$B$18)</f>
        <v>65632623829.54303</v>
      </c>
      <c r="E9" s="19">
        <f>IF(D9="n/a","n/a",D9/'Inputs_VZ'!$B$22)</f>
        <v>15.796913343939572</v>
      </c>
    </row>
    <row r="10">
      <c r="A10" s="12">
        <v>0.15</v>
      </c>
      <c r="B10" s="16">
        <f>IF($A$10&lt;='Inputs_VZ'!$B$29,"n/a (WACC&lt;=g)",'DCF_VZ'!$G$31*(1+'Inputs_VZ'!$B$29)/($A$10-'Inputs_VZ'!$B$29))</f>
        <v>182829393691.38834</v>
      </c>
      <c r="C10" s="16">
        <f>IF(B10="n/a (WACC&lt;=g)","n/a",SUMPRODUCT('DCF_VZ'!$C$31:$G$31,1/(1+$A$10)^{1,2,3,4,5})+B10/(1+$A$10)^5)</f>
        <v>164224343265.81036</v>
      </c>
      <c r="D10" s="16">
        <f>IF(C10="n/a","n/a",C10-'Inputs_VZ'!$B$17+'Inputs_VZ'!$B$18)</f>
        <v>25122343265.810364</v>
      </c>
      <c r="E10" s="19">
        <f>IF(D10="n/a","n/a",D10/'Inputs_VZ'!$B$22)</f>
        <v>6.04661914168476</v>
      </c>
    </row>
    <row r="11">
      <c r="A11" s="12">
        <v>0.175</v>
      </c>
      <c r="B11" s="16">
        <f>IF($A$11&lt;='Inputs_VZ'!$B$29,"n/a (WACC&lt;=g)",'DCF_VZ'!$G$31*(1+'Inputs_VZ'!$B$29)/($A$11-'Inputs_VZ'!$B$29))</f>
        <v>152357828076.15695</v>
      </c>
      <c r="C11" s="16">
        <f>IF(B11="n/a (WACC&lt;=g)","n/a",SUMPRODUCT('DCF_VZ'!$C$31:$G$31,1/(1+$A$11)^{1,2,3,4,5})+B11/(1+$A$11)^5)</f>
        <v>137188165809.37946</v>
      </c>
      <c r="D11" s="16">
        <f>IF(C11="n/a","n/a",C11-'Inputs_VZ'!$B$17+'Inputs_VZ'!$B$18)</f>
        <v>-1913834190.6205444</v>
      </c>
      <c r="E11" s="19">
        <f>IF(D11="n/a","n/a",D11/'Inputs_VZ'!$B$22)</f>
        <v>-0.4606348352371206</v>
      </c>
    </row>
    <row r="12">
      <c r="A12" s="12">
        <v>0.2</v>
      </c>
      <c r="B12" s="16">
        <f>IF($A$12&lt;='Inputs_VZ'!$B$29,"n/a (WACC&lt;=g)",'DCF_VZ'!$G$31*(1+'Inputs_VZ'!$B$29)/($A$12-'Inputs_VZ'!$B$29))</f>
        <v>130592424065.27737</v>
      </c>
      <c r="C12" s="16">
        <f>IF(B12="n/a (WACC&lt;=g)","n/a",SUMPRODUCT('DCF_VZ'!$C$31:$G$31,1/(1+$A$12)^{1,2,3,4,5})+B12/(1+$A$12)^5)</f>
        <v>117854103491.64014</v>
      </c>
      <c r="D12" s="16">
        <f>IF(C12="n/a","n/a",C12-'Inputs_VZ'!$B$17+'Inputs_VZ'!$B$18)</f>
        <v>-21247896508.359863</v>
      </c>
      <c r="E12" s="19">
        <f>IF(D12="n/a","n/a",D12/'Inputs_VZ'!$B$22)</f>
        <v>-5.114090528443436</v>
      </c>
    </row>
    <row r="13" ht="45" customHeight="1">
      <c r="A13" s="26" t="inlineStr">
        <is>
          <t xml:space="preserve">Direction check: IV decreases as WACC rises?</t>
        </is>
      </c>
      <c r="B13" s="22" t="str">
        <f>IF(E6&gt;E12,"PASS (as expected)","FAIL — investigate (see note)")</f>
        <v>PASS (as expected)</v>
      </c>
    </row>
    <row r="16">
      <c r="A16" s="3" t="inlineStr">
        <is>
          <t xml:space="preserve">TABLE 2 — Terminal Growth Rate Sensitivity (range [0%,5%]); invalid where g&gt;=WACC</t>
        </is>
      </c>
      <c r="B16" s="3"/>
      <c r="C16" s="3"/>
      <c r="D16" s="3"/>
      <c r="E16" s="3"/>
    </row>
    <row r="17">
      <c r="A17" s="4" t="inlineStr">
        <is>
          <t xml:space="preserve">Terminal Growth g</t>
        </is>
      </c>
      <c r="B17" s="4" t="inlineStr">
        <is>
          <t xml:space="preserve">Terminal Value</t>
        </is>
      </c>
      <c r="C17" s="4" t="inlineStr">
        <is>
          <t xml:space="preserve">Enterprise Value</t>
        </is>
      </c>
      <c r="D17" s="4" t="inlineStr">
        <is>
          <t xml:space="preserve">Equity Value</t>
        </is>
      </c>
      <c r="E17" s="4" t="inlineStr">
        <is>
          <t xml:space="preserve">Intrinsic Value/Share</t>
        </is>
      </c>
    </row>
    <row r="18">
      <c r="A18" s="12">
        <v>0.0</v>
      </c>
      <c r="B18" s="16">
        <f>IF($A$18&gt;='DCF_VZ'!$B$21,"n/a (g&gt;=WACC)",'DCF_VZ'!$G$31*(1+$A$18)/('DCF_VZ'!$B$21-$A$18))</f>
        <v>445925350466.80084</v>
      </c>
      <c r="C18" s="16">
        <f>IF(B18="n/a (g&gt;=WACC)","n/a",'DCF_VZ'!$B$39+B18/(1+'DCF_VZ'!$B$21)^5)</f>
        <v>444241751222.1942</v>
      </c>
      <c r="D18" s="16">
        <f>IF(C18="n/a","n/a",C18-'Inputs_VZ'!$B$17+'Inputs_VZ'!$B$18)</f>
        <v>305139751222.1942</v>
      </c>
      <c r="E18" s="19">
        <f>IF(D18="n/a","n/a",D18/'Inputs_VZ'!$B$22)</f>
        <v>73.44314346424999</v>
      </c>
    </row>
    <row r="19">
      <c r="A19" s="12">
        <v>0.01</v>
      </c>
      <c r="B19" s="16">
        <f>IF($A$19&gt;='DCF_VZ'!$B$21,"n/a (g&gt;=WACC)",'DCF_VZ'!$G$31*(1+$A$19)/('DCF_VZ'!$B$21-$A$19))</f>
        <v>562980754964.336</v>
      </c>
      <c r="C19" s="16">
        <f>IF(B19="n/a (g&gt;=WACC)","n/a",'DCF_VZ'!$B$39+B19/(1+'DCF_VZ'!$B$21)^5)</f>
        <v>535957723572.56274</v>
      </c>
      <c r="D19" s="16">
        <f>IF(C19="n/a","n/a",C19-'Inputs_VZ'!$B$17+'Inputs_VZ'!$B$18)</f>
        <v>396855723572.56274</v>
      </c>
      <c r="E19" s="19">
        <f>IF(D19="n/a","n/a",D19/'Inputs_VZ'!$B$22)</f>
        <v>95.5179773340148</v>
      </c>
    </row>
    <row r="20">
      <c r="A20" s="12">
        <v>0.02</v>
      </c>
      <c r="B20" s="16">
        <f>IF($A$20&gt;='DCF_VZ'!$B$21,"n/a (g&gt;=WACC)",'DCF_VZ'!$G$31*(1+$A$20)/('DCF_VZ'!$B$21-$A$20))</f>
        <v>758073095793.5614</v>
      </c>
      <c r="C20" s="16">
        <f>IF(B20="n/a (g&gt;=WACC)","n/a",'DCF_VZ'!$B$39+B20/(1+'DCF_VZ'!$B$21)^5)</f>
        <v>688817677489.8436</v>
      </c>
      <c r="D20" s="16">
        <f>IF(C20="n/a","n/a",C20-'Inputs_VZ'!$B$17+'Inputs_VZ'!$B$18)</f>
        <v>549715677489.8436</v>
      </c>
      <c r="E20" s="19">
        <f>IF(D20="n/a","n/a",D20/'Inputs_VZ'!$B$22)</f>
        <v>132.30936711695614</v>
      </c>
    </row>
    <row r="21">
      <c r="A21" s="12">
        <v>0.025</v>
      </c>
      <c r="B21" s="16">
        <f>IF($A$21&gt;='DCF_VZ'!$B$21,"n/a (g&gt;=WACC)",'DCF_VZ'!$G$31*(1+$A$21)/('DCF_VZ'!$B$21-$A$21))</f>
        <v>914146968456.9417</v>
      </c>
      <c r="C21" s="16">
        <f>IF(B21="n/a (g&gt;=WACC)","n/a",'DCF_VZ'!$B$39+B21/(1+'DCF_VZ'!$B$21)^5)</f>
        <v>811105640623.6685</v>
      </c>
      <c r="D21" s="16">
        <f>IF(C21="n/a","n/a",C21-'Inputs_VZ'!$B$17+'Inputs_VZ'!$B$18)</f>
        <v>672003640623.6685</v>
      </c>
      <c r="E21" s="19">
        <f>IF(D21="n/a","n/a",D21/'Inputs_VZ'!$B$22)</f>
        <v>161.74247894330927</v>
      </c>
    </row>
    <row r="22">
      <c r="A22" s="12">
        <v>0.03</v>
      </c>
      <c r="B22" s="16">
        <f>IF($A$22&gt;='DCF_VZ'!$B$21,"n/a (g&gt;=WACC)",'DCF_VZ'!$G$31*(1+$A$22)/('DCF_VZ'!$B$21-$A$22))</f>
        <v>1148257777452.012</v>
      </c>
      <c r="C22" s="16">
        <f>IF(B22="n/a (g&gt;=WACC)","n/a",'DCF_VZ'!$B$39+B22/(1+'DCF_VZ'!$B$21)^5)</f>
        <v>994537585324.4054</v>
      </c>
      <c r="D22" s="16">
        <f>IF(C22="n/a","n/a",C22-'Inputs_VZ'!$B$17+'Inputs_VZ'!$B$18)</f>
        <v>855435585324.4054</v>
      </c>
      <c r="E22" s="19">
        <f>IF(D22="n/a","n/a",D22/'Inputs_VZ'!$B$22)</f>
        <v>205.89214668283884</v>
      </c>
    </row>
    <row r="23">
      <c r="A23" s="12">
        <v>0.04</v>
      </c>
      <c r="B23" s="16">
        <f>IF($A$23&gt;='DCF_VZ'!$B$21,"n/a (g&gt;=WACC)",'DCF_VZ'!$G$31*(1+$A$23)/('DCF_VZ'!$B$21-$A$23))</f>
        <v>2318811822427.364</v>
      </c>
      <c r="C23" s="16">
        <f>IF(B23="n/a (g&gt;=WACC)","n/a",'DCF_VZ'!$B$39+B23/(1+'DCF_VZ'!$B$21)^5)</f>
        <v>1911697308828.0908</v>
      </c>
      <c r="D23" s="16">
        <f>IF(C23="n/a","n/a",C23-'Inputs_VZ'!$B$17+'Inputs_VZ'!$B$18)</f>
        <v>1772595308828.0908</v>
      </c>
      <c r="E23" s="19">
        <f>IF(D23="n/a","n/a",D23/'Inputs_VZ'!$B$22)</f>
        <v>426.64048538048695</v>
      </c>
    </row>
    <row r="24">
      <c r="A24" s="12">
        <v>0.05</v>
      </c>
      <c r="B24" s="16" t="str">
        <f>IF($A$24&gt;='DCF_VZ'!$B$21,"n/a (g&gt;=WACC)",'DCF_VZ'!$G$31*(1+$A$24)/('DCF_VZ'!$B$21-$A$24))</f>
        <v>n/a</v>
      </c>
      <c r="C24" s="16" t="str">
        <f>IF(B24="n/a (g&gt;=WACC)","n/a",'DCF_VZ'!$B$39+B24/(1+'DCF_VZ'!$B$21)^5)</f>
        <v>n/a</v>
      </c>
      <c r="D24" s="16" t="str">
        <f>IF(C24="n/a","n/a",C24-'Inputs_VZ'!$B$17+'Inputs_VZ'!$B$18)</f>
        <v>n/a</v>
      </c>
      <c r="E24" s="19" t="str">
        <f>IF(D24="n/a","n/a",D24/'Inputs_VZ'!$B$22)</f>
        <v>n/a</v>
      </c>
    </row>
    <row r="25" ht="45" customHeight="1">
      <c r="A25" s="26" t="inlineStr">
        <is>
          <t xml:space="preserve">Direction check: IV increases as terminal growth rises (where valid)?</t>
        </is>
      </c>
      <c r="B25" s="22" t="str">
        <f>IF(E18&lt;E23,"PASS (as expected)","FAIL — investigate (see note)")</f>
        <v>PASS (as expected)</v>
      </c>
    </row>
    <row r="28">
      <c r="A28" s="3" t="inlineStr">
        <is>
          <t xml:space="preserve">TABLE 3 — Revenue Growth Sensitivity (range [-10%,40%]); base WACC &amp; margin held fixed</t>
        </is>
      </c>
      <c r="B28" s="3"/>
      <c r="C28" s="3"/>
      <c r="D28" s="3"/>
      <c r="E28" s="3"/>
      <c r="F28" s="3"/>
      <c r="G28" s="3"/>
      <c r="H28" s="3"/>
      <c r="I28" s="3"/>
      <c r="J28" s="3"/>
      <c r="K28" s="3"/>
      <c r="L28" s="3"/>
      <c r="M28" s="3"/>
      <c r="N28" s="3"/>
    </row>
    <row r="29">
      <c r="A29" s="4" t="inlineStr">
        <is>
          <t xml:space="preserve">Growth g</t>
        </is>
      </c>
      <c r="B29" s="4" t="inlineStr">
        <is>
          <t xml:space="preserve">Rev Y1</t>
        </is>
      </c>
      <c r="C29" s="4" t="inlineStr">
        <is>
          <t xml:space="preserve">Rev Y2</t>
        </is>
      </c>
      <c r="D29" s="4" t="inlineStr">
        <is>
          <t xml:space="preserve">Rev Y3</t>
        </is>
      </c>
      <c r="E29" s="4" t="inlineStr">
        <is>
          <t xml:space="preserve">Rev Y4</t>
        </is>
      </c>
      <c r="F29" s="4" t="inlineStr">
        <is>
          <t xml:space="preserve">Rev Y5</t>
        </is>
      </c>
      <c r="G29" s="4" t="inlineStr">
        <is>
          <t xml:space="preserve">FCF Y1</t>
        </is>
      </c>
      <c r="H29" s="4" t="inlineStr">
        <is>
          <t xml:space="preserve">FCF Y2</t>
        </is>
      </c>
      <c r="I29" s="4" t="inlineStr">
        <is>
          <t xml:space="preserve">FCF Y3</t>
        </is>
      </c>
      <c r="J29" s="4" t="inlineStr">
        <is>
          <t xml:space="preserve">FCF Y4</t>
        </is>
      </c>
      <c r="K29" s="4" t="inlineStr">
        <is>
          <t xml:space="preserve">FCF Y5</t>
        </is>
      </c>
      <c r="L29" s="4" t="inlineStr">
        <is>
          <t xml:space="preserve">Terminal Value</t>
        </is>
      </c>
      <c r="M29" s="4" t="inlineStr">
        <is>
          <t xml:space="preserve">Enterprise Value</t>
        </is>
      </c>
      <c r="N29" s="4" t="inlineStr">
        <is>
          <t xml:space="preserve">Equity Value</t>
        </is>
      </c>
      <c r="O29" s="4" t="inlineStr">
        <is>
          <t xml:space="preserve">Intrinsic Value/Share</t>
        </is>
      </c>
    </row>
    <row r="30">
      <c r="A30" s="12">
        <v>-0.1</v>
      </c>
      <c r="B30" s="16">
        <f>'DCF_VZ'!$B$25*(1+$A$30)</f>
        <v>124371900000.0</v>
      </c>
      <c r="C30" s="16">
        <f>B30*(1+$A$30)</f>
        <v>111934710000.0</v>
      </c>
      <c r="D30" s="16">
        <f>C30*(1+$A$30)</f>
        <v>100741239000.0</v>
      </c>
      <c r="E30" s="16">
        <f>D30*(1+$A$30)</f>
        <v>90667115100.0</v>
      </c>
      <c r="F30" s="16">
        <f>E30*(1+$A$30)</f>
        <v>81600403590.0</v>
      </c>
      <c r="G30" s="16">
        <f>B30*'DCF_VZ'!$B$10*(1-'DCF_VZ'!$B$14)+B30*'Inputs_VZ'!$B$31-B30*'Inputs_VZ'!$B$32-'Inputs_VZ'!$B$33*(B30-'DCF_VZ'!$B$25)</f>
        <v>19387771554.169613</v>
      </c>
      <c r="H30" s="16">
        <f>C30*'DCF_VZ'!$B$10*(1-'DCF_VZ'!$B$14)+C30*'Inputs_VZ'!$B$31-C30*'Inputs_VZ'!$B$32-'Inputs_VZ'!$B$33*(C30-B30)</f>
        <v>17448994398.75265</v>
      </c>
      <c r="I30" s="16">
        <f>D30*'DCF_VZ'!$B$10*(1-'DCF_VZ'!$B$14)+D30*'Inputs_VZ'!$B$31-D30*'Inputs_VZ'!$B$32-'Inputs_VZ'!$B$33*(D30-C30)</f>
        <v>15704094958.877388</v>
      </c>
      <c r="J30" s="16">
        <f>E30*'DCF_VZ'!$B$10*(1-'DCF_VZ'!$B$14)+E30*'Inputs_VZ'!$B$31-E30*'Inputs_VZ'!$B$32-'Inputs_VZ'!$B$33*(E30-D30)</f>
        <v>14133685462.989647</v>
      </c>
      <c r="K30" s="16">
        <f>F30*'DCF_VZ'!$B$10*(1-'DCF_VZ'!$B$14)+F30*'Inputs_VZ'!$B$31-F30*'Inputs_VZ'!$B$32-'Inputs_VZ'!$B$33*(F30-E30)</f>
        <v>12720316916.690685</v>
      </c>
      <c r="L30" s="16">
        <f>K30*(1+'Inputs_VZ'!$B$29)/('DCF_VZ'!$B$21-'Inputs_VZ'!$B$29)</f>
        <v>521532993584.31805</v>
      </c>
      <c r="M30" s="16">
        <f>SUMPRODUCT(G30:K30,1/(1+'DCF_VZ'!$B$21)^{1,2,3,4,5})+L30/(1+'DCF_VZ'!$B$21)^5</f>
        <v>478086350611.0796</v>
      </c>
      <c r="N30" s="16">
        <f>M30-'Inputs_VZ'!$B$17+'Inputs_VZ'!$B$18</f>
        <v>338984350611.0796</v>
      </c>
      <c r="O30" s="19">
        <f>N30/'Inputs_VZ'!$B$22</f>
        <v>81.58909546969025</v>
      </c>
    </row>
    <row r="31">
      <c r="A31" s="12">
        <v>-0.05</v>
      </c>
      <c r="B31" s="16">
        <f>'DCF_VZ'!$B$25*(1+$A$31)</f>
        <v>131281450000.0</v>
      </c>
      <c r="C31" s="16">
        <f>B31*(1+$A$31)</f>
        <v>124717377500.0</v>
      </c>
      <c r="D31" s="16">
        <f>C31*(1+$A$31)</f>
        <v>118481508625.0</v>
      </c>
      <c r="E31" s="16">
        <f>D31*(1+$A$31)</f>
        <v>112557433193.75</v>
      </c>
      <c r="F31" s="16">
        <f>E31*(1+$A$31)</f>
        <v>106929561534.0625</v>
      </c>
      <c r="G31" s="16">
        <f>B31*'DCF_VZ'!$B$10*(1-'DCF_VZ'!$B$14)+B31*'Inputs_VZ'!$B$31-B31*'Inputs_VZ'!$B$32-'Inputs_VZ'!$B$33*(B31-'DCF_VZ'!$B$25)</f>
        <v>20388097196.067924</v>
      </c>
      <c r="H31" s="16">
        <f>C31*'DCF_VZ'!$B$10*(1-'DCF_VZ'!$B$14)+C31*'Inputs_VZ'!$B$31-C31*'Inputs_VZ'!$B$32-'Inputs_VZ'!$B$33*(C31-B31)</f>
        <v>19368692336.264526</v>
      </c>
      <c r="I31" s="16">
        <f>D31*'DCF_VZ'!$B$10*(1-'DCF_VZ'!$B$14)+D31*'Inputs_VZ'!$B$31-D31*'Inputs_VZ'!$B$32-'Inputs_VZ'!$B$33*(D31-C31)</f>
        <v>18400257719.4513</v>
      </c>
      <c r="J31" s="16">
        <f>E31*'DCF_VZ'!$B$10*(1-'DCF_VZ'!$B$14)+E31*'Inputs_VZ'!$B$31-E31*'Inputs_VZ'!$B$32-'Inputs_VZ'!$B$33*(E31-D31)</f>
        <v>17480244833.478737</v>
      </c>
      <c r="K31" s="16">
        <f>F31*'DCF_VZ'!$B$10*(1-'DCF_VZ'!$B$14)+F31*'Inputs_VZ'!$B$31-F31*'Inputs_VZ'!$B$32-'Inputs_VZ'!$B$33*(F31-E31)</f>
        <v>16606232591.804798</v>
      </c>
      <c r="L31" s="16">
        <f>K31*(1+'Inputs_VZ'!$B$29)/('DCF_VZ'!$B$21-'Inputs_VZ'!$B$29)</f>
        <v>680855536263.9966</v>
      </c>
      <c r="M31" s="16">
        <f>SUMPRODUCT(G31:K31,1/(1+'DCF_VZ'!$B$21)^{1,2,3,4,5})+L31/(1+'DCF_VZ'!$B$21)^5</f>
        <v>613740631468.1014</v>
      </c>
      <c r="N31" s="16">
        <f>M31-'Inputs_VZ'!$B$17+'Inputs_VZ'!$B$18</f>
        <v>474638631468.10144</v>
      </c>
      <c r="O31" s="19">
        <f>N31/'Inputs_VZ'!$B$22</f>
        <v>114.23930499046563</v>
      </c>
    </row>
    <row r="32">
      <c r="A32" s="12">
        <v>0.0</v>
      </c>
      <c r="B32" s="16">
        <f>'DCF_VZ'!$B$25*(1+$A$32)</f>
        <v>138191000000.0</v>
      </c>
      <c r="C32" s="16">
        <f>B32*(1+$A$32)</f>
        <v>138191000000.0</v>
      </c>
      <c r="D32" s="16">
        <f>C32*(1+$A$32)</f>
        <v>138191000000.0</v>
      </c>
      <c r="E32" s="16">
        <f>D32*(1+$A$32)</f>
        <v>138191000000.0</v>
      </c>
      <c r="F32" s="16">
        <f>E32*(1+$A$32)</f>
        <v>138191000000.0</v>
      </c>
      <c r="G32" s="16">
        <f>B32*'DCF_VZ'!$B$10*(1-'DCF_VZ'!$B$14)+B32*'Inputs_VZ'!$B$31-B32*'Inputs_VZ'!$B$32-'Inputs_VZ'!$B$33*(B32-'DCF_VZ'!$B$25)</f>
        <v>21388422837.966236</v>
      </c>
      <c r="H32" s="16">
        <f>C32*'DCF_VZ'!$B$10*(1-'DCF_VZ'!$B$14)+C32*'Inputs_VZ'!$B$31-C32*'Inputs_VZ'!$B$32-'Inputs_VZ'!$B$33*(C32-B32)</f>
        <v>21388422837.966236</v>
      </c>
      <c r="I32" s="16">
        <f>D32*'DCF_VZ'!$B$10*(1-'DCF_VZ'!$B$14)+D32*'Inputs_VZ'!$B$31-D32*'Inputs_VZ'!$B$32-'Inputs_VZ'!$B$33*(D32-C32)</f>
        <v>21388422837.966236</v>
      </c>
      <c r="J32" s="16">
        <f>E32*'DCF_VZ'!$B$10*(1-'DCF_VZ'!$B$14)+E32*'Inputs_VZ'!$B$31-E32*'Inputs_VZ'!$B$32-'Inputs_VZ'!$B$33*(E32-D32)</f>
        <v>21388422837.966236</v>
      </c>
      <c r="K32" s="16">
        <f>F32*'DCF_VZ'!$B$10*(1-'DCF_VZ'!$B$14)+F32*'Inputs_VZ'!$B$31-F32*'Inputs_VZ'!$B$32-'Inputs_VZ'!$B$33*(F32-E32)</f>
        <v>21388422837.966236</v>
      </c>
      <c r="L32" s="16">
        <f>K32*(1+'Inputs_VZ'!$B$29)/('DCF_VZ'!$B$21-'Inputs_VZ'!$B$29)</f>
        <v>876925336356.6156</v>
      </c>
      <c r="M32" s="16">
        <f>SUMPRODUCT(G32:K32,1/(1+'DCF_VZ'!$B$21)^{1,2,3,4,5})+L32/(1+'DCF_VZ'!$B$21)^5</f>
        <v>779694624773.1251</v>
      </c>
      <c r="N32" s="16">
        <f>M32-'Inputs_VZ'!$B$17+'Inputs_VZ'!$B$18</f>
        <v>640592624773.1251</v>
      </c>
      <c r="O32" s="19">
        <f>N32/'Inputs_VZ'!$B$22</f>
        <v>154.18225863694397</v>
      </c>
    </row>
    <row r="33">
      <c r="A33" s="12">
        <v>0.05</v>
      </c>
      <c r="B33" s="16">
        <f>'DCF_VZ'!$B$25*(1+$A$33)</f>
        <v>145100550000.0</v>
      </c>
      <c r="C33" s="16">
        <f>B33*(1+$A$33)</f>
        <v>152355577500.0</v>
      </c>
      <c r="D33" s="16">
        <f>C33*(1+$A$33)</f>
        <v>159973356375.0</v>
      </c>
      <c r="E33" s="16">
        <f>D33*(1+$A$33)</f>
        <v>167972024193.75</v>
      </c>
      <c r="F33" s="16">
        <f>E33*(1+$A$33)</f>
        <v>176370625403.4375</v>
      </c>
      <c r="G33" s="16">
        <f>B33*'DCF_VZ'!$B$10*(1-'DCF_VZ'!$B$14)+B33*'Inputs_VZ'!$B$31-B33*'Inputs_VZ'!$B$32-'Inputs_VZ'!$B$33*(B33-'DCF_VZ'!$B$25)</f>
        <v>22388748479.86455</v>
      </c>
      <c r="H33" s="16">
        <f>C33*'DCF_VZ'!$B$10*(1-'DCF_VZ'!$B$14)+C33*'Inputs_VZ'!$B$31-C33*'Inputs_VZ'!$B$32-'Inputs_VZ'!$B$33*(C33-B33)</f>
        <v>23508185903.857777</v>
      </c>
      <c r="I33" s="16">
        <f>D33*'DCF_VZ'!$B$10*(1-'DCF_VZ'!$B$14)+D33*'Inputs_VZ'!$B$31-D33*'Inputs_VZ'!$B$32-'Inputs_VZ'!$B$33*(D33-C33)</f>
        <v>24683595199.050663</v>
      </c>
      <c r="J33" s="16">
        <f>E33*'DCF_VZ'!$B$10*(1-'DCF_VZ'!$B$14)+E33*'Inputs_VZ'!$B$31-E33*'Inputs_VZ'!$B$32-'Inputs_VZ'!$B$33*(E33-D33)</f>
        <v>25917774959.003197</v>
      </c>
      <c r="K33" s="16">
        <f>F33*'DCF_VZ'!$B$10*(1-'DCF_VZ'!$B$14)+F33*'Inputs_VZ'!$B$31-F33*'Inputs_VZ'!$B$32-'Inputs_VZ'!$B$33*(F33-E33)</f>
        <v>27213663706.95336</v>
      </c>
      <c r="L33" s="16">
        <f>K33*(1+'Inputs_VZ'!$B$29)/('DCF_VZ'!$B$21-'Inputs_VZ'!$B$29)</f>
        <v>1115760211985.0876</v>
      </c>
      <c r="M33" s="16">
        <f>SUMPRODUCT(G33:K33,1/(1+'DCF_VZ'!$B$21)^{1,2,3,4,5})+L33/(1+'DCF_VZ'!$B$21)^5</f>
        <v>980840409594.0657</v>
      </c>
      <c r="N33" s="16">
        <f>M33-'Inputs_VZ'!$B$17+'Inputs_VZ'!$B$18</f>
        <v>841738409594.0657</v>
      </c>
      <c r="O33" s="19">
        <f>N33/'Inputs_VZ'!$B$22</f>
        <v>202.5954157974359</v>
      </c>
    </row>
    <row r="34">
      <c r="A34" s="12">
        <v>0.1</v>
      </c>
      <c r="B34" s="16">
        <f>'DCF_VZ'!$B$25*(1+$A$34)</f>
        <v>152010100000.0</v>
      </c>
      <c r="C34" s="16">
        <f>B34*(1+$A$34)</f>
        <v>167211110000.0</v>
      </c>
      <c r="D34" s="16">
        <f>C34*(1+$A$34)</f>
        <v>183932221000.0</v>
      </c>
      <c r="E34" s="16">
        <f>D34*(1+$A$34)</f>
        <v>202325443100.00003</v>
      </c>
      <c r="F34" s="16">
        <f>E34*(1+$A$34)</f>
        <v>222557987410.00006</v>
      </c>
      <c r="G34" s="16">
        <f>B34*'DCF_VZ'!$B$10*(1-'DCF_VZ'!$B$14)+B34*'Inputs_VZ'!$B$31-B34*'Inputs_VZ'!$B$32-'Inputs_VZ'!$B$33*(B34-'DCF_VZ'!$B$25)</f>
        <v>23389074121.76286</v>
      </c>
      <c r="H34" s="16">
        <f>C34*'DCF_VZ'!$B$10*(1-'DCF_VZ'!$B$14)+C34*'Inputs_VZ'!$B$31-C34*'Inputs_VZ'!$B$32-'Inputs_VZ'!$B$33*(C34-B34)</f>
        <v>25727981533.939144</v>
      </c>
      <c r="I34" s="16">
        <f>D34*'DCF_VZ'!$B$10*(1-'DCF_VZ'!$B$14)+D34*'Inputs_VZ'!$B$31-D34*'Inputs_VZ'!$B$32-'Inputs_VZ'!$B$33*(D34-C34)</f>
        <v>28300779687.333054</v>
      </c>
      <c r="J34" s="16">
        <f>E34*'DCF_VZ'!$B$10*(1-'DCF_VZ'!$B$14)+E34*'Inputs_VZ'!$B$31-E34*'Inputs_VZ'!$B$32-'Inputs_VZ'!$B$33*(E34-D34)</f>
        <v>31130857656.066376</v>
      </c>
      <c r="K34" s="16">
        <f>F34*'DCF_VZ'!$B$10*(1-'DCF_VZ'!$B$14)+F34*'Inputs_VZ'!$B$31-F34*'Inputs_VZ'!$B$32-'Inputs_VZ'!$B$33*(F34-E34)</f>
        <v>34243943421.67302</v>
      </c>
      <c r="L34" s="16">
        <f>K34*(1+'Inputs_VZ'!$B$29)/('DCF_VZ'!$B$21-'Inputs_VZ'!$B$29)</f>
        <v>1404001680288.5938</v>
      </c>
      <c r="M34" s="16">
        <f>SUMPRODUCT(G34:K34,1/(1+'DCF_VZ'!$B$21)^{1,2,3,4,5})+L34/(1+'DCF_VZ'!$B$21)^5</f>
        <v>1222573137543.357</v>
      </c>
      <c r="N34" s="16">
        <f>M34-'Inputs_VZ'!$B$17+'Inputs_VZ'!$B$18</f>
        <v>1083471137543.3569</v>
      </c>
      <c r="O34" s="19">
        <f>N34/'Inputs_VZ'!$B$22</f>
        <v>260.7773188358789</v>
      </c>
    </row>
    <row r="35">
      <c r="A35" s="12">
        <v>0.2</v>
      </c>
      <c r="B35" s="16">
        <f>'DCF_VZ'!$B$25*(1+$A$35)</f>
        <v>165829200000.0</v>
      </c>
      <c r="C35" s="16">
        <f>B35*(1+$A$35)</f>
        <v>198995040000.0</v>
      </c>
      <c r="D35" s="16">
        <f>C35*(1+$A$35)</f>
        <v>238794048000.0</v>
      </c>
      <c r="E35" s="16">
        <f>D35*(1+$A$35)</f>
        <v>286552857600.0</v>
      </c>
      <c r="F35" s="16">
        <f>E35*(1+$A$35)</f>
        <v>343863429120.0</v>
      </c>
      <c r="G35" s="16">
        <f>B35*'DCF_VZ'!$B$10*(1-'DCF_VZ'!$B$14)+B35*'Inputs_VZ'!$B$31-B35*'Inputs_VZ'!$B$32-'Inputs_VZ'!$B$33*(B35-'DCF_VZ'!$B$25)</f>
        <v>25389725405.559486</v>
      </c>
      <c r="H35" s="16">
        <f>C35*'DCF_VZ'!$B$10*(1-'DCF_VZ'!$B$14)+C35*'Inputs_VZ'!$B$31-C35*'Inputs_VZ'!$B$32-'Inputs_VZ'!$B$33*(C35-B35)</f>
        <v>30467670486.67138</v>
      </c>
      <c r="I35" s="16">
        <f>D35*'DCF_VZ'!$B$10*(1-'DCF_VZ'!$B$14)+D35*'Inputs_VZ'!$B$31-D35*'Inputs_VZ'!$B$32-'Inputs_VZ'!$B$33*(D35-C35)</f>
        <v>36561204584.00566</v>
      </c>
      <c r="J35" s="16">
        <f>E35*'DCF_VZ'!$B$10*(1-'DCF_VZ'!$B$14)+E35*'Inputs_VZ'!$B$31-E35*'Inputs_VZ'!$B$32-'Inputs_VZ'!$B$33*(E35-D35)</f>
        <v>43873445500.806786</v>
      </c>
      <c r="K35" s="16">
        <f>F35*'DCF_VZ'!$B$10*(1-'DCF_VZ'!$B$14)+F35*'Inputs_VZ'!$B$31-F35*'Inputs_VZ'!$B$32-'Inputs_VZ'!$B$33*(F35-E35)</f>
        <v>52648134600.96815</v>
      </c>
      <c r="L35" s="16">
        <f>K35*(1+'Inputs_VZ'!$B$29)/('DCF_VZ'!$B$21-'Inputs_VZ'!$B$29)</f>
        <v>2158573518639.6938</v>
      </c>
      <c r="M35" s="16">
        <f>SUMPRODUCT(G35:K35,1/(1+'DCF_VZ'!$B$21)^{1,2,3,4,5})+L35/(1+'DCF_VZ'!$B$21)^5</f>
        <v>1852043526667.9243</v>
      </c>
      <c r="N35" s="16">
        <f>M35-'Inputs_VZ'!$B$17+'Inputs_VZ'!$B$18</f>
        <v>1712941526667.9243</v>
      </c>
      <c r="O35" s="19">
        <f>N35/'Inputs_VZ'!$B$22</f>
        <v>412.28260095596966</v>
      </c>
    </row>
    <row r="36">
      <c r="A36" s="12">
        <v>0.3</v>
      </c>
      <c r="B36" s="16">
        <f>'DCF_VZ'!$B$25*(1+$A$36)</f>
        <v>179648300000.0</v>
      </c>
      <c r="C36" s="16">
        <f>B36*(1+$A$36)</f>
        <v>233542790000.0</v>
      </c>
      <c r="D36" s="16">
        <f>C36*(1+$A$36)</f>
        <v>303605627000.0</v>
      </c>
      <c r="E36" s="16">
        <f>D36*(1+$A$36)</f>
        <v>394687315100.0</v>
      </c>
      <c r="F36" s="16">
        <f>E36*(1+$A$36)</f>
        <v>513093509630.0</v>
      </c>
      <c r="G36" s="16">
        <f>B36*'DCF_VZ'!$B$10*(1-'DCF_VZ'!$B$14)+B36*'Inputs_VZ'!$B$31-B36*'Inputs_VZ'!$B$32-'Inputs_VZ'!$B$33*(B36-'DCF_VZ'!$B$25)</f>
        <v>27390376689.35611</v>
      </c>
      <c r="H36" s="16">
        <f>C36*'DCF_VZ'!$B$10*(1-'DCF_VZ'!$B$14)+C36*'Inputs_VZ'!$B$31-C36*'Inputs_VZ'!$B$32-'Inputs_VZ'!$B$33*(C36-B36)</f>
        <v>35607489696.16294</v>
      </c>
      <c r="I36" s="16">
        <f>D36*'DCF_VZ'!$B$10*(1-'DCF_VZ'!$B$14)+D36*'Inputs_VZ'!$B$31-D36*'Inputs_VZ'!$B$32-'Inputs_VZ'!$B$33*(D36-C36)</f>
        <v>46289736605.01182</v>
      </c>
      <c r="J36" s="16">
        <f>E36*'DCF_VZ'!$B$10*(1-'DCF_VZ'!$B$14)+E36*'Inputs_VZ'!$B$31-E36*'Inputs_VZ'!$B$32-'Inputs_VZ'!$B$33*(E36-D36)</f>
        <v>60176657586.51538</v>
      </c>
      <c r="K36" s="16">
        <f>F36*'DCF_VZ'!$B$10*(1-'DCF_VZ'!$B$14)+F36*'Inputs_VZ'!$B$31-F36*'Inputs_VZ'!$B$32-'Inputs_VZ'!$B$33*(F36-E36)</f>
        <v>78229654862.46997</v>
      </c>
      <c r="L36" s="16">
        <f>K36*(1+'Inputs_VZ'!$B$29)/('DCF_VZ'!$B$21-'Inputs_VZ'!$B$29)</f>
        <v>3207415849361.268</v>
      </c>
      <c r="M36" s="16">
        <f>SUMPRODUCT(G36:K36,1/(1+'DCF_VZ'!$B$21)^{1,2,3,4,5})+L36/(1+'DCF_VZ'!$B$21)^5</f>
        <v>2722266642171.2026</v>
      </c>
      <c r="N36" s="16">
        <f>M36-'Inputs_VZ'!$B$17+'Inputs_VZ'!$B$18</f>
        <v>2583164642171.2026</v>
      </c>
      <c r="O36" s="19">
        <f>N36/'Inputs_VZ'!$B$22</f>
        <v>621.7339125658916</v>
      </c>
    </row>
    <row r="37">
      <c r="A37" s="12">
        <v>0.4</v>
      </c>
      <c r="B37" s="16">
        <f>'DCF_VZ'!$B$25*(1+$A$37)</f>
        <v>193467400000.0</v>
      </c>
      <c r="C37" s="16">
        <f>B37*(1+$A$37)</f>
        <v>270854359999.99997</v>
      </c>
      <c r="D37" s="16">
        <f>C37*(1+$A$37)</f>
        <v>379196103999.99994</v>
      </c>
      <c r="E37" s="16">
        <f>D37*(1+$A$37)</f>
        <v>530874545599.9999</v>
      </c>
      <c r="F37" s="16">
        <f>E37*(1+$A$37)</f>
        <v>743224363839.9998</v>
      </c>
      <c r="G37" s="16">
        <f>B37*'DCF_VZ'!$B$10*(1-'DCF_VZ'!$B$14)+B37*'Inputs_VZ'!$B$31-B37*'Inputs_VZ'!$B$32-'Inputs_VZ'!$B$33*(B37-'DCF_VZ'!$B$25)</f>
        <v>29391027973.152733</v>
      </c>
      <c r="H37" s="16">
        <f>C37*'DCF_VZ'!$B$10*(1-'DCF_VZ'!$B$14)+C37*'Inputs_VZ'!$B$31-C37*'Inputs_VZ'!$B$32-'Inputs_VZ'!$B$33*(C37-B37)</f>
        <v>41147439162.41382</v>
      </c>
      <c r="I37" s="16">
        <f>D37*'DCF_VZ'!$B$10*(1-'DCF_VZ'!$B$14)+D37*'Inputs_VZ'!$B$31-D37*'Inputs_VZ'!$B$32-'Inputs_VZ'!$B$33*(D37-C37)</f>
        <v>57606414827.37935</v>
      </c>
      <c r="J37" s="16">
        <f>E37*'DCF_VZ'!$B$10*(1-'DCF_VZ'!$B$14)+E37*'Inputs_VZ'!$B$31-E37*'Inputs_VZ'!$B$32-'Inputs_VZ'!$B$33*(E37-D37)</f>
        <v>80648980758.33109</v>
      </c>
      <c r="K37" s="16">
        <f>F37*'DCF_VZ'!$B$10*(1-'DCF_VZ'!$B$14)+F37*'Inputs_VZ'!$B$31-F37*'Inputs_VZ'!$B$32-'Inputs_VZ'!$B$33*(F37-E37)</f>
        <v>112908573061.6635</v>
      </c>
      <c r="L37" s="16">
        <f>K37*(1+'Inputs_VZ'!$B$29)/('DCF_VZ'!$B$21-'Inputs_VZ'!$B$29)</f>
        <v>4629251495528.203</v>
      </c>
      <c r="M37" s="16">
        <f>SUMPRODUCT(G37:K37,1/(1+'DCF_VZ'!$B$21)^{1,2,3,4,5})+L37/(1+'DCF_VZ'!$B$21)^5</f>
        <v>3897032597921.73</v>
      </c>
      <c r="N37" s="16">
        <f>M37-'Inputs_VZ'!$B$17+'Inputs_VZ'!$B$18</f>
        <v>3757930597921.73</v>
      </c>
      <c r="O37" s="19">
        <f>N37/'Inputs_VZ'!$B$22</f>
        <v>904.4846989826935</v>
      </c>
    </row>
    <row r="38" ht="45" customHeight="1">
      <c r="A38" s="26" t="inlineStr">
        <is>
          <t xml:space="preserve">Direction check: IV increases as revenue growth rises?</t>
        </is>
      </c>
      <c r="B38" s="22" t="str">
        <f>IF(O30&lt;O37,"PASS (as expected)","FAIL — investigate (see note)")</f>
        <v>PASS (as expected)</v>
      </c>
    </row>
    <row r="41">
      <c r="A41" s="3" t="inlineStr">
        <is>
          <t xml:space="preserve">TABLE 4 — Operating Margin Sensitivity (range [0%,60%]); base revenue path &amp; WACC held fixed</t>
        </is>
      </c>
      <c r="B41" s="3"/>
      <c r="C41" s="3"/>
      <c r="D41" s="3"/>
      <c r="E41" s="3"/>
      <c r="F41" s="3"/>
      <c r="G41" s="3"/>
      <c r="H41" s="3"/>
      <c r="I41" s="3"/>
      <c r="J41" s="3"/>
    </row>
    <row r="42">
      <c r="A42" s="4" t="inlineStr">
        <is>
          <t xml:space="preserve">Margin</t>
        </is>
      </c>
      <c r="B42" s="4" t="inlineStr">
        <is>
          <t xml:space="preserve">FCF Y1</t>
        </is>
      </c>
      <c r="C42" s="4" t="inlineStr">
        <is>
          <t xml:space="preserve">FCF Y2</t>
        </is>
      </c>
      <c r="D42" s="4" t="inlineStr">
        <is>
          <t xml:space="preserve">FCF Y3</t>
        </is>
      </c>
      <c r="E42" s="4" t="inlineStr">
        <is>
          <t xml:space="preserve">FCF Y4</t>
        </is>
      </c>
      <c r="F42" s="4" t="inlineStr">
        <is>
          <t xml:space="preserve">FCF Y5</t>
        </is>
      </c>
      <c r="G42" s="4" t="inlineStr">
        <is>
          <t xml:space="preserve">Terminal Value</t>
        </is>
      </c>
      <c r="H42" s="4" t="inlineStr">
        <is>
          <t xml:space="preserve">Enterprise Value</t>
        </is>
      </c>
      <c r="I42" s="4" t="inlineStr">
        <is>
          <t xml:space="preserve">Equity Value</t>
        </is>
      </c>
      <c r="J42" s="4" t="inlineStr">
        <is>
          <t xml:space="preserve">Intrinsic Value/Share</t>
        </is>
      </c>
    </row>
    <row r="43">
      <c r="A43" s="12">
        <v>0.0</v>
      </c>
      <c r="B43" s="16">
        <f>'DCF_VZ'!$C$25*$A$43*(1-'DCF_VZ'!$B$14)+'DCF_VZ'!$C$28-'DCF_VZ'!$C$29-'DCF_VZ'!$C$30</f>
        <v>-1405286039.976608</v>
      </c>
      <c r="C43" s="16">
        <f>'DCF_VZ'!$D$25*$A$43*(1-'DCF_VZ'!$B$14)+'DCF_VZ'!$D$28-'DCF_VZ'!$D$29-'DCF_VZ'!$D$30</f>
        <v>-1417171771.5543027</v>
      </c>
      <c r="D43" s="16">
        <f>'DCF_VZ'!$E$25*$A$43*(1-'DCF_VZ'!$B$14)+'DCF_VZ'!$E$28-'DCF_VZ'!$E$29-'DCF_VZ'!$E$30</f>
        <v>-1429158031.1463065</v>
      </c>
      <c r="E43" s="16">
        <f>'DCF_VZ'!$F$25*$A$43*(1-'DCF_VZ'!$B$14)+'DCF_VZ'!$F$28-'DCF_VZ'!$F$29-'DCF_VZ'!$F$30</f>
        <v>-1441245669.0058513</v>
      </c>
      <c r="F43" s="16">
        <f>'DCF_VZ'!$G$25*$A$43*(1-'DCF_VZ'!$B$14)+'DCF_VZ'!$G$28-'DCF_VZ'!$G$29-'DCF_VZ'!$G$30</f>
        <v>-1453435542.5774996</v>
      </c>
      <c r="G43" s="16">
        <f>F43*(1+'Inputs_VZ'!$B$29)/('DCF_VZ'!$B$21-'Inputs_VZ'!$B$29)</f>
        <v>-59590857245.677475</v>
      </c>
      <c r="H43" s="16">
        <f>SUMPRODUCT(B43:F43,1/(1+'DCF_VZ'!$B$21)^{1,2,3,4,5})+G43/(1+'DCF_VZ'!$B$21)^5</f>
        <v>-52873861763.34015</v>
      </c>
      <c r="I43" s="16">
        <f>H43-'Inputs_VZ'!$B$17+'Inputs_VZ'!$B$18</f>
        <v>-191975861763.34015</v>
      </c>
      <c r="J43" s="19">
        <f>I43/'Inputs_VZ'!$B$22</f>
        <v>-46.20607672610735</v>
      </c>
    </row>
    <row r="44">
      <c r="A44" s="12">
        <v>0.1</v>
      </c>
      <c r="B44" s="16">
        <f>'DCF_VZ'!$C$25*$A$44*(1-'DCF_VZ'!$B$14)+'DCF_VZ'!$C$28-'DCF_VZ'!$C$29-'DCF_VZ'!$C$30</f>
        <v>9417964637.490776</v>
      </c>
      <c r="C44" s="16">
        <f>'DCF_VZ'!$D$25*$A$44*(1-'DCF_VZ'!$B$14)+'DCF_VZ'!$D$28-'DCF_VZ'!$D$29-'DCF_VZ'!$D$30</f>
        <v>9497620591.157896</v>
      </c>
      <c r="D44" s="16">
        <f>'DCF_VZ'!$E$25*$A$44*(1-'DCF_VZ'!$B$14)+'DCF_VZ'!$E$28-'DCF_VZ'!$E$29-'DCF_VZ'!$E$30</f>
        <v>9577950264.805807</v>
      </c>
      <c r="E44" s="16">
        <f>'DCF_VZ'!$F$25*$A$44*(1-'DCF_VZ'!$B$14)+'DCF_VZ'!$F$28-'DCF_VZ'!$F$29-'DCF_VZ'!$F$30</f>
        <v>9658959356.672884</v>
      </c>
      <c r="F44" s="16">
        <f>'DCF_VZ'!$G$25*$A$44*(1-'DCF_VZ'!$B$14)+'DCF_VZ'!$G$28-'DCF_VZ'!$G$29-'DCF_VZ'!$G$30</f>
        <v>9740653613.192486</v>
      </c>
      <c r="G44" s="16">
        <f>F44*(1+'Inputs_VZ'!$B$29)/('DCF_VZ'!$B$21-'Inputs_VZ'!$B$29)</f>
        <v>399366798140.89185</v>
      </c>
      <c r="H44" s="16">
        <f>SUMPRODUCT(B44:F44,1/(1+'DCF_VZ'!$B$21)^{1,2,3,4,5})+G44/(1+'DCF_VZ'!$B$21)^5</f>
        <v>354350748651.14435</v>
      </c>
      <c r="I44" s="16">
        <f>H44-'Inputs_VZ'!$B$17+'Inputs_VZ'!$B$18</f>
        <v>215248748651.14435</v>
      </c>
      <c r="J44" s="19">
        <f>I44/'Inputs_VZ'!$B$22</f>
        <v>51.80755592926646</v>
      </c>
    </row>
    <row r="45">
      <c r="A45" s="12">
        <v>0.2</v>
      </c>
      <c r="B45" s="16">
        <f>'DCF_VZ'!$C$25*$A$45*(1-'DCF_VZ'!$B$14)+'DCF_VZ'!$C$28-'DCF_VZ'!$C$29-'DCF_VZ'!$C$30</f>
        <v>20241215314.958164</v>
      </c>
      <c r="C45" s="16">
        <f>'DCF_VZ'!$D$25*$A$45*(1-'DCF_VZ'!$B$14)+'DCF_VZ'!$D$28-'DCF_VZ'!$D$29-'DCF_VZ'!$D$30</f>
        <v>20412412953.8701</v>
      </c>
      <c r="D45" s="16">
        <f>'DCF_VZ'!$E$25*$A$45*(1-'DCF_VZ'!$B$14)+'DCF_VZ'!$E$28-'DCF_VZ'!$E$29-'DCF_VZ'!$E$30</f>
        <v>20585058560.757927</v>
      </c>
      <c r="E45" s="16">
        <f>'DCF_VZ'!$F$25*$A$45*(1-'DCF_VZ'!$B$14)+'DCF_VZ'!$F$28-'DCF_VZ'!$F$29-'DCF_VZ'!$F$30</f>
        <v>20759164382.35162</v>
      </c>
      <c r="F45" s="16">
        <f>'DCF_VZ'!$G$25*$A$45*(1-'DCF_VZ'!$B$14)+'DCF_VZ'!$G$28-'DCF_VZ'!$G$29-'DCF_VZ'!$G$30</f>
        <v>20934742768.96248</v>
      </c>
      <c r="G45" s="16">
        <f>F45*(1+'Inputs_VZ'!$B$29)/('DCF_VZ'!$B$21-'Inputs_VZ'!$B$29)</f>
        <v>858324453527.4615</v>
      </c>
      <c r="H45" s="16">
        <f>SUMPRODUCT(B45:F45,1/(1+'DCF_VZ'!$B$21)^{1,2,3,4,5})+G45/(1+'DCF_VZ'!$B$21)^5</f>
        <v>761575359065.6293</v>
      </c>
      <c r="I45" s="16">
        <f>H45-'Inputs_VZ'!$B$17+'Inputs_VZ'!$B$18</f>
        <v>622473359065.6293</v>
      </c>
      <c r="J45" s="19">
        <f>I45/'Inputs_VZ'!$B$22</f>
        <v>149.82118858464037</v>
      </c>
    </row>
    <row r="46">
      <c r="A46" s="12">
        <v>0.3</v>
      </c>
      <c r="B46" s="16">
        <f>'DCF_VZ'!$C$25*$A$46*(1-'DCF_VZ'!$B$14)+'DCF_VZ'!$C$28-'DCF_VZ'!$C$29-'DCF_VZ'!$C$30</f>
        <v>31064465992.425545</v>
      </c>
      <c r="C46" s="16">
        <f>'DCF_VZ'!$D$25*$A$46*(1-'DCF_VZ'!$B$14)+'DCF_VZ'!$D$28-'DCF_VZ'!$D$29-'DCF_VZ'!$D$30</f>
        <v>31327205316.5823</v>
      </c>
      <c r="D46" s="16">
        <f>'DCF_VZ'!$E$25*$A$46*(1-'DCF_VZ'!$B$14)+'DCF_VZ'!$E$28-'DCF_VZ'!$E$29-'DCF_VZ'!$E$30</f>
        <v>31592166856.71003</v>
      </c>
      <c r="E46" s="16">
        <f>'DCF_VZ'!$F$25*$A$46*(1-'DCF_VZ'!$B$14)+'DCF_VZ'!$F$28-'DCF_VZ'!$F$29-'DCF_VZ'!$F$30</f>
        <v>31859369408.030346</v>
      </c>
      <c r="F46" s="16">
        <f>'DCF_VZ'!$G$25*$A$46*(1-'DCF_VZ'!$B$14)+'DCF_VZ'!$G$28-'DCF_VZ'!$G$29-'DCF_VZ'!$G$30</f>
        <v>32128831924.73246</v>
      </c>
      <c r="G46" s="16">
        <f>F46*(1+'Inputs_VZ'!$B$29)/('DCF_VZ'!$B$21-'Inputs_VZ'!$B$29)</f>
        <v>1317282108914.0308</v>
      </c>
      <c r="H46" s="16">
        <f>SUMPRODUCT(B46:F46,1/(1+'DCF_VZ'!$B$21)^{1,2,3,4,5})+G46/(1+'DCF_VZ'!$B$21)^5</f>
        <v>1168799969480.1138</v>
      </c>
      <c r="I46" s="16">
        <f>H46-'Inputs_VZ'!$B$17+'Inputs_VZ'!$B$18</f>
        <v>1029697969480.1138</v>
      </c>
      <c r="J46" s="19">
        <f>I46/'Inputs_VZ'!$B$22</f>
        <v>247.83482124001418</v>
      </c>
    </row>
    <row r="47">
      <c r="A47" s="12">
        <v>0.4</v>
      </c>
      <c r="B47" s="16">
        <f>'DCF_VZ'!$C$25*$A$47*(1-'DCF_VZ'!$B$14)+'DCF_VZ'!$C$28-'DCF_VZ'!$C$29-'DCF_VZ'!$C$30</f>
        <v>41887716669.89294</v>
      </c>
      <c r="C47" s="16">
        <f>'DCF_VZ'!$D$25*$A$47*(1-'DCF_VZ'!$B$14)+'DCF_VZ'!$D$28-'DCF_VZ'!$D$29-'DCF_VZ'!$D$30</f>
        <v>42241997679.2945</v>
      </c>
      <c r="D47" s="16">
        <f>'DCF_VZ'!$E$25*$A$47*(1-'DCF_VZ'!$B$14)+'DCF_VZ'!$E$28-'DCF_VZ'!$E$29-'DCF_VZ'!$E$30</f>
        <v>42599275152.66215</v>
      </c>
      <c r="E47" s="16">
        <f>'DCF_VZ'!$F$25*$A$47*(1-'DCF_VZ'!$B$14)+'DCF_VZ'!$F$28-'DCF_VZ'!$F$29-'DCF_VZ'!$F$30</f>
        <v>42959574433.70908</v>
      </c>
      <c r="F47" s="16">
        <f>'DCF_VZ'!$G$25*$A$47*(1-'DCF_VZ'!$B$14)+'DCF_VZ'!$G$28-'DCF_VZ'!$G$29-'DCF_VZ'!$G$30</f>
        <v>43322921080.50245</v>
      </c>
      <c r="G47" s="16">
        <f>F47*(1+'Inputs_VZ'!$B$29)/('DCF_VZ'!$B$21-'Inputs_VZ'!$B$29)</f>
        <v>1776239764300.6</v>
      </c>
      <c r="H47" s="16">
        <f>SUMPRODUCT(B47:F47,1/(1+'DCF_VZ'!$B$21)^{1,2,3,4,5})+G47/(1+'DCF_VZ'!$B$21)^5</f>
        <v>1576024579894.5984</v>
      </c>
      <c r="I47" s="16">
        <f>H47-'Inputs_VZ'!$B$17+'Inputs_VZ'!$B$18</f>
        <v>1436922579894.5984</v>
      </c>
      <c r="J47" s="19">
        <f>I47/'Inputs_VZ'!$B$22</f>
        <v>345.848453895388</v>
      </c>
    </row>
    <row r="48">
      <c r="A48" s="12">
        <v>0.5</v>
      </c>
      <c r="B48" s="16">
        <f>'DCF_VZ'!$C$25*$A$48*(1-'DCF_VZ'!$B$14)+'DCF_VZ'!$C$28-'DCF_VZ'!$C$29-'DCF_VZ'!$C$30</f>
        <v>52710967347.36031</v>
      </c>
      <c r="C48" s="16">
        <f>'DCF_VZ'!$D$25*$A$48*(1-'DCF_VZ'!$B$14)+'DCF_VZ'!$D$28-'DCF_VZ'!$D$29-'DCF_VZ'!$D$30</f>
        <v>53156790042.0067</v>
      </c>
      <c r="D48" s="16">
        <f>'DCF_VZ'!$E$25*$A$48*(1-'DCF_VZ'!$B$14)+'DCF_VZ'!$E$28-'DCF_VZ'!$E$29-'DCF_VZ'!$E$30</f>
        <v>53606383448.61426</v>
      </c>
      <c r="E48" s="16">
        <f>'DCF_VZ'!$F$25*$A$48*(1-'DCF_VZ'!$B$14)+'DCF_VZ'!$F$28-'DCF_VZ'!$F$29-'DCF_VZ'!$F$30</f>
        <v>54059779459.38782</v>
      </c>
      <c r="F48" s="16">
        <f>'DCF_VZ'!$G$25*$A$48*(1-'DCF_VZ'!$B$14)+'DCF_VZ'!$G$28-'DCF_VZ'!$G$29-'DCF_VZ'!$G$30</f>
        <v>54517010236.27244</v>
      </c>
      <c r="G48" s="16">
        <f>F48*(1+'Inputs_VZ'!$B$29)/('DCF_VZ'!$B$21-'Inputs_VZ'!$B$29)</f>
        <v>2235197419687.1694</v>
      </c>
      <c r="H48" s="16">
        <f>SUMPRODUCT(B48:F48,1/(1+'DCF_VZ'!$B$21)^{1,2,3,4,5})+G48/(1+'DCF_VZ'!$B$21)^5</f>
        <v>1983249190309.0828</v>
      </c>
      <c r="I48" s="16">
        <f>H48-'Inputs_VZ'!$B$17+'Inputs_VZ'!$B$18</f>
        <v>1844147190309.0828</v>
      </c>
      <c r="J48" s="19">
        <f>I48/'Inputs_VZ'!$B$22</f>
        <v>443.8620865507618</v>
      </c>
    </row>
    <row r="49">
      <c r="A49" s="12">
        <v>0.6</v>
      </c>
      <c r="B49" s="16">
        <f>'DCF_VZ'!$C$25*$A$49*(1-'DCF_VZ'!$B$14)+'DCF_VZ'!$C$28-'DCF_VZ'!$C$29-'DCF_VZ'!$C$30</f>
        <v>63534218024.827705</v>
      </c>
      <c r="C49" s="16">
        <f>'DCF_VZ'!$D$25*$A$49*(1-'DCF_VZ'!$B$14)+'DCF_VZ'!$D$28-'DCF_VZ'!$D$29-'DCF_VZ'!$D$30</f>
        <v>64071582404.7189</v>
      </c>
      <c r="D49" s="16">
        <f>'DCF_VZ'!$E$25*$A$49*(1-'DCF_VZ'!$B$14)+'DCF_VZ'!$E$28-'DCF_VZ'!$E$29-'DCF_VZ'!$E$30</f>
        <v>64613491744.566376</v>
      </c>
      <c r="E49" s="16">
        <f>'DCF_VZ'!$F$25*$A$49*(1-'DCF_VZ'!$B$14)+'DCF_VZ'!$F$28-'DCF_VZ'!$F$29-'DCF_VZ'!$F$30</f>
        <v>65159984485.06654</v>
      </c>
      <c r="F49" s="16">
        <f>'DCF_VZ'!$G$25*$A$49*(1-'DCF_VZ'!$B$14)+'DCF_VZ'!$G$28-'DCF_VZ'!$G$29-'DCF_VZ'!$G$30</f>
        <v>65711099392.04242</v>
      </c>
      <c r="G49" s="16">
        <f>F49*(1+'Inputs_VZ'!$B$29)/('DCF_VZ'!$B$21-'Inputs_VZ'!$B$29)</f>
        <v>2694155075073.739</v>
      </c>
      <c r="H49" s="16">
        <f>SUMPRODUCT(B49:F49,1/(1+'DCF_VZ'!$B$21)^{1,2,3,4,5})+G49/(1+'DCF_VZ'!$B$21)^5</f>
        <v>2390473800723.5674</v>
      </c>
      <c r="I49" s="16">
        <f>H49-'Inputs_VZ'!$B$17+'Inputs_VZ'!$B$18</f>
        <v>2251371800723.5674</v>
      </c>
      <c r="J49" s="19">
        <f>I49/'Inputs_VZ'!$B$22</f>
        <v>541.8757192061356</v>
      </c>
    </row>
    <row r="50" ht="45" customHeight="1">
      <c r="A50" s="26" t="inlineStr">
        <is>
          <t xml:space="preserve">Direction check: IV increases as operating margin rises?</t>
        </is>
      </c>
      <c r="B50" s="22" t="str">
        <f>IF(J43&lt;J49,"PASS (as expected)","FAIL — investigate")</f>
        <v>PASS (as expected)</v>
      </c>
    </row>
    <row r="53">
      <c r="A53" s="3" t="inlineStr">
        <is>
          <t xml:space="preserve">TABLE 5 — Two-Way Sensitivity: WACC (rows) × Terminal Growth (columns) — Intrinsic Value/Share</t>
        </is>
      </c>
      <c r="B53" s="3"/>
      <c r="C53" s="3"/>
      <c r="D53" s="3"/>
      <c r="E53" s="3"/>
      <c r="F53" s="3"/>
      <c r="G53" s="3"/>
    </row>
    <row r="54">
      <c r="A54" s="4" t="inlineStr">
        <is>
          <t xml:space="preserve">WACC \ g</t>
        </is>
      </c>
      <c r="B54" s="5">
        <v>0.0</v>
      </c>
      <c r="C54" s="5">
        <v>0.01</v>
      </c>
      <c r="D54" s="5">
        <v>0.02</v>
      </c>
      <c r="E54" s="5">
        <v>0.03</v>
      </c>
      <c r="F54" s="5">
        <v>0.04</v>
      </c>
      <c r="G54" s="5">
        <v>0.05</v>
      </c>
    </row>
    <row r="55">
      <c r="A55" s="12">
        <v>0.05</v>
      </c>
      <c r="B55" s="19">
        <f>IF(B$54&gt;=$A55,"n/a",(SUMPRODUCT('DCF_VZ'!$C$31:$G$31,1/(1+$A55)^{1,2,3,4,5})+('DCF_VZ'!$G$31*(1+B$54)/($A55-B$54))/(1+$A55)^5-'Inputs_VZ'!$B$17+'Inputs_VZ'!$B$18)/'Inputs_VZ'!$B$22)</f>
        <v>73.44314346424999</v>
      </c>
      <c r="C55" s="19">
        <f>IF(C$54&gt;=$A55,"n/a",(SUMPRODUCT('DCF_VZ'!$C$31:$G$31,1/(1+$A55)^{1,2,3,4,5})+('DCF_VZ'!$G$31*(1+C$54)/($A55-C$54))/(1+$A55)^5-'Inputs_VZ'!$B$17+'Inputs_VZ'!$B$18)/'Inputs_VZ'!$B$22)</f>
        <v>95.5179773340148</v>
      </c>
      <c r="D55" s="19">
        <f>IF(D$54&gt;=$A55,"n/a",(SUMPRODUCT('DCF_VZ'!$C$31:$G$31,1/(1+$A55)^{1,2,3,4,5})+('DCF_VZ'!$G$31*(1+D$54)/($A55-D$54))/(1+$A55)^5-'Inputs_VZ'!$B$17+'Inputs_VZ'!$B$18)/'Inputs_VZ'!$B$22)</f>
        <v>132.30936711695614</v>
      </c>
      <c r="E55" s="19">
        <f>IF(E$54&gt;=$A55,"n/a",(SUMPRODUCT('DCF_VZ'!$C$31:$G$31,1/(1+$A55)^{1,2,3,4,5})+('DCF_VZ'!$G$31*(1+E$54)/($A55-E$54))/(1+$A55)^5-'Inputs_VZ'!$B$17+'Inputs_VZ'!$B$18)/'Inputs_VZ'!$B$22)</f>
        <v>205.89214668283884</v>
      </c>
      <c r="F55" s="19">
        <f>IF(F$54&gt;=$A55,"n/a",(SUMPRODUCT('DCF_VZ'!$C$31:$G$31,1/(1+$A55)^{1,2,3,4,5})+('DCF_VZ'!$G$31*(1+F$54)/($A55-F$54))/(1+$A55)^5-'Inputs_VZ'!$B$17+'Inputs_VZ'!$B$18)/'Inputs_VZ'!$B$22)</f>
        <v>426.64048538048695</v>
      </c>
      <c r="G55" s="19" t="str">
        <f>IF(G$54&gt;=$A55,"n/a",(SUMPRODUCT('DCF_VZ'!$C$31:$G$31,1/(1+$A55)^{1,2,3,4,5})+('DCF_VZ'!$G$31*(1+G$54)/($A55-G$54))/(1+$A55)^5-'Inputs_VZ'!$B$17+'Inputs_VZ'!$B$18)/'Inputs_VZ'!$B$22)</f>
        <v>n/a</v>
      </c>
    </row>
    <row r="56">
      <c r="A56" s="12">
        <v>0.08</v>
      </c>
      <c r="B56" s="19">
        <f>IF(B$54&gt;=$A56,"n/a",(SUMPRODUCT('DCF_VZ'!$C$31:$G$31,1/(1+$A56)^{1,2,3,4,5})+('DCF_VZ'!$G$31*(1+B$54)/($A56-B$54))/(1+$A56)^5-'Inputs_VZ'!$B$17+'Inputs_VZ'!$B$18)/'Inputs_VZ'!$B$22)</f>
        <v>33.21657320895964</v>
      </c>
      <c r="C56" s="19">
        <f>IF(C$54&gt;=$A56,"n/a",(SUMPRODUCT('DCF_VZ'!$C$31:$G$31,1/(1+$A56)^{1,2,3,4,5})+('DCF_VZ'!$G$31*(1+C$54)/($A56-C$54))/(1+$A56)^5-'Inputs_VZ'!$B$17+'Inputs_VZ'!$B$18)/'Inputs_VZ'!$B$22)</f>
        <v>40.26028515090176</v>
      </c>
      <c r="D56" s="19">
        <f>IF(D$54&gt;=$A56,"n/a",(SUMPRODUCT('DCF_VZ'!$C$31:$G$31,1/(1+$A56)^{1,2,3,4,5})+('DCF_VZ'!$G$31*(1+D$54)/($A56-D$54))/(1+$A56)^5-'Inputs_VZ'!$B$17+'Inputs_VZ'!$B$18)/'Inputs_VZ'!$B$22)</f>
        <v>49.65190107349127</v>
      </c>
      <c r="E56" s="19">
        <f>IF(E$54&gt;=$A56,"n/a",(SUMPRODUCT('DCF_VZ'!$C$31:$G$31,1/(1+$A56)^{1,2,3,4,5})+('DCF_VZ'!$G$31*(1+E$54)/($A56-E$54))/(1+$A56)^5-'Inputs_VZ'!$B$17+'Inputs_VZ'!$B$18)/'Inputs_VZ'!$B$22)</f>
        <v>62.800163365116596</v>
      </c>
      <c r="F56" s="19">
        <f>IF(F$54&gt;=$A56,"n/a",(SUMPRODUCT('DCF_VZ'!$C$31:$G$31,1/(1+$A56)^{1,2,3,4,5})+('DCF_VZ'!$G$31*(1+F$54)/($A56-F$54))/(1+$A56)^5-'Inputs_VZ'!$B$17+'Inputs_VZ'!$B$18)/'Inputs_VZ'!$B$22)</f>
        <v>82.52255680255458</v>
      </c>
      <c r="G56" s="19">
        <f>IF(G$54&gt;=$A56,"n/a",(SUMPRODUCT('DCF_VZ'!$C$31:$G$31,1/(1+$A56)^{1,2,3,4,5})+('DCF_VZ'!$G$31*(1+G$54)/($A56-G$54))/(1+$A56)^5-'Inputs_VZ'!$B$17+'Inputs_VZ'!$B$18)/'Inputs_VZ'!$B$22)</f>
        <v>115.3932125316179</v>
      </c>
    </row>
    <row r="57">
      <c r="A57" s="12">
        <v>0.11</v>
      </c>
      <c r="B57" s="19">
        <f>IF(B$54&gt;=$A57,"n/a",(SUMPRODUCT('DCF_VZ'!$C$31:$G$31,1/(1+$A57)^{1,2,3,4,5})+('DCF_VZ'!$G$31*(1+B$54)/($A57-B$54))/(1+$A57)^5-'Inputs_VZ'!$B$17+'Inputs_VZ'!$B$18)/'Inputs_VZ'!$B$22)</f>
        <v>14.941579715893416</v>
      </c>
      <c r="C57" s="19">
        <f>IF(C$54&gt;=$A57,"n/a",(SUMPRODUCT('DCF_VZ'!$C$31:$G$31,1/(1+$A57)^{1,2,3,4,5})+('DCF_VZ'!$G$31*(1+C$54)/($A57-C$54))/(1+$A57)^5-'Inputs_VZ'!$B$17+'Inputs_VZ'!$B$18)/'Inputs_VZ'!$B$22)</f>
        <v>18.155240517210608</v>
      </c>
      <c r="D57" s="19">
        <f>IF(D$54&gt;=$A57,"n/a",(SUMPRODUCT('DCF_VZ'!$C$31:$G$31,1/(1+$A57)^{1,2,3,4,5})+('DCF_VZ'!$G$31*(1+D$54)/($A57-D$54))/(1+$A57)^5-'Inputs_VZ'!$B$17+'Inputs_VZ'!$B$18)/'Inputs_VZ'!$B$22)</f>
        <v>22.08304816326495</v>
      </c>
      <c r="E57" s="19">
        <f>IF(E$54&gt;=$A57,"n/a",(SUMPRODUCT('DCF_VZ'!$C$31:$G$31,1/(1+$A57)^{1,2,3,4,5})+('DCF_VZ'!$G$31*(1+E$54)/($A57-E$54))/(1+$A57)^5-'Inputs_VZ'!$B$17+'Inputs_VZ'!$B$18)/'Inputs_VZ'!$B$22)</f>
        <v>26.992807720832875</v>
      </c>
      <c r="F57" s="19">
        <f>IF(F$54&gt;=$A57,"n/a",(SUMPRODUCT('DCF_VZ'!$C$31:$G$31,1/(1+$A57)^{1,2,3,4,5})+('DCF_VZ'!$G$31*(1+F$54)/($A57-F$54))/(1+$A57)^5-'Inputs_VZ'!$B$17+'Inputs_VZ'!$B$18)/'Inputs_VZ'!$B$22)</f>
        <v>33.3053557234202</v>
      </c>
      <c r="G57" s="19">
        <f>IF(G$54&gt;=$A57,"n/a",(SUMPRODUCT('DCF_VZ'!$C$31:$G$31,1/(1+$A57)^{1,2,3,4,5})+('DCF_VZ'!$G$31*(1+G$54)/($A57-G$54))/(1+$A57)^5-'Inputs_VZ'!$B$17+'Inputs_VZ'!$B$18)/'Inputs_VZ'!$B$22)</f>
        <v>41.722086393536664</v>
      </c>
    </row>
    <row r="58">
      <c r="A58" s="12">
        <v>0.14</v>
      </c>
      <c r="B58" s="19">
        <f>IF(B$54&gt;=$A58,"n/a",(SUMPRODUCT('DCF_VZ'!$C$31:$G$31,1/(1+$A58)^{1,2,3,4,5})+('DCF_VZ'!$G$31*(1+B$54)/($A58-B$54))/(1+$A58)^5-'Inputs_VZ'!$B$17+'Inputs_VZ'!$B$18)/'Inputs_VZ'!$B$22)</f>
        <v>4.505413670583351</v>
      </c>
      <c r="C58" s="19">
        <f>IF(C$54&gt;=$A58,"n/a",(SUMPRODUCT('DCF_VZ'!$C$31:$G$31,1/(1+$A58)^{1,2,3,4,5})+('DCF_VZ'!$G$31*(1+C$54)/($A58-C$54))/(1+$A58)^5-'Inputs_VZ'!$B$17+'Inputs_VZ'!$B$18)/'Inputs_VZ'!$B$22)</f>
        <v>6.251211071007787</v>
      </c>
      <c r="D58" s="19">
        <f>IF(D$54&gt;=$A58,"n/a",(SUMPRODUCT('DCF_VZ'!$C$31:$G$31,1/(1+$A58)^{1,2,3,4,5})+('DCF_VZ'!$G$31*(1+D$54)/($A58-D$54))/(1+$A58)^5-'Inputs_VZ'!$B$17+'Inputs_VZ'!$B$18)/'Inputs_VZ'!$B$22)</f>
        <v>8.287974704836305</v>
      </c>
      <c r="E58" s="19">
        <f>IF(E$54&gt;=$A58,"n/a",(SUMPRODUCT('DCF_VZ'!$C$31:$G$31,1/(1+$A58)^{1,2,3,4,5})+('DCF_VZ'!$G$31*(1+E$54)/($A58-E$54))/(1+$A58)^5-'Inputs_VZ'!$B$17+'Inputs_VZ'!$B$18)/'Inputs_VZ'!$B$22)</f>
        <v>10.695058999360905</v>
      </c>
      <c r="F58" s="19">
        <f>IF(F$54&gt;=$A58,"n/a",(SUMPRODUCT('DCF_VZ'!$C$31:$G$31,1/(1+$A58)^{1,2,3,4,5})+('DCF_VZ'!$G$31*(1+F$54)/($A58-F$54))/(1+$A58)^5-'Inputs_VZ'!$B$17+'Inputs_VZ'!$B$18)/'Inputs_VZ'!$B$22)</f>
        <v>13.583560152790426</v>
      </c>
      <c r="G58" s="19">
        <f>IF(G$54&gt;=$A58,"n/a",(SUMPRODUCT('DCF_VZ'!$C$31:$G$31,1/(1+$A58)^{1,2,3,4,5})+('DCF_VZ'!$G$31*(1+G$54)/($A58-G$54))/(1+$A58)^5-'Inputs_VZ'!$B$17+'Inputs_VZ'!$B$18)/'Inputs_VZ'!$B$22)</f>
        <v>17.113950451426508</v>
      </c>
    </row>
    <row r="59">
      <c r="A59" s="12">
        <v>0.17</v>
      </c>
      <c r="B59" s="19">
        <f>IF(B$54&gt;=$A59,"n/a",(SUMPRODUCT('DCF_VZ'!$C$31:$G$31,1/(1+$A59)^{1,2,3,4,5})+('DCF_VZ'!$G$31*(1+B$54)/($A59-B$54))/(1+$A59)^5-'Inputs_VZ'!$B$17+'Inputs_VZ'!$B$18)/'Inputs_VZ'!$B$22)</f>
        <v>-2.2426009805615044</v>
      </c>
      <c r="C59" s="19">
        <f>IF(C$54&gt;=$A59,"n/a",(SUMPRODUCT('DCF_VZ'!$C$31:$G$31,1/(1+$A59)^{1,2,3,4,5})+('DCF_VZ'!$G$31*(1+C$54)/($A59-C$54))/(1+$A59)^5-'Inputs_VZ'!$B$17+'Inputs_VZ'!$B$18)/'Inputs_VZ'!$B$22)</f>
        <v>-1.1897369601091092</v>
      </c>
      <c r="D59" s="19">
        <f>IF(D$54&gt;=$A59,"n/a",(SUMPRODUCT('DCF_VZ'!$C$31:$G$31,1/(1+$A59)^{1,2,3,4,5})+('DCF_VZ'!$G$31*(1+D$54)/($A59-D$54))/(1+$A59)^5-'Inputs_VZ'!$B$17+'Inputs_VZ'!$B$18)/'Inputs_VZ'!$B$22)</f>
        <v>0.0035089297369309946</v>
      </c>
      <c r="E59" s="19">
        <f>IF(E$54&gt;=$A59,"n/a",(SUMPRODUCT('DCF_VZ'!$C$31:$G$31,1/(1+$A59)^{1,2,3,4,5})+('DCF_VZ'!$G$31*(1+E$54)/($A59-E$54))/(1+$A59)^5-'Inputs_VZ'!$B$17+'Inputs_VZ'!$B$18)/'Inputs_VZ'!$B$22)</f>
        <v>1.367218518132415</v>
      </c>
      <c r="F59" s="19">
        <f>IF(F$54&gt;=$A59,"n/a",(SUMPRODUCT('DCF_VZ'!$C$31:$G$31,1/(1+$A59)^{1,2,3,4,5})+('DCF_VZ'!$G$31*(1+F$54)/($A59-F$54))/(1+$A59)^5-'Inputs_VZ'!$B$17+'Inputs_VZ'!$B$18)/'Inputs_VZ'!$B$22)</f>
        <v>2.940729581665661</v>
      </c>
      <c r="G59" s="19">
        <f>IF(G$54&gt;=$A59,"n/a",(SUMPRODUCT('DCF_VZ'!$C$31:$G$31,1/(1+$A59)^{1,2,3,4,5})+('DCF_VZ'!$G$31*(1+G$54)/($A59-G$54))/(1+$A59)^5-'Inputs_VZ'!$B$17+'Inputs_VZ'!$B$18)/'Inputs_VZ'!$B$22)</f>
        <v>4.776492489121107</v>
      </c>
    </row>
    <row r="60">
      <c r="A60" s="12">
        <v>0.2</v>
      </c>
      <c r="B60" s="19">
        <f>IF(B$54&gt;=$A60,"n/a",(SUMPRODUCT('DCF_VZ'!$C$31:$G$31,1/(1+$A60)^{1,2,3,4,5})+('DCF_VZ'!$G$31*(1+B$54)/($A60-B$54))/(1+$A60)^5-'Inputs_VZ'!$B$17+'Inputs_VZ'!$B$18)/'Inputs_VZ'!$B$22)</f>
        <v>-6.962642290486731</v>
      </c>
      <c r="C60" s="19">
        <f>IF(C$54&gt;=$A60,"n/a",(SUMPRODUCT('DCF_VZ'!$C$31:$G$31,1/(1+$A60)^{1,2,3,4,5})+('DCF_VZ'!$G$31*(1+C$54)/($A60-C$54))/(1+$A60)^5-'Inputs_VZ'!$B$17+'Inputs_VZ'!$B$18)/'Inputs_VZ'!$B$22)</f>
        <v>-6.281596904470778</v>
      </c>
      <c r="D60" s="19">
        <f>IF(D$54&gt;=$A60,"n/a",(SUMPRODUCT('DCF_VZ'!$C$31:$G$31,1/(1+$A60)^{1,2,3,4,5})+('DCF_VZ'!$G$31*(1+D$54)/($A60-D$54))/(1+$A60)^5-'Inputs_VZ'!$B$17+'Inputs_VZ'!$B$18)/'Inputs_VZ'!$B$22)</f>
        <v>-5.524879808897502</v>
      </c>
      <c r="E60" s="19">
        <f>IF(E$54&gt;=$A60,"n/a",(SUMPRODUCT('DCF_VZ'!$C$31:$G$31,1/(1+$A60)^{1,2,3,4,5})+('DCF_VZ'!$G$31*(1+E$54)/($A60-E$54))/(1+$A60)^5-'Inputs_VZ'!$B$17+'Inputs_VZ'!$B$18)/'Inputs_VZ'!$B$22)</f>
        <v>-4.679137172668544</v>
      </c>
      <c r="F60" s="19">
        <f>IF(F$54&gt;=$A60,"n/a",(SUMPRODUCT('DCF_VZ'!$C$31:$G$31,1/(1+$A60)^{1,2,3,4,5})+('DCF_VZ'!$G$31*(1+F$54)/($A60-F$54))/(1+$A60)^5-'Inputs_VZ'!$B$17+'Inputs_VZ'!$B$18)/'Inputs_VZ'!$B$22)</f>
        <v>-3.727676706910969</v>
      </c>
      <c r="G60" s="19">
        <f>IF(G$54&gt;=$A60,"n/a",(SUMPRODUCT('DCF_VZ'!$C$31:$G$31,1/(1+$A60)^{1,2,3,4,5})+('DCF_VZ'!$G$31*(1+G$54)/($A60-G$54))/(1+$A60)^5-'Inputs_VZ'!$B$17+'Inputs_VZ'!$B$18)/'Inputs_VZ'!$B$22)</f>
        <v>-2.649354845719045</v>
      </c>
    </row>
  </sheetData>
  <mergeCells count="6">
    <mergeCell ref="A1:G1"/>
    <mergeCell ref="A4:E4"/>
    <mergeCell ref="A16:E16"/>
    <mergeCell ref="A28:N28"/>
    <mergeCell ref="A41:J41"/>
    <mergeCell ref="A53:G53"/>
  </mergeCells>
</worksheet>
</file>

<file path=xl/worksheets/sheet16.xml><?xml version="1.0" encoding="utf-8"?>
<worksheet xmlns="http://schemas.openxmlformats.org/spreadsheetml/2006/main">
  <dimension ref="A1:H71"/>
  <sheetViews>
    <sheetView workbookViewId="0">
      <pane xSplit="1" ySplit="1" topLeftCell="B2" activePane="bottomRight" state="frozen"/>
      <selection pane="bottomRight" activeCell="B2" sqref="B2"/>
    </sheetView>
  </sheetViews>
  <sheetFormatPr defaultRowHeight="15"/>
  <cols>
    <col min="1" max="1" width="28" customWidth="1"/>
    <col min="2" max="2" width="24" customWidth="1"/>
    <col min="3" max="3" width="26" customWidth="1"/>
    <col min="4" max="4" width="18" customWidth="1"/>
    <col min="5" max="5" width="18" customWidth="1"/>
    <col min="6" max="6" width="16" customWidth="1"/>
    <col min="7" max="7" width="16" customWidth="1"/>
    <col min="8" max="8" width="40" customWidth="1"/>
  </cols>
  <sheetData>
    <row r="1">
      <c r="A1" s="1" t="inlineStr">
        <is>
          <t xml:space="preserve">Summary &amp; Reconciliation</t>
        </is>
      </c>
    </row>
    <row r="2">
      <c r="A2" s="2" t="inlineStr">
        <is>
          <t xml:space="preserve">Per docs/independent-validation-plan.md §Reconciliation format. 'Codebase Output' is deliberately left blank — populating it is the explicit scope of a SEPARATE future session (never this one). PASS/FAIL/PENDING formulas therefore read PENDING until that column is filled.</t>
        </is>
      </c>
    </row>
    <row r="4">
      <c r="A4" s="4" t="inlineStr">
        <is>
          <t xml:space="preserve">Metric</t>
        </is>
      </c>
      <c r="B4" s="4" t="inlineStr">
        <is>
          <t xml:space="preserve">Independent Workbook Output</t>
        </is>
      </c>
      <c r="C4" s="4" t="inlineStr">
        <is>
          <t xml:space="preserve">Codebase Output (fill in future session)</t>
        </is>
      </c>
      <c r="D4" s="4" t="inlineStr">
        <is>
          <t xml:space="preserve">Absolute Difference</t>
        </is>
      </c>
      <c r="E4" s="4" t="inlineStr">
        <is>
          <t xml:space="preserve">Percentage Difference</t>
        </is>
      </c>
      <c r="F4" s="4" t="inlineStr">
        <is>
          <t xml:space="preserve">Documented Tolerance</t>
        </is>
      </c>
      <c r="G4" s="4" t="inlineStr">
        <is>
          <t xml:space="preserve">PASS/FAIL/PENDING</t>
        </is>
      </c>
      <c r="H4" s="4" t="inlineStr">
        <is>
          <t xml:space="preserve">Notes</t>
        </is>
      </c>
    </row>
    <row r="5">
      <c r="A5" s="3" t="inlineStr">
        <is>
          <t xml:space="preserve">— MSFT (MICROSOFT CORPORATION) —</t>
        </is>
      </c>
      <c r="B5" s="3"/>
      <c r="C5" s="3"/>
      <c r="D5" s="3"/>
      <c r="E5" s="3"/>
      <c r="F5" s="3"/>
      <c r="G5" s="3"/>
      <c r="H5" s="3"/>
    </row>
    <row r="6">
      <c r="A6" s="7" t="inlineStr">
        <is>
          <t xml:space="preserve">Revenue CAGR</t>
        </is>
      </c>
      <c r="B6" s="17">
        <f>'DCF_MSFT'!$B$9</f>
        <v>0.1374114735301586</v>
      </c>
      <c r="C6" s="12"/>
      <c r="D6" s="21" t="str">
        <f>IF(C6="","PENDING",ABS(B6-C6))</f>
        <v>PENDING</v>
      </c>
      <c r="E6" s="21" t="str">
        <f>IF(OR(C6="",C6=0),"PENDING",ABS(B6-C6)/ABS(C6))</f>
        <v>PENDING</v>
      </c>
      <c r="F6" s="7" t="inlineStr">
        <is>
          <t xml:space="preserve">±0.01pp</t>
        </is>
      </c>
      <c r="G6" s="24" t="str">
        <f>IF(C6="","PENDING",IF(E6&lt;=0.0001,"PASS","FAIL"))</f>
        <v>PENDING</v>
      </c>
      <c r="H6" s="25" t="inlineStr">
        <is>
          <t xml:space="preserve"/>
        </is>
      </c>
    </row>
    <row r="7">
      <c r="A7" s="7" t="inlineStr">
        <is>
          <t xml:space="preserve">Operating Margin</t>
        </is>
      </c>
      <c r="B7" s="17">
        <f>'DCF_MSFT'!$B$10</f>
        <v>0.4417504660304294</v>
      </c>
      <c r="C7" s="12"/>
      <c r="D7" s="21" t="str">
        <f>IF(C7="","PENDING",ABS(B7-C7))</f>
        <v>PENDING</v>
      </c>
      <c r="E7" s="21" t="str">
        <f>IF(OR(C7="",C7=0),"PENDING",ABS(B7-C7)/ABS(C7))</f>
        <v>PENDING</v>
      </c>
      <c r="F7" s="7" t="inlineStr">
        <is>
          <t xml:space="preserve">±0.01pp</t>
        </is>
      </c>
      <c r="G7" s="24" t="str">
        <f>IF(C7="","PENDING",IF(E7&lt;=0.0001,"PASS","FAIL"))</f>
        <v>PENDING</v>
      </c>
      <c r="H7" s="25" t="inlineStr">
        <is>
          <t xml:space="preserve"/>
        </is>
      </c>
    </row>
    <row r="8">
      <c r="A8" s="7" t="inlineStr">
        <is>
          <t xml:space="preserve">Raw WACC</t>
        </is>
      </c>
      <c r="B8" s="17">
        <f>'DCF_MSFT'!$B$20</f>
        <v>0.1000042158780718</v>
      </c>
      <c r="C8" s="12"/>
      <c r="D8" s="21" t="str">
        <f>IF(C8="","PENDING",ABS(B8-C8))</f>
        <v>PENDING</v>
      </c>
      <c r="E8" s="21" t="str">
        <f>IF(OR(C8="",C8=0),"PENDING",ABS(B8-C8)/ABS(C8))</f>
        <v>PENDING</v>
      </c>
      <c r="F8" s="7" t="inlineStr">
        <is>
          <t xml:space="preserve">±0.05pp</t>
        </is>
      </c>
      <c r="G8" s="24" t="str">
        <f>IF(C8="","PENDING",IF(E8&lt;=0.0005,"PASS","FAIL"))</f>
        <v>PENDING</v>
      </c>
      <c r="H8" s="25" t="inlineStr">
        <is>
          <t xml:space="preserve"/>
        </is>
      </c>
    </row>
    <row r="9">
      <c r="A9" s="7" t="inlineStr">
        <is>
          <t xml:space="preserve">Final WACC</t>
        </is>
      </c>
      <c r="B9" s="17">
        <f>'DCF_MSFT'!$B$21</f>
        <v>0.1000042158780718</v>
      </c>
      <c r="C9" s="12"/>
      <c r="D9" s="21" t="str">
        <f>IF(C9="","PENDING",ABS(B9-C9))</f>
        <v>PENDING</v>
      </c>
      <c r="E9" s="21" t="str">
        <f>IF(OR(C9="",C9=0),"PENDING",ABS(B9-C9)/ABS(C9))</f>
        <v>PENDING</v>
      </c>
      <c r="F9" s="7" t="inlineStr">
        <is>
          <t xml:space="preserve">±0.05pp</t>
        </is>
      </c>
      <c r="G9" s="24" t="str">
        <f>IF(C9="","PENDING",IF(E9&lt;=0.0005,"PASS","FAIL"))</f>
        <v>PENDING</v>
      </c>
      <c r="H9" s="25" t="inlineStr">
        <is>
          <t xml:space="preserve"/>
        </is>
      </c>
    </row>
    <row r="10">
      <c r="A10" s="7" t="inlineStr">
        <is>
          <t xml:space="preserve">FCF Year 1</t>
        </is>
      </c>
      <c r="B10" s="16">
        <f>'DCF_MSFT'!$C$31</f>
        <v>130162813492.17007</v>
      </c>
      <c r="C10" s="11"/>
      <c r="D10" s="21" t="str">
        <f>IF(C10="","PENDING",ABS(B10-C10))</f>
        <v>PENDING</v>
      </c>
      <c r="E10" s="21" t="str">
        <f>IF(OR(C10="",C10=0),"PENDING",ABS(B10-C10)/ABS(C10))</f>
        <v>PENDING</v>
      </c>
      <c r="F10" s="7" t="inlineStr">
        <is>
          <t xml:space="preserve">±0.1%</t>
        </is>
      </c>
      <c r="G10" s="24" t="str">
        <f>IF(C10="","PENDING",IF(E10&lt;=0.001,"PASS","FAIL"))</f>
        <v>PENDING</v>
      </c>
      <c r="H10" s="25" t="inlineStr">
        <is>
          <t xml:space="preserve"/>
        </is>
      </c>
    </row>
    <row r="11">
      <c r="A11" s="7" t="inlineStr">
        <is>
          <t xml:space="preserve">FCF Year 2</t>
        </is>
      </c>
      <c r="B11" s="16">
        <f>'DCF_MSFT'!$D$31</f>
        <v>148048677492.96033</v>
      </c>
      <c r="C11" s="11"/>
      <c r="D11" s="21" t="str">
        <f>IF(C11="","PENDING",ABS(B11-C11))</f>
        <v>PENDING</v>
      </c>
      <c r="E11" s="21" t="str">
        <f>IF(OR(C11="",C11=0),"PENDING",ABS(B11-C11)/ABS(C11))</f>
        <v>PENDING</v>
      </c>
      <c r="F11" s="7" t="inlineStr">
        <is>
          <t xml:space="preserve">±0.1%</t>
        </is>
      </c>
      <c r="G11" s="24" t="str">
        <f>IF(C11="","PENDING",IF(E11&lt;=0.001,"PASS","FAIL"))</f>
        <v>PENDING</v>
      </c>
      <c r="H11" s="25" t="inlineStr">
        <is>
          <t xml:space="preserve"/>
        </is>
      </c>
    </row>
    <row r="12">
      <c r="A12" s="7" t="inlineStr">
        <is>
          <t xml:space="preserve">FCF Year 3</t>
        </is>
      </c>
      <c r="B12" s="16">
        <f>'DCF_MSFT'!$E$31</f>
        <v>168392264421.45926</v>
      </c>
      <c r="C12" s="11"/>
      <c r="D12" s="21" t="str">
        <f>IF(C12="","PENDING",ABS(B12-C12))</f>
        <v>PENDING</v>
      </c>
      <c r="E12" s="21" t="str">
        <f>IF(OR(C12="",C12=0),"PENDING",ABS(B12-C12)/ABS(C12))</f>
        <v>PENDING</v>
      </c>
      <c r="F12" s="7" t="inlineStr">
        <is>
          <t xml:space="preserve">±0.1%</t>
        </is>
      </c>
      <c r="G12" s="24" t="str">
        <f>IF(C12="","PENDING",IF(E12&lt;=0.001,"PASS","FAIL"))</f>
        <v>PENDING</v>
      </c>
      <c r="H12" s="25" t="inlineStr">
        <is>
          <t xml:space="preserve"/>
        </is>
      </c>
    </row>
    <row r="13">
      <c r="A13" s="7" t="inlineStr">
        <is>
          <t xml:space="preserve">FCF Year 4</t>
        </is>
      </c>
      <c r="B13" s="16">
        <f>'DCF_MSFT'!$F$31</f>
        <v>191531293606.69208</v>
      </c>
      <c r="C13" s="11"/>
      <c r="D13" s="21" t="str">
        <f>IF(C13="","PENDING",ABS(B13-C13))</f>
        <v>PENDING</v>
      </c>
      <c r="E13" s="21" t="str">
        <f>IF(OR(C13="",C13=0),"PENDING",ABS(B13-C13)/ABS(C13))</f>
        <v>PENDING</v>
      </c>
      <c r="F13" s="7" t="inlineStr">
        <is>
          <t xml:space="preserve">±0.1%</t>
        </is>
      </c>
      <c r="G13" s="24" t="str">
        <f>IF(C13="","PENDING",IF(E13&lt;=0.001,"PASS","FAIL"))</f>
        <v>PENDING</v>
      </c>
      <c r="H13" s="25" t="inlineStr">
        <is>
          <t xml:space="preserve"/>
        </is>
      </c>
    </row>
    <row r="14">
      <c r="A14" s="7" t="inlineStr">
        <is>
          <t xml:space="preserve">FCF Year 5</t>
        </is>
      </c>
      <c r="B14" s="16">
        <f>'DCF_MSFT'!$G$31</f>
        <v>217849890888.32507</v>
      </c>
      <c r="C14" s="11"/>
      <c r="D14" s="21" t="str">
        <f>IF(C14="","PENDING",ABS(B14-C14))</f>
        <v>PENDING</v>
      </c>
      <c r="E14" s="21" t="str">
        <f>IF(OR(C14="",C14=0),"PENDING",ABS(B14-C14)/ABS(C14))</f>
        <v>PENDING</v>
      </c>
      <c r="F14" s="7" t="inlineStr">
        <is>
          <t xml:space="preserve">±0.1%</t>
        </is>
      </c>
      <c r="G14" s="24" t="str">
        <f>IF(C14="","PENDING",IF(E14&lt;=0.001,"PASS","FAIL"))</f>
        <v>PENDING</v>
      </c>
      <c r="H14" s="25" t="inlineStr">
        <is>
          <t xml:space="preserve"/>
        </is>
      </c>
    </row>
    <row r="15">
      <c r="A15" s="7" t="inlineStr">
        <is>
          <t xml:space="preserve">Terminal Value</t>
        </is>
      </c>
      <c r="B15" s="16">
        <f>'DCF_MSFT'!$B$34</f>
        <v>2977114493450.9736</v>
      </c>
      <c r="C15" s="11"/>
      <c r="D15" s="21" t="str">
        <f>IF(C15="","PENDING",ABS(B15-C15))</f>
        <v>PENDING</v>
      </c>
      <c r="E15" s="21" t="str">
        <f>IF(OR(C15="",C15=0),"PENDING",ABS(B15-C15)/ABS(C15))</f>
        <v>PENDING</v>
      </c>
      <c r="F15" s="7" t="inlineStr">
        <is>
          <t xml:space="preserve">±0.2%</t>
        </is>
      </c>
      <c r="G15" s="24" t="str">
        <f>IF(C15="","PENDING",IF(E15&lt;=0.002,"PASS","FAIL"))</f>
        <v>PENDING</v>
      </c>
      <c r="H15" s="25" t="inlineStr">
        <is>
          <t xml:space="preserve"/>
        </is>
      </c>
    </row>
    <row r="16">
      <c r="A16" s="7" t="inlineStr">
        <is>
          <t xml:space="preserve">PV of Explicit FCF</t>
        </is>
      </c>
      <c r="B16" s="16">
        <f>'DCF_MSFT'!$B$39</f>
        <v>633278359490.3066</v>
      </c>
      <c r="C16" s="11"/>
      <c r="D16" s="21" t="str">
        <f>IF(C16="","PENDING",ABS(B16-C16))</f>
        <v>PENDING</v>
      </c>
      <c r="E16" s="21" t="str">
        <f>IF(OR(C16="",C16=0),"PENDING",ABS(B16-C16)/ABS(C16))</f>
        <v>PENDING</v>
      </c>
      <c r="F16" s="7" t="inlineStr">
        <is>
          <t xml:space="preserve">±0.2%</t>
        </is>
      </c>
      <c r="G16" s="24" t="str">
        <f>IF(C16="","PENDING",IF(E16&lt;=0.002,"PASS","FAIL"))</f>
        <v>PENDING</v>
      </c>
      <c r="H16" s="25" t="inlineStr">
        <is>
          <t xml:space="preserve"/>
        </is>
      </c>
    </row>
    <row r="17">
      <c r="A17" s="7" t="inlineStr">
        <is>
          <t xml:space="preserve">PV of Terminal Value</t>
        </is>
      </c>
      <c r="B17" s="16">
        <f>'DCF_MSFT'!$B$40</f>
        <v>1848518446589.798</v>
      </c>
      <c r="C17" s="11"/>
      <c r="D17" s="21" t="str">
        <f>IF(C17="","PENDING",ABS(B17-C17))</f>
        <v>PENDING</v>
      </c>
      <c r="E17" s="21" t="str">
        <f>IF(OR(C17="",C17=0),"PENDING",ABS(B17-C17)/ABS(C17))</f>
        <v>PENDING</v>
      </c>
      <c r="F17" s="7" t="inlineStr">
        <is>
          <t xml:space="preserve">±0.2%</t>
        </is>
      </c>
      <c r="G17" s="24" t="str">
        <f>IF(C17="","PENDING",IF(E17&lt;=0.002,"PASS","FAIL"))</f>
        <v>PENDING</v>
      </c>
      <c r="H17" s="25" t="inlineStr">
        <is>
          <t xml:space="preserve"/>
        </is>
      </c>
    </row>
    <row r="18">
      <c r="A18" s="7" t="inlineStr">
        <is>
          <t xml:space="preserve">Enterprise Value</t>
        </is>
      </c>
      <c r="B18" s="16">
        <f>'DCF_MSFT'!$B$41</f>
        <v>2481796806080.1045</v>
      </c>
      <c r="C18" s="11"/>
      <c r="D18" s="21" t="str">
        <f>IF(C18="","PENDING",ABS(B18-C18))</f>
        <v>PENDING</v>
      </c>
      <c r="E18" s="21" t="str">
        <f>IF(OR(C18="",C18=0),"PENDING",ABS(B18-C18)/ABS(C18))</f>
        <v>PENDING</v>
      </c>
      <c r="F18" s="7" t="inlineStr">
        <is>
          <t xml:space="preserve">±0.2%</t>
        </is>
      </c>
      <c r="G18" s="24" t="str">
        <f>IF(C18="","PENDING",IF(E18&lt;=0.002,"PASS","FAIL"))</f>
        <v>PENDING</v>
      </c>
      <c r="H18" s="25" t="inlineStr">
        <is>
          <t xml:space="preserve"/>
        </is>
      </c>
    </row>
    <row r="19">
      <c r="A19" s="7" t="inlineStr">
        <is>
          <t xml:space="preserve">Equity Value</t>
        </is>
      </c>
      <c r="B19" s="16">
        <f>'DCF_MSFT'!$B$42</f>
        <v>2462437806080.1045</v>
      </c>
      <c r="C19" s="11"/>
      <c r="D19" s="21" t="str">
        <f>IF(C19="","PENDING",ABS(B19-C19))</f>
        <v>PENDING</v>
      </c>
      <c r="E19" s="21" t="str">
        <f>IF(OR(C19="",C19=0),"PENDING",ABS(B19-C19)/ABS(C19))</f>
        <v>PENDING</v>
      </c>
      <c r="F19" s="7" t="inlineStr">
        <is>
          <t xml:space="preserve">±0.2%</t>
        </is>
      </c>
      <c r="G19" s="24" t="str">
        <f>IF(C19="","PENDING",IF(E19&lt;=0.002,"PASS","FAIL"))</f>
        <v>PENDING</v>
      </c>
      <c r="H19" s="25" t="inlineStr">
        <is>
          <t xml:space="preserve"/>
        </is>
      </c>
    </row>
    <row r="20">
      <c r="A20" s="7" t="inlineStr">
        <is>
          <t xml:space="preserve">Intrinsic Value per Share</t>
        </is>
      </c>
      <c r="B20" s="19">
        <f>'DCF_MSFT'!$B$43</f>
        <v>331.61709251726467</v>
      </c>
      <c r="C20" s="11"/>
      <c r="D20" s="21" t="str">
        <f>IF(C20="","PENDING",ABS(B20-C20))</f>
        <v>PENDING</v>
      </c>
      <c r="E20" s="21" t="str">
        <f>IF(OR(C20="",C20=0),"PENDING",ABS(B20-C20)/ABS(C20))</f>
        <v>PENDING</v>
      </c>
      <c r="F20" s="7" t="inlineStr">
        <is>
          <t xml:space="preserve">±0.5%</t>
        </is>
      </c>
      <c r="G20" s="24" t="str">
        <f>IF(C20="","PENDING",IF(E20&lt;=0.005,"PASS","FAIL"))</f>
        <v>PENDING</v>
      </c>
      <c r="H20" s="25" t="inlineStr">
        <is>
          <t xml:space="preserve"/>
        </is>
      </c>
    </row>
    <row r="22">
      <c r="A22" s="3" t="inlineStr">
        <is>
          <t xml:space="preserve">— CAT (CATERPILLAR INC) —</t>
        </is>
      </c>
      <c r="B22" s="3"/>
      <c r="C22" s="3"/>
      <c r="D22" s="3"/>
      <c r="E22" s="3"/>
      <c r="F22" s="3"/>
      <c r="G22" s="3"/>
      <c r="H22" s="3"/>
    </row>
    <row r="23">
      <c r="A23" s="7" t="inlineStr">
        <is>
          <t xml:space="preserve">Revenue CAGR</t>
        </is>
      </c>
      <c r="B23" s="17">
        <f>'DCF_CAT'!$B$9</f>
        <v>0.073095112192894</v>
      </c>
      <c r="C23" s="12"/>
      <c r="D23" s="21" t="str">
        <f>IF(C23="","PENDING",ABS(B23-C23))</f>
        <v>PENDING</v>
      </c>
      <c r="E23" s="21" t="str">
        <f>IF(OR(C23="",C23=0),"PENDING",ABS(B23-C23)/ABS(C23))</f>
        <v>PENDING</v>
      </c>
      <c r="F23" s="7" t="inlineStr">
        <is>
          <t xml:space="preserve">±0.01pp</t>
        </is>
      </c>
      <c r="G23" s="24" t="str">
        <f>IF(C23="","PENDING",IF(E23&lt;=0.0001,"PASS","FAIL"))</f>
        <v>PENDING</v>
      </c>
      <c r="H23" s="25" t="inlineStr">
        <is>
          <t xml:space="preserve"/>
        </is>
      </c>
    </row>
    <row r="24">
      <c r="A24" s="7" t="inlineStr">
        <is>
          <t xml:space="preserve">Operating Margin</t>
        </is>
      </c>
      <c r="B24" s="17">
        <f>'DCF_CAT'!$B$10</f>
        <v>0.1655950160952213</v>
      </c>
      <c r="C24" s="12"/>
      <c r="D24" s="21" t="str">
        <f>IF(C24="","PENDING",ABS(B24-C24))</f>
        <v>PENDING</v>
      </c>
      <c r="E24" s="21" t="str">
        <f>IF(OR(C24="",C24=0),"PENDING",ABS(B24-C24)/ABS(C24))</f>
        <v>PENDING</v>
      </c>
      <c r="F24" s="7" t="inlineStr">
        <is>
          <t xml:space="preserve">±0.01pp</t>
        </is>
      </c>
      <c r="G24" s="24" t="str">
        <f>IF(C24="","PENDING",IF(E24&lt;=0.0001,"PASS","FAIL"))</f>
        <v>PENDING</v>
      </c>
      <c r="H24" s="25" t="inlineStr">
        <is>
          <t xml:space="preserve"/>
        </is>
      </c>
    </row>
    <row r="25">
      <c r="A25" s="7" t="inlineStr">
        <is>
          <t xml:space="preserve">Raw WACC</t>
        </is>
      </c>
      <c r="B25" s="17">
        <f>'DCF_CAT'!$B$20</f>
        <v>0.12095875169517725</v>
      </c>
      <c r="C25" s="12"/>
      <c r="D25" s="21" t="str">
        <f>IF(C25="","PENDING",ABS(B25-C25))</f>
        <v>PENDING</v>
      </c>
      <c r="E25" s="21" t="str">
        <f>IF(OR(C25="",C25=0),"PENDING",ABS(B25-C25)/ABS(C25))</f>
        <v>PENDING</v>
      </c>
      <c r="F25" s="7" t="inlineStr">
        <is>
          <t xml:space="preserve">±0.05pp</t>
        </is>
      </c>
      <c r="G25" s="24" t="str">
        <f>IF(C25="","PENDING",IF(E25&lt;=0.0005,"PASS","FAIL"))</f>
        <v>PENDING</v>
      </c>
      <c r="H25" s="25" t="inlineStr">
        <is>
          <t xml:space="preserve"/>
        </is>
      </c>
    </row>
    <row r="26">
      <c r="A26" s="7" t="inlineStr">
        <is>
          <t xml:space="preserve">Final WACC</t>
        </is>
      </c>
      <c r="B26" s="17">
        <f>'DCF_CAT'!$B$21</f>
        <v>0.12095875169517725</v>
      </c>
      <c r="C26" s="12"/>
      <c r="D26" s="21" t="str">
        <f>IF(C26="","PENDING",ABS(B26-C26))</f>
        <v>PENDING</v>
      </c>
      <c r="E26" s="21" t="str">
        <f>IF(OR(C26="",C26=0),"PENDING",ABS(B26-C26)/ABS(C26))</f>
        <v>PENDING</v>
      </c>
      <c r="F26" s="7" t="inlineStr">
        <is>
          <t xml:space="preserve">±0.05pp</t>
        </is>
      </c>
      <c r="G26" s="24" t="str">
        <f>IF(C26="","PENDING",IF(E26&lt;=0.0005,"PASS","FAIL"))</f>
        <v>PENDING</v>
      </c>
      <c r="H26" s="25" t="inlineStr">
        <is>
          <t xml:space="preserve"/>
        </is>
      </c>
    </row>
    <row r="27">
      <c r="A27" s="7" t="inlineStr">
        <is>
          <t xml:space="preserve">FCF Year 1</t>
        </is>
      </c>
      <c r="B27" s="16">
        <f>'DCF_CAT'!$C$31</f>
        <v>8355205000.088836</v>
      </c>
      <c r="C27" s="11"/>
      <c r="D27" s="21" t="str">
        <f>IF(C27="","PENDING",ABS(B27-C27))</f>
        <v>PENDING</v>
      </c>
      <c r="E27" s="21" t="str">
        <f>IF(OR(C27="",C27=0),"PENDING",ABS(B27-C27)/ABS(C27))</f>
        <v>PENDING</v>
      </c>
      <c r="F27" s="7" t="inlineStr">
        <is>
          <t xml:space="preserve">±0.1%</t>
        </is>
      </c>
      <c r="G27" s="24" t="str">
        <f>IF(C27="","PENDING",IF(E27&lt;=0.001,"PASS","FAIL"))</f>
        <v>PENDING</v>
      </c>
      <c r="H27" s="25" t="inlineStr">
        <is>
          <t xml:space="preserve"/>
        </is>
      </c>
    </row>
    <row r="28">
      <c r="A28" s="7" t="inlineStr">
        <is>
          <t xml:space="preserve">FCF Year 2</t>
        </is>
      </c>
      <c r="B28" s="16">
        <f>'DCF_CAT'!$D$31</f>
        <v>8965929646.96496</v>
      </c>
      <c r="C28" s="11"/>
      <c r="D28" s="21" t="str">
        <f>IF(C28="","PENDING",ABS(B28-C28))</f>
        <v>PENDING</v>
      </c>
      <c r="E28" s="21" t="str">
        <f>IF(OR(C28="",C28=0),"PENDING",ABS(B28-C28)/ABS(C28))</f>
        <v>PENDING</v>
      </c>
      <c r="F28" s="7" t="inlineStr">
        <is>
          <t xml:space="preserve">±0.1%</t>
        </is>
      </c>
      <c r="G28" s="24" t="str">
        <f>IF(C28="","PENDING",IF(E28&lt;=0.001,"PASS","FAIL"))</f>
        <v>PENDING</v>
      </c>
      <c r="H28" s="25" t="inlineStr">
        <is>
          <t xml:space="preserve"/>
        </is>
      </c>
    </row>
    <row r="29">
      <c r="A29" s="7" t="inlineStr">
        <is>
          <t xml:space="preserve">FCF Year 3</t>
        </is>
      </c>
      <c r="B29" s="16">
        <f>'DCF_CAT'!$E$31</f>
        <v>9621295280.423456</v>
      </c>
      <c r="C29" s="11"/>
      <c r="D29" s="21" t="str">
        <f>IF(C29="","PENDING",ABS(B29-C29))</f>
        <v>PENDING</v>
      </c>
      <c r="E29" s="21" t="str">
        <f>IF(OR(C29="",C29=0),"PENDING",ABS(B29-C29)/ABS(C29))</f>
        <v>PENDING</v>
      </c>
      <c r="F29" s="7" t="inlineStr">
        <is>
          <t xml:space="preserve">±0.1%</t>
        </is>
      </c>
      <c r="G29" s="24" t="str">
        <f>IF(C29="","PENDING",IF(E29&lt;=0.001,"PASS","FAIL"))</f>
        <v>PENDING</v>
      </c>
      <c r="H29" s="25" t="inlineStr">
        <is>
          <t xml:space="preserve"/>
        </is>
      </c>
    </row>
    <row r="30">
      <c r="A30" s="7" t="inlineStr">
        <is>
          <t xml:space="preserve">FCF Year 4</t>
        </is>
      </c>
      <c r="B30" s="16">
        <f>'DCF_CAT'!$F$31</f>
        <v>10324564938.386972</v>
      </c>
      <c r="C30" s="11"/>
      <c r="D30" s="21" t="str">
        <f>IF(C30="","PENDING",ABS(B30-C30))</f>
        <v>PENDING</v>
      </c>
      <c r="E30" s="21" t="str">
        <f>IF(OR(C30="",C30=0),"PENDING",ABS(B30-C30)/ABS(C30))</f>
        <v>PENDING</v>
      </c>
      <c r="F30" s="7" t="inlineStr">
        <is>
          <t xml:space="preserve">±0.1%</t>
        </is>
      </c>
      <c r="G30" s="24" t="str">
        <f>IF(C30="","PENDING",IF(E30&lt;=0.001,"PASS","FAIL"))</f>
        <v>PENDING</v>
      </c>
      <c r="H30" s="25" t="inlineStr">
        <is>
          <t xml:space="preserve"/>
        </is>
      </c>
    </row>
    <row r="31">
      <c r="A31" s="7" t="inlineStr">
        <is>
          <t xml:space="preserve">FCF Year 5</t>
        </is>
      </c>
      <c r="B31" s="16">
        <f>'DCF_CAT'!$G$31</f>
        <v>11079240170.901186</v>
      </c>
      <c r="C31" s="11"/>
      <c r="D31" s="21" t="str">
        <f>IF(C31="","PENDING",ABS(B31-C31))</f>
        <v>PENDING</v>
      </c>
      <c r="E31" s="21" t="str">
        <f>IF(OR(C31="",C31=0),"PENDING",ABS(B31-C31)/ABS(C31))</f>
        <v>PENDING</v>
      </c>
      <c r="F31" s="7" t="inlineStr">
        <is>
          <t xml:space="preserve">±0.1%</t>
        </is>
      </c>
      <c r="G31" s="24" t="str">
        <f>IF(C31="","PENDING",IF(E31&lt;=0.001,"PASS","FAIL"))</f>
        <v>PENDING</v>
      </c>
      <c r="H31" s="25" t="inlineStr">
        <is>
          <t xml:space="preserve"/>
        </is>
      </c>
    </row>
    <row r="32">
      <c r="A32" s="7" t="inlineStr">
        <is>
          <t xml:space="preserve">Terminal Value</t>
        </is>
      </c>
      <c r="B32" s="16">
        <f>'DCF_CAT'!$B$34</f>
        <v>118344819774.72891</v>
      </c>
      <c r="C32" s="11"/>
      <c r="D32" s="21" t="str">
        <f>IF(C32="","PENDING",ABS(B32-C32))</f>
        <v>PENDING</v>
      </c>
      <c r="E32" s="21" t="str">
        <f>IF(OR(C32="",C32=0),"PENDING",ABS(B32-C32)/ABS(C32))</f>
        <v>PENDING</v>
      </c>
      <c r="F32" s="7" t="inlineStr">
        <is>
          <t xml:space="preserve">±0.2%</t>
        </is>
      </c>
      <c r="G32" s="24" t="str">
        <f>IF(C32="","PENDING",IF(E32&lt;=0.002,"PASS","FAIL"))</f>
        <v>PENDING</v>
      </c>
      <c r="H32" s="25" t="inlineStr">
        <is>
          <t xml:space="preserve"/>
        </is>
      </c>
    </row>
    <row r="33">
      <c r="A33" s="7" t="inlineStr">
        <is>
          <t xml:space="preserve">PV of Explicit FCF</t>
        </is>
      </c>
      <c r="B33" s="16">
        <f>'DCF_CAT'!$B$39</f>
        <v>34218526042.022396</v>
      </c>
      <c r="C33" s="11"/>
      <c r="D33" s="21" t="str">
        <f>IF(C33="","PENDING",ABS(B33-C33))</f>
        <v>PENDING</v>
      </c>
      <c r="E33" s="21" t="str">
        <f>IF(OR(C33="",C33=0),"PENDING",ABS(B33-C33)/ABS(C33))</f>
        <v>PENDING</v>
      </c>
      <c r="F33" s="7" t="inlineStr">
        <is>
          <t xml:space="preserve">±0.2%</t>
        </is>
      </c>
      <c r="G33" s="24" t="str">
        <f>IF(C33="","PENDING",IF(E33&lt;=0.002,"PASS","FAIL"))</f>
        <v>PENDING</v>
      </c>
      <c r="H33" s="25" t="inlineStr">
        <is>
          <t xml:space="preserve"/>
        </is>
      </c>
    </row>
    <row r="34">
      <c r="A34" s="7" t="inlineStr">
        <is>
          <t xml:space="preserve">PV of Terminal Value</t>
        </is>
      </c>
      <c r="B34" s="16">
        <f>'DCF_CAT'!$B$40</f>
        <v>66865345437.2181</v>
      </c>
      <c r="C34" s="11"/>
      <c r="D34" s="21" t="str">
        <f>IF(C34="","PENDING",ABS(B34-C34))</f>
        <v>PENDING</v>
      </c>
      <c r="E34" s="21" t="str">
        <f>IF(OR(C34="",C34=0),"PENDING",ABS(B34-C34)/ABS(C34))</f>
        <v>PENDING</v>
      </c>
      <c r="F34" s="7" t="inlineStr">
        <is>
          <t xml:space="preserve">±0.2%</t>
        </is>
      </c>
      <c r="G34" s="24" t="str">
        <f>IF(C34="","PENDING",IF(E34&lt;=0.002,"PASS","FAIL"))</f>
        <v>PENDING</v>
      </c>
      <c r="H34" s="25" t="inlineStr">
        <is>
          <t xml:space="preserve"/>
        </is>
      </c>
    </row>
    <row r="35">
      <c r="A35" s="7" t="inlineStr">
        <is>
          <t xml:space="preserve">Enterprise Value</t>
        </is>
      </c>
      <c r="B35" s="16">
        <f>'DCF_CAT'!$B$41</f>
        <v>101083871479.2405</v>
      </c>
      <c r="C35" s="11"/>
      <c r="D35" s="21" t="str">
        <f>IF(C35="","PENDING",ABS(B35-C35))</f>
        <v>PENDING</v>
      </c>
      <c r="E35" s="21" t="str">
        <f>IF(OR(C35="",C35=0),"PENDING",ABS(B35-C35)/ABS(C35))</f>
        <v>PENDING</v>
      </c>
      <c r="F35" s="7" t="inlineStr">
        <is>
          <t xml:space="preserve">±0.2%</t>
        </is>
      </c>
      <c r="G35" s="24" t="str">
        <f>IF(C35="","PENDING",IF(E35&lt;=0.002,"PASS","FAIL"))</f>
        <v>PENDING</v>
      </c>
      <c r="H35" s="25" t="inlineStr">
        <is>
          <t xml:space="preserve"/>
        </is>
      </c>
    </row>
    <row r="36">
      <c r="A36" s="7" t="inlineStr">
        <is>
          <t xml:space="preserve">Equity Value</t>
        </is>
      </c>
      <c r="B36" s="16">
        <f>'DCF_CAT'!$B$42</f>
        <v>74853871479.2405</v>
      </c>
      <c r="C36" s="11"/>
      <c r="D36" s="21" t="str">
        <f>IF(C36="","PENDING",ABS(B36-C36))</f>
        <v>PENDING</v>
      </c>
      <c r="E36" s="21" t="str">
        <f>IF(OR(C36="",C36=0),"PENDING",ABS(B36-C36)/ABS(C36))</f>
        <v>PENDING</v>
      </c>
      <c r="F36" s="7" t="inlineStr">
        <is>
          <t xml:space="preserve">±0.2%</t>
        </is>
      </c>
      <c r="G36" s="24" t="str">
        <f>IF(C36="","PENDING",IF(E36&lt;=0.002,"PASS","FAIL"))</f>
        <v>PENDING</v>
      </c>
      <c r="H36" s="25" t="inlineStr">
        <is>
          <t xml:space="preserve"/>
        </is>
      </c>
    </row>
    <row r="37">
      <c r="A37" s="7" t="inlineStr">
        <is>
          <t xml:space="preserve">Intrinsic Value per Share</t>
        </is>
      </c>
      <c r="B37" s="19">
        <f>'DCF_CAT'!$B$43</f>
        <v>162.84089749188038</v>
      </c>
      <c r="C37" s="11"/>
      <c r="D37" s="21" t="str">
        <f>IF(C37="","PENDING",ABS(B37-C37))</f>
        <v>PENDING</v>
      </c>
      <c r="E37" s="21" t="str">
        <f>IF(OR(C37="",C37=0),"PENDING",ABS(B37-C37)/ABS(C37))</f>
        <v>PENDING</v>
      </c>
      <c r="F37" s="7" t="inlineStr">
        <is>
          <t xml:space="preserve">±0.5%</t>
        </is>
      </c>
      <c r="G37" s="24" t="str">
        <f>IF(C37="","PENDING",IF(E37&lt;=0.005,"PASS","FAIL"))</f>
        <v>PENDING</v>
      </c>
      <c r="H37" s="25" t="inlineStr">
        <is>
          <t xml:space="preserve"/>
        </is>
      </c>
    </row>
    <row r="39">
      <c r="A39" s="3" t="inlineStr">
        <is>
          <t xml:space="preserve">— INTC (INTEL CORP) —</t>
        </is>
      </c>
      <c r="B39" s="3"/>
      <c r="C39" s="3"/>
      <c r="D39" s="3"/>
      <c r="E39" s="3"/>
      <c r="F39" s="3"/>
      <c r="G39" s="3"/>
      <c r="H39" s="3"/>
    </row>
    <row r="40">
      <c r="A40" s="7" t="inlineStr">
        <is>
          <t xml:space="preserve">Revenue CAGR</t>
        </is>
      </c>
      <c r="B40" s="17">
        <f>'DCF_INTC'!$B$9</f>
        <v>-0.09554417293826767</v>
      </c>
      <c r="C40" s="12"/>
      <c r="D40" s="21" t="str">
        <f>IF(C40="","PENDING",ABS(B40-C40))</f>
        <v>PENDING</v>
      </c>
      <c r="E40" s="21" t="str">
        <f>IF(OR(C40="",C40=0),"PENDING",ABS(B40-C40)/ABS(C40))</f>
        <v>PENDING</v>
      </c>
      <c r="F40" s="7" t="inlineStr">
        <is>
          <t xml:space="preserve">±0.01pp</t>
        </is>
      </c>
      <c r="G40" s="24" t="str">
        <f>IF(C40="","PENDING",IF(E40&lt;=0.0001,"PASS","FAIL"))</f>
        <v>PENDING</v>
      </c>
      <c r="H40" s="25" t="inlineStr">
        <is>
          <t xml:space="preserve"/>
        </is>
      </c>
    </row>
    <row r="41">
      <c r="A41" s="7" t="inlineStr">
        <is>
          <t xml:space="preserve">Operating Margin</t>
        </is>
      </c>
      <c r="B41" s="17">
        <f>'DCF_INTC'!$B$10</f>
        <v>0.004624851749122934</v>
      </c>
      <c r="C41" s="12"/>
      <c r="D41" s="21" t="str">
        <f>IF(C41="","PENDING",ABS(B41-C41))</f>
        <v>PENDING</v>
      </c>
      <c r="E41" s="21" t="str">
        <f>IF(OR(C41="",C41=0),"PENDING",ABS(B41-C41)/ABS(C41))</f>
        <v>PENDING</v>
      </c>
      <c r="F41" s="7" t="inlineStr">
        <is>
          <t xml:space="preserve">±0.01pp</t>
        </is>
      </c>
      <c r="G41" s="24" t="str">
        <f>IF(C41="","PENDING",IF(E41&lt;=0.0001,"PASS","FAIL"))</f>
        <v>PENDING</v>
      </c>
      <c r="H41" s="25" t="inlineStr">
        <is>
          <t xml:space="preserve"/>
        </is>
      </c>
    </row>
    <row r="42">
      <c r="A42" s="7" t="inlineStr">
        <is>
          <t xml:space="preserve">Raw WACC</t>
        </is>
      </c>
      <c r="B42" s="17">
        <f>'DCF_INTC'!$B$20</f>
        <v>0.15054644593281</v>
      </c>
      <c r="C42" s="12"/>
      <c r="D42" s="21" t="str">
        <f>IF(C42="","PENDING",ABS(B42-C42))</f>
        <v>PENDING</v>
      </c>
      <c r="E42" s="21" t="str">
        <f>IF(OR(C42="",C42=0),"PENDING",ABS(B42-C42)/ABS(C42))</f>
        <v>PENDING</v>
      </c>
      <c r="F42" s="7" t="inlineStr">
        <is>
          <t xml:space="preserve">±0.05pp</t>
        </is>
      </c>
      <c r="G42" s="24" t="str">
        <f>IF(C42="","PENDING",IF(E42&lt;=0.0005,"PASS","FAIL"))</f>
        <v>PENDING</v>
      </c>
      <c r="H42" s="25" t="inlineStr">
        <is>
          <t xml:space="preserve"/>
        </is>
      </c>
    </row>
    <row r="43">
      <c r="A43" s="7" t="inlineStr">
        <is>
          <t xml:space="preserve">Final WACC</t>
        </is>
      </c>
      <c r="B43" s="17">
        <f>'DCF_INTC'!$B$21</f>
        <v>0.15054644593281</v>
      </c>
      <c r="C43" s="12"/>
      <c r="D43" s="21" t="str">
        <f>IF(C43="","PENDING",ABS(B43-C43))</f>
        <v>PENDING</v>
      </c>
      <c r="E43" s="21" t="str">
        <f>IF(OR(C43="",C43=0),"PENDING",ABS(B43-C43)/ABS(C43))</f>
        <v>PENDING</v>
      </c>
      <c r="F43" s="7" t="inlineStr">
        <is>
          <t xml:space="preserve">±0.05pp</t>
        </is>
      </c>
      <c r="G43" s="24" t="str">
        <f>IF(C43="","PENDING",IF(E43&lt;=0.0005,"PASS","FAIL"))</f>
        <v>PENDING</v>
      </c>
      <c r="H43" s="25" t="inlineStr">
        <is>
          <t xml:space="preserve"/>
        </is>
      </c>
    </row>
    <row r="44">
      <c r="A44" s="7" t="inlineStr">
        <is>
          <t xml:space="preserve">FCF Year 1</t>
        </is>
      </c>
      <c r="B44" s="16">
        <f>'DCF_INTC'!$C$31</f>
        <v>-423842264.73515886</v>
      </c>
      <c r="C44" s="11"/>
      <c r="D44" s="21" t="str">
        <f>IF(C44="","PENDING",ABS(B44-C44))</f>
        <v>PENDING</v>
      </c>
      <c r="E44" s="21" t="str">
        <f>IF(OR(C44="",C44=0),"PENDING",ABS(B44-C44)/ABS(C44))</f>
        <v>PENDING</v>
      </c>
      <c r="F44" s="7" t="inlineStr">
        <is>
          <t xml:space="preserve">±0.1%</t>
        </is>
      </c>
      <c r="G44" s="24" t="str">
        <f>IF(C44="","PENDING",IF(E44&lt;=0.001,"PASS","FAIL"))</f>
        <v>PENDING</v>
      </c>
      <c r="H44" s="25" t="inlineStr">
        <is>
          <t xml:space="preserve"/>
        </is>
      </c>
    </row>
    <row r="45">
      <c r="A45" s="7" t="inlineStr">
        <is>
          <t xml:space="preserve">FCF Year 2</t>
        </is>
      </c>
      <c r="B45" s="16">
        <f>'DCF_INTC'!$D$31</f>
        <v>-383346606.09475577</v>
      </c>
      <c r="C45" s="11"/>
      <c r="D45" s="21" t="str">
        <f>IF(C45="","PENDING",ABS(B45-C45))</f>
        <v>PENDING</v>
      </c>
      <c r="E45" s="21" t="str">
        <f>IF(OR(C45="",C45=0),"PENDING",ABS(B45-C45)/ABS(C45))</f>
        <v>PENDING</v>
      </c>
      <c r="F45" s="7" t="inlineStr">
        <is>
          <t xml:space="preserve">±0.1%</t>
        </is>
      </c>
      <c r="G45" s="24" t="str">
        <f>IF(C45="","PENDING",IF(E45&lt;=0.001,"PASS","FAIL"))</f>
        <v>PENDING</v>
      </c>
      <c r="H45" s="25" t="inlineStr">
        <is>
          <t xml:space="preserve"/>
        </is>
      </c>
    </row>
    <row r="46">
      <c r="A46" s="7" t="inlineStr">
        <is>
          <t xml:space="preserve">FCF Year 3</t>
        </is>
      </c>
      <c r="B46" s="16">
        <f>'DCF_INTC'!$E$31</f>
        <v>-346720071.6667405</v>
      </c>
      <c r="C46" s="11"/>
      <c r="D46" s="21" t="str">
        <f>IF(C46="","PENDING",ABS(B46-C46))</f>
        <v>PENDING</v>
      </c>
      <c r="E46" s="21" t="str">
        <f>IF(OR(C46="",C46=0),"PENDING",ABS(B46-C46)/ABS(C46))</f>
        <v>PENDING</v>
      </c>
      <c r="F46" s="7" t="inlineStr">
        <is>
          <t xml:space="preserve">±0.1%</t>
        </is>
      </c>
      <c r="G46" s="24" t="str">
        <f>IF(C46="","PENDING",IF(E46&lt;=0.001,"PASS","FAIL"))</f>
        <v>PENDING</v>
      </c>
      <c r="H46" s="25" t="inlineStr">
        <is>
          <t xml:space="preserve"/>
        </is>
      </c>
    </row>
    <row r="47">
      <c r="A47" s="7" t="inlineStr">
        <is>
          <t xml:space="preserve">FCF Year 4</t>
        </is>
      </c>
      <c r="B47" s="16">
        <f>'DCF_INTC'!$F$31</f>
        <v>-313592989.17824495</v>
      </c>
      <c r="C47" s="11"/>
      <c r="D47" s="21" t="str">
        <f>IF(C47="","PENDING",ABS(B47-C47))</f>
        <v>PENDING</v>
      </c>
      <c r="E47" s="21" t="str">
        <f>IF(OR(C47="",C47=0),"PENDING",ABS(B47-C47)/ABS(C47))</f>
        <v>PENDING</v>
      </c>
      <c r="F47" s="7" t="inlineStr">
        <is>
          <t xml:space="preserve">±0.1%</t>
        </is>
      </c>
      <c r="G47" s="24" t="str">
        <f>IF(C47="","PENDING",IF(E47&lt;=0.001,"PASS","FAIL"))</f>
        <v>PENDING</v>
      </c>
      <c r="H47" s="25" t="inlineStr">
        <is>
          <t xml:space="preserve"/>
        </is>
      </c>
    </row>
    <row r="48">
      <c r="A48" s="7" t="inlineStr">
        <is>
          <t xml:space="preserve">FCF Year 5</t>
        </is>
      </c>
      <c r="B48" s="16">
        <f>'DCF_INTC'!$G$31</f>
        <v>-283631006.38797045</v>
      </c>
      <c r="C48" s="11"/>
      <c r="D48" s="21" t="str">
        <f>IF(C48="","PENDING",ABS(B48-C48))</f>
        <v>PENDING</v>
      </c>
      <c r="E48" s="21" t="str">
        <f>IF(OR(C48="",C48=0),"PENDING",ABS(B48-C48)/ABS(C48))</f>
        <v>PENDING</v>
      </c>
      <c r="F48" s="7" t="inlineStr">
        <is>
          <t xml:space="preserve">±0.1%</t>
        </is>
      </c>
      <c r="G48" s="24" t="str">
        <f>IF(C48="","PENDING",IF(E48&lt;=0.001,"PASS","FAIL"))</f>
        <v>PENDING</v>
      </c>
      <c r="H48" s="25" t="inlineStr">
        <is>
          <t xml:space="preserve"/>
        </is>
      </c>
    </row>
    <row r="49">
      <c r="A49" s="7" t="inlineStr">
        <is>
          <t xml:space="preserve">Terminal Value</t>
        </is>
      </c>
      <c r="B49" s="16">
        <f>'DCF_INTC'!$B$34</f>
        <v>-2315651226.8237233</v>
      </c>
      <c r="C49" s="11"/>
      <c r="D49" s="21" t="str">
        <f>IF(C49="","PENDING",ABS(B49-C49))</f>
        <v>PENDING</v>
      </c>
      <c r="E49" s="21" t="str">
        <f>IF(OR(C49="",C49=0),"PENDING",ABS(B49-C49)/ABS(C49))</f>
        <v>PENDING</v>
      </c>
      <c r="F49" s="7" t="inlineStr">
        <is>
          <t xml:space="preserve">±0.2%</t>
        </is>
      </c>
      <c r="G49" s="24" t="str">
        <f>IF(C49="","PENDING",IF(E49&lt;=0.002,"PASS","FAIL"))</f>
        <v>PENDING</v>
      </c>
      <c r="H49" s="25" t="inlineStr">
        <is>
          <t xml:space="preserve"/>
        </is>
      </c>
    </row>
    <row r="50">
      <c r="A50" s="7" t="inlineStr">
        <is>
          <t xml:space="preserve">PV of Explicit FCF</t>
        </is>
      </c>
      <c r="B50" s="16">
        <f>'DCF_INTC'!$B$39</f>
        <v>-1205260295.0809765</v>
      </c>
      <c r="C50" s="11"/>
      <c r="D50" s="21" t="str">
        <f>IF(C50="","PENDING",ABS(B50-C50))</f>
        <v>PENDING</v>
      </c>
      <c r="E50" s="21" t="str">
        <f>IF(OR(C50="",C50=0),"PENDING",ABS(B50-C50)/ABS(C50))</f>
        <v>PENDING</v>
      </c>
      <c r="F50" s="7" t="inlineStr">
        <is>
          <t xml:space="preserve">±0.2%</t>
        </is>
      </c>
      <c r="G50" s="24" t="str">
        <f>IF(C50="","PENDING",IF(E50&lt;=0.002,"PASS","FAIL"))</f>
        <v>PENDING</v>
      </c>
      <c r="H50" s="25" t="inlineStr">
        <is>
          <t xml:space="preserve"/>
        </is>
      </c>
    </row>
    <row r="51">
      <c r="A51" s="7" t="inlineStr">
        <is>
          <t xml:space="preserve">PV of Terminal Value</t>
        </is>
      </c>
      <c r="B51" s="16">
        <f>'DCF_INTC'!$B$40</f>
        <v>-1148556522.3441927</v>
      </c>
      <c r="C51" s="11"/>
      <c r="D51" s="21" t="str">
        <f>IF(C51="","PENDING",ABS(B51-C51))</f>
        <v>PENDING</v>
      </c>
      <c r="E51" s="21" t="str">
        <f>IF(OR(C51="",C51=0),"PENDING",ABS(B51-C51)/ABS(C51))</f>
        <v>PENDING</v>
      </c>
      <c r="F51" s="7" t="inlineStr">
        <is>
          <t xml:space="preserve">±0.2%</t>
        </is>
      </c>
      <c r="G51" s="24" t="str">
        <f>IF(C51="","PENDING",IF(E51&lt;=0.002,"PASS","FAIL"))</f>
        <v>PENDING</v>
      </c>
      <c r="H51" s="25" t="inlineStr">
        <is>
          <t xml:space="preserve"/>
        </is>
      </c>
    </row>
    <row r="52">
      <c r="A52" s="7" t="inlineStr">
        <is>
          <t xml:space="preserve">Enterprise Value</t>
        </is>
      </c>
      <c r="B52" s="16">
        <f>'DCF_INTC'!$B$41</f>
        <v>-2353816817.425169</v>
      </c>
      <c r="C52" s="11"/>
      <c r="D52" s="21" t="str">
        <f>IF(C52="","PENDING",ABS(B52-C52))</f>
        <v>PENDING</v>
      </c>
      <c r="E52" s="21" t="str">
        <f>IF(OR(C52="",C52=0),"PENDING",ABS(B52-C52)/ABS(C52))</f>
        <v>PENDING</v>
      </c>
      <c r="F52" s="7" t="inlineStr">
        <is>
          <t xml:space="preserve">±0.2%</t>
        </is>
      </c>
      <c r="G52" s="24" t="str">
        <f>IF(C52="","PENDING",IF(E52&lt;=0.002,"PASS","FAIL"))</f>
        <v>PENDING</v>
      </c>
      <c r="H52" s="25" t="inlineStr">
        <is>
          <t xml:space="preserve"/>
        </is>
      </c>
    </row>
    <row r="53">
      <c r="A53" s="7" t="inlineStr">
        <is>
          <t xml:space="preserve">Equity Value</t>
        </is>
      </c>
      <c r="B53" s="16">
        <f>'DCF_INTC'!$B$42</f>
        <v>-34673816817.42517</v>
      </c>
      <c r="C53" s="11"/>
      <c r="D53" s="21" t="str">
        <f>IF(C53="","PENDING",ABS(B53-C53))</f>
        <v>PENDING</v>
      </c>
      <c r="E53" s="21" t="str">
        <f>IF(OR(C53="",C53=0),"PENDING",ABS(B53-C53)/ABS(C53))</f>
        <v>PENDING</v>
      </c>
      <c r="F53" s="7" t="inlineStr">
        <is>
          <t xml:space="preserve">±0.2%</t>
        </is>
      </c>
      <c r="G53" s="24" t="str">
        <f>IF(C53="","PENDING",IF(E53&lt;=0.002,"PASS","FAIL"))</f>
        <v>PENDING</v>
      </c>
      <c r="H53" s="25" t="inlineStr">
        <is>
          <t xml:space="preserve"/>
        </is>
      </c>
    </row>
    <row r="54">
      <c r="A54" s="7" t="inlineStr">
        <is>
          <t xml:space="preserve">Intrinsic Value per Share</t>
        </is>
      </c>
      <c r="B54" s="19">
        <f>'DCF_INTC'!$B$43</f>
        <v>-6.55942609896238</v>
      </c>
      <c r="C54" s="11"/>
      <c r="D54" s="21" t="str">
        <f>IF(C54="","PENDING",ABS(B54-C54))</f>
        <v>PENDING</v>
      </c>
      <c r="E54" s="21" t="str">
        <f>IF(OR(C54="",C54=0),"PENDING",ABS(B54-C54)/ABS(C54))</f>
        <v>PENDING</v>
      </c>
      <c r="F54" s="7" t="inlineStr">
        <is>
          <t xml:space="preserve">±0.5%</t>
        </is>
      </c>
      <c r="G54" s="24" t="str">
        <f>IF(C54="","PENDING",IF(E54&lt;=0.005,"PASS","FAIL"))</f>
        <v>PENDING</v>
      </c>
      <c r="H54" s="25" t="inlineStr">
        <is>
          <t xml:space="preserve"/>
        </is>
      </c>
    </row>
    <row r="56">
      <c r="A56" s="3" t="inlineStr">
        <is>
          <t xml:space="preserve">— VZ (VERIZON COMMUNICATIONS INC) —</t>
        </is>
      </c>
      <c r="B56" s="3"/>
      <c r="C56" s="3"/>
      <c r="D56" s="3"/>
      <c r="E56" s="3"/>
      <c r="F56" s="3"/>
      <c r="G56" s="3"/>
      <c r="H56" s="3"/>
    </row>
    <row r="57">
      <c r="A57" s="7" t="inlineStr">
        <is>
          <t xml:space="preserve">Revenue CAGR</t>
        </is>
      </c>
      <c r="B57" s="17">
        <f>'DCF_VZ'!$B$9</f>
        <v>0.008457873514414072</v>
      </c>
      <c r="C57" s="12"/>
      <c r="D57" s="21" t="str">
        <f>IF(C57="","PENDING",ABS(B57-C57))</f>
        <v>PENDING</v>
      </c>
      <c r="E57" s="21" t="str">
        <f>IF(OR(C57="",C57=0),"PENDING",ABS(B57-C57)/ABS(C57))</f>
        <v>PENDING</v>
      </c>
      <c r="F57" s="7" t="inlineStr">
        <is>
          <t xml:space="preserve">±0.01pp</t>
        </is>
      </c>
      <c r="G57" s="24" t="str">
        <f>IF(C57="","PENDING",IF(E57&lt;=0.0001,"PASS","FAIL"))</f>
        <v>PENDING</v>
      </c>
      <c r="H57" s="25" t="inlineStr">
        <is>
          <t xml:space="preserve"/>
        </is>
      </c>
    </row>
    <row r="58">
      <c r="A58" s="7" t="inlineStr">
        <is>
          <t xml:space="preserve">Operating Margin</t>
        </is>
      </c>
      <c r="B58" s="17">
        <f>'DCF_VZ'!$B$10</f>
        <v>0.21216289003447653</v>
      </c>
      <c r="C58" s="12"/>
      <c r="D58" s="21" t="str">
        <f>IF(C58="","PENDING",ABS(B58-C58))</f>
        <v>PENDING</v>
      </c>
      <c r="E58" s="21" t="str">
        <f>IF(OR(C58="",C58=0),"PENDING",ABS(B58-C58)/ABS(C58))</f>
        <v>PENDING</v>
      </c>
      <c r="F58" s="7" t="inlineStr">
        <is>
          <t xml:space="preserve">±0.01pp</t>
        </is>
      </c>
      <c r="G58" s="24" t="str">
        <f>IF(C58="","PENDING",IF(E58&lt;=0.0001,"PASS","FAIL"))</f>
        <v>PENDING</v>
      </c>
      <c r="H58" s="25" t="inlineStr">
        <is>
          <t xml:space="preserve"/>
        </is>
      </c>
    </row>
    <row r="59">
      <c r="A59" s="7" t="inlineStr">
        <is>
          <t xml:space="preserve">Raw WACC</t>
        </is>
      </c>
      <c r="B59" s="17">
        <f>'DCF_VZ'!$B$20</f>
        <v>0.04394939092627055</v>
      </c>
      <c r="C59" s="12"/>
      <c r="D59" s="21" t="str">
        <f>IF(C59="","PENDING",ABS(B59-C59))</f>
        <v>PENDING</v>
      </c>
      <c r="E59" s="21" t="str">
        <f>IF(OR(C59="",C59=0),"PENDING",ABS(B59-C59)/ABS(C59))</f>
        <v>PENDING</v>
      </c>
      <c r="F59" s="7" t="inlineStr">
        <is>
          <t xml:space="preserve">±0.05pp</t>
        </is>
      </c>
      <c r="G59" s="24" t="str">
        <f>IF(C59="","PENDING",IF(E59&lt;=0.0005,"PASS","FAIL"))</f>
        <v>PENDING</v>
      </c>
      <c r="H59" s="25" t="inlineStr">
        <is>
          <t xml:space="preserve"/>
        </is>
      </c>
    </row>
    <row r="60">
      <c r="A60" s="7" t="inlineStr">
        <is>
          <t xml:space="preserve">Final WACC</t>
        </is>
      </c>
      <c r="B60" s="17">
        <f>'DCF_VZ'!$B$21</f>
        <v>0.05</v>
      </c>
      <c r="C60" s="12"/>
      <c r="D60" s="21" t="str">
        <f>IF(C60="","PENDING",ABS(B60-C60))</f>
        <v>PENDING</v>
      </c>
      <c r="E60" s="21" t="str">
        <f>IF(OR(C60="",C60=0),"PENDING",ABS(B60-C60)/ABS(C60))</f>
        <v>PENDING</v>
      </c>
      <c r="F60" s="7" t="inlineStr">
        <is>
          <t xml:space="preserve">±0.05pp</t>
        </is>
      </c>
      <c r="G60" s="24" t="str">
        <f>IF(C60="","PENDING",IF(E60&lt;=0.0005,"PASS","FAIL"))</f>
        <v>PENDING</v>
      </c>
      <c r="H60" s="25" t="inlineStr">
        <is>
          <t xml:space="preserve"/>
        </is>
      </c>
    </row>
    <row r="61">
      <c r="A61" s="7" t="inlineStr">
        <is>
          <t xml:space="preserve">FCF Year 1</t>
        </is>
      </c>
      <c r="B61" s="16">
        <f>'DCF_VZ'!$C$31</f>
        <v>21557635393.014256</v>
      </c>
      <c r="C61" s="11"/>
      <c r="D61" s="21" t="str">
        <f>IF(C61="","PENDING",ABS(B61-C61))</f>
        <v>PENDING</v>
      </c>
      <c r="E61" s="21" t="str">
        <f>IF(OR(C61="",C61=0),"PENDING",ABS(B61-C61)/ABS(C61))</f>
        <v>PENDING</v>
      </c>
      <c r="F61" s="7" t="inlineStr">
        <is>
          <t xml:space="preserve">±0.1%</t>
        </is>
      </c>
      <c r="G61" s="24" t="str">
        <f>IF(C61="","PENDING",IF(E61&lt;=0.001,"PASS","FAIL"))</f>
        <v>PENDING</v>
      </c>
      <c r="H61" s="25" t="inlineStr">
        <is>
          <t xml:space="preserve"/>
        </is>
      </c>
    </row>
    <row r="62">
      <c r="A62" s="7" t="inlineStr">
        <is>
          <t xml:space="preserve">FCF Year 2</t>
        </is>
      </c>
      <c r="B62" s="16">
        <f>'DCF_VZ'!$D$31</f>
        <v>21739967146.438225</v>
      </c>
      <c r="C62" s="11"/>
      <c r="D62" s="21" t="str">
        <f>IF(C62="","PENDING",ABS(B62-C62))</f>
        <v>PENDING</v>
      </c>
      <c r="E62" s="21" t="str">
        <f>IF(OR(C62="",C62=0),"PENDING",ABS(B62-C62)/ABS(C62))</f>
        <v>PENDING</v>
      </c>
      <c r="F62" s="7" t="inlineStr">
        <is>
          <t xml:space="preserve">±0.1%</t>
        </is>
      </c>
      <c r="G62" s="24" t="str">
        <f>IF(C62="","PENDING",IF(E62&lt;=0.001,"PASS","FAIL"))</f>
        <v>PENDING</v>
      </c>
      <c r="H62" s="25" t="inlineStr">
        <is>
          <t xml:space="preserve"/>
        </is>
      </c>
    </row>
    <row r="63">
      <c r="A63" s="7" t="inlineStr">
        <is>
          <t xml:space="preserve">FCF Year 3</t>
        </is>
      </c>
      <c r="B63" s="16">
        <f>'DCF_VZ'!$E$31</f>
        <v>21923841038.770325</v>
      </c>
      <c r="C63" s="11"/>
      <c r="D63" s="21" t="str">
        <f>IF(C63="","PENDING",ABS(B63-C63))</f>
        <v>PENDING</v>
      </c>
      <c r="E63" s="21" t="str">
        <f>IF(OR(C63="",C63=0),"PENDING",ABS(B63-C63)/ABS(C63))</f>
        <v>PENDING</v>
      </c>
      <c r="F63" s="7" t="inlineStr">
        <is>
          <t xml:space="preserve">±0.1%</t>
        </is>
      </c>
      <c r="G63" s="24" t="str">
        <f>IF(C63="","PENDING",IF(E63&lt;=0.001,"PASS","FAIL"))</f>
        <v>PENDING</v>
      </c>
      <c r="H63" s="25" t="inlineStr">
        <is>
          <t xml:space="preserve"/>
        </is>
      </c>
    </row>
    <row r="64">
      <c r="A64" s="7" t="inlineStr">
        <is>
          <t xml:space="preserve">FCF Year 4</t>
        </is>
      </c>
      <c r="B64" s="16">
        <f>'DCF_VZ'!$F$31</f>
        <v>22109270113.22636</v>
      </c>
      <c r="C64" s="11"/>
      <c r="D64" s="21" t="str">
        <f>IF(C64="","PENDING",ABS(B64-C64))</f>
        <v>PENDING</v>
      </c>
      <c r="E64" s="21" t="str">
        <f>IF(OR(C64="",C64=0),"PENDING",ABS(B64-C64)/ABS(C64))</f>
        <v>PENDING</v>
      </c>
      <c r="F64" s="7" t="inlineStr">
        <is>
          <t xml:space="preserve">±0.1%</t>
        </is>
      </c>
      <c r="G64" s="24" t="str">
        <f>IF(C64="","PENDING",IF(E64&lt;=0.001,"PASS","FAIL"))</f>
        <v>PENDING</v>
      </c>
      <c r="H64" s="25" t="inlineStr">
        <is>
          <t xml:space="preserve"/>
        </is>
      </c>
    </row>
    <row r="65">
      <c r="A65" s="7" t="inlineStr">
        <is>
          <t xml:space="preserve">FCF Year 5</t>
        </is>
      </c>
      <c r="B65" s="16">
        <f>'DCF_VZ'!$G$31</f>
        <v>22296267523.340042</v>
      </c>
      <c r="C65" s="11"/>
      <c r="D65" s="21" t="str">
        <f>IF(C65="","PENDING",ABS(B65-C65))</f>
        <v>PENDING</v>
      </c>
      <c r="E65" s="21" t="str">
        <f>IF(OR(C65="",C65=0),"PENDING",ABS(B65-C65)/ABS(C65))</f>
        <v>PENDING</v>
      </c>
      <c r="F65" s="7" t="inlineStr">
        <is>
          <t xml:space="preserve">±0.1%</t>
        </is>
      </c>
      <c r="G65" s="24" t="str">
        <f>IF(C65="","PENDING",IF(E65&lt;=0.001,"PASS","FAIL"))</f>
        <v>PENDING</v>
      </c>
      <c r="H65" s="25" t="inlineStr">
        <is>
          <t xml:space="preserve"/>
        </is>
      </c>
    </row>
    <row r="66">
      <c r="A66" s="7" t="inlineStr">
        <is>
          <t xml:space="preserve">Terminal Value</t>
        </is>
      </c>
      <c r="B66" s="16">
        <f>'DCF_VZ'!$B$34</f>
        <v>914146968456.9417</v>
      </c>
      <c r="C66" s="11"/>
      <c r="D66" s="21" t="str">
        <f>IF(C66="","PENDING",ABS(B66-C66))</f>
        <v>PENDING</v>
      </c>
      <c r="E66" s="21" t="str">
        <f>IF(OR(C66="",C66=0),"PENDING",ABS(B66-C66)/ABS(C66))</f>
        <v>PENDING</v>
      </c>
      <c r="F66" s="7" t="inlineStr">
        <is>
          <t xml:space="preserve">±0.2%</t>
        </is>
      </c>
      <c r="G66" s="24" t="str">
        <f>IF(C66="","PENDING",IF(E66&lt;=0.002,"PASS","FAIL"))</f>
        <v>PENDING</v>
      </c>
      <c r="H66" s="25" t="inlineStr">
        <is>
          <t xml:space="preserve"/>
        </is>
      </c>
    </row>
    <row r="67">
      <c r="A67" s="7" t="inlineStr">
        <is>
          <t xml:space="preserve">PV of Explicit FCF</t>
        </is>
      </c>
      <c r="B67" s="16">
        <f>'DCF_VZ'!$B$39</f>
        <v>94847570839.83777</v>
      </c>
      <c r="C67" s="11"/>
      <c r="D67" s="21" t="str">
        <f>IF(C67="","PENDING",ABS(B67-C67))</f>
        <v>PENDING</v>
      </c>
      <c r="E67" s="21" t="str">
        <f>IF(OR(C67="",C67=0),"PENDING",ABS(B67-C67)/ABS(C67))</f>
        <v>PENDING</v>
      </c>
      <c r="F67" s="7" t="inlineStr">
        <is>
          <t xml:space="preserve">±0.2%</t>
        </is>
      </c>
      <c r="G67" s="24" t="str">
        <f>IF(C67="","PENDING",IF(E67&lt;=0.002,"PASS","FAIL"))</f>
        <v>PENDING</v>
      </c>
      <c r="H67" s="25" t="inlineStr">
        <is>
          <t xml:space="preserve"/>
        </is>
      </c>
    </row>
    <row r="68">
      <c r="A68" s="7" t="inlineStr">
        <is>
          <t xml:space="preserve">PV of Terminal Value</t>
        </is>
      </c>
      <c r="B68" s="16">
        <f>'DCF_VZ'!$B$40</f>
        <v>716258069783.8307</v>
      </c>
      <c r="C68" s="11"/>
      <c r="D68" s="21" t="str">
        <f>IF(C68="","PENDING",ABS(B68-C68))</f>
        <v>PENDING</v>
      </c>
      <c r="E68" s="21" t="str">
        <f>IF(OR(C68="",C68=0),"PENDING",ABS(B68-C68)/ABS(C68))</f>
        <v>PENDING</v>
      </c>
      <c r="F68" s="7" t="inlineStr">
        <is>
          <t xml:space="preserve">±0.2%</t>
        </is>
      </c>
      <c r="G68" s="24" t="str">
        <f>IF(C68="","PENDING",IF(E68&lt;=0.002,"PASS","FAIL"))</f>
        <v>PENDING</v>
      </c>
      <c r="H68" s="25" t="inlineStr">
        <is>
          <t xml:space="preserve"/>
        </is>
      </c>
    </row>
    <row r="69">
      <c r="A69" s="7" t="inlineStr">
        <is>
          <t xml:space="preserve">Enterprise Value</t>
        </is>
      </c>
      <c r="B69" s="16">
        <f>'DCF_VZ'!$B$41</f>
        <v>811105640623.6685</v>
      </c>
      <c r="C69" s="11"/>
      <c r="D69" s="21" t="str">
        <f>IF(C69="","PENDING",ABS(B69-C69))</f>
        <v>PENDING</v>
      </c>
      <c r="E69" s="21" t="str">
        <f>IF(OR(C69="",C69=0),"PENDING",ABS(B69-C69)/ABS(C69))</f>
        <v>PENDING</v>
      </c>
      <c r="F69" s="7" t="inlineStr">
        <is>
          <t xml:space="preserve">±0.2%</t>
        </is>
      </c>
      <c r="G69" s="24" t="str">
        <f>IF(C69="","PENDING",IF(E69&lt;=0.002,"PASS","FAIL"))</f>
        <v>PENDING</v>
      </c>
      <c r="H69" s="25" t="inlineStr">
        <is>
          <t xml:space="preserve"/>
        </is>
      </c>
    </row>
    <row r="70">
      <c r="A70" s="7" t="inlineStr">
        <is>
          <t xml:space="preserve">Equity Value</t>
        </is>
      </c>
      <c r="B70" s="16">
        <f>'DCF_VZ'!$B$42</f>
        <v>672003640623.6685</v>
      </c>
      <c r="C70" s="11"/>
      <c r="D70" s="21" t="str">
        <f>IF(C70="","PENDING",ABS(B70-C70))</f>
        <v>PENDING</v>
      </c>
      <c r="E70" s="21" t="str">
        <f>IF(OR(C70="",C70=0),"PENDING",ABS(B70-C70)/ABS(C70))</f>
        <v>PENDING</v>
      </c>
      <c r="F70" s="7" t="inlineStr">
        <is>
          <t xml:space="preserve">±0.2%</t>
        </is>
      </c>
      <c r="G70" s="24" t="str">
        <f>IF(C70="","PENDING",IF(E70&lt;=0.002,"PASS","FAIL"))</f>
        <v>PENDING</v>
      </c>
      <c r="H70" s="25" t="inlineStr">
        <is>
          <t xml:space="preserve"/>
        </is>
      </c>
    </row>
    <row r="71">
      <c r="A71" s="7" t="inlineStr">
        <is>
          <t xml:space="preserve">Intrinsic Value per Share</t>
        </is>
      </c>
      <c r="B71" s="19">
        <f>'DCF_VZ'!$B$43</f>
        <v>161.74247894330927</v>
      </c>
      <c r="C71" s="11"/>
      <c r="D71" s="21" t="str">
        <f>IF(C71="","PENDING",ABS(B71-C71))</f>
        <v>PENDING</v>
      </c>
      <c r="E71" s="21" t="str">
        <f>IF(OR(C71="",C71=0),"PENDING",ABS(B71-C71)/ABS(C71))</f>
        <v>PENDING</v>
      </c>
      <c r="F71" s="7" t="inlineStr">
        <is>
          <t xml:space="preserve">±0.5%</t>
        </is>
      </c>
      <c r="G71" s="24" t="str">
        <f>IF(C71="","PENDING",IF(E71&lt;=0.005,"PASS","FAIL"))</f>
        <v>PENDING</v>
      </c>
      <c r="H71" s="25" t="inlineStr">
        <is>
          <t xml:space="preserve"/>
        </is>
      </c>
    </row>
  </sheetData>
  <mergeCells count="1">
    <mergeCell ref="A1:H1"/>
  </mergeCells>
</worksheet>
</file>

<file path=xl/worksheets/sheet17.xml><?xml version="1.0" encoding="utf-8"?>
<worksheet xmlns="http://schemas.openxmlformats.org/spreadsheetml/2006/main">
  <dimension ref="A1:H32"/>
  <sheetViews>
    <sheetView workbookViewId="0"/>
  </sheetViews>
  <sheetFormatPr defaultRowHeight="15"/>
  <cols>
    <col min="1" max="1" width="16" customWidth="1"/>
    <col min="2" max="2" width="18" customWidth="1"/>
    <col min="3" max="3" width="16" customWidth="1"/>
    <col min="4" max="4" width="18" customWidth="1"/>
    <col min="5" max="5" width="60" customWidth="1"/>
    <col min="6" max="6" width="12" customWidth="1"/>
    <col min="7" max="7" width="12" customWidth="1"/>
    <col min="8" max="8" width="12" customWidth="1"/>
  </cols>
  <sheetData>
    <row r="1">
      <c r="A1" s="1" t="inlineStr">
        <is>
          <t xml:space="preserve">Research Outlook — Independent DCF Findings</t>
        </is>
      </c>
    </row>
    <row r="2">
      <c r="A2" s="2" t="inlineStr">
        <is>
          <t xml:space="preserve">Interpretation of THIS workbook's own independent calculations under the frozen assumptions above. Not a comparison to the codebase (that is a separate future session) and not investment advice.</t>
        </is>
      </c>
    </row>
    <row r="4">
      <c r="A4" s="3" t="inlineStr">
        <is>
          <t xml:space="preserve">PROMINENT DISCLAIMER — read first</t>
        </is>
      </c>
      <c r="B4" s="3"/>
      <c r="C4" s="3"/>
      <c r="D4" s="3"/>
      <c r="E4" s="3"/>
      <c r="F4" s="3"/>
      <c r="G4" s="3"/>
      <c r="H4" s="3"/>
    </row>
    <row r="5" ht="60" customHeight="1">
      <c r="A5" s="26" t="inlineStr">
        <is>
          <t xml:space="preserve">Profitability remains UNPROVEN. Nothing in this workbook demonstrates that any of these four companies would produce a profitable trade, nor that a DCF-driven strategy earns a durable, statistically credible return. This workbook tests ONE narrow question: does a mechanically independent implementation of the written DCF/WACC specification produce internally consistent, sensible numbers? An 'apparently undervalued under these assumptions' finding is a statement about a model's output under one fixed set of policy assumptions (4% risk-free rate, 5.5% market risk premium, 2.5% terminal growth, fixed D&amp;A/CapEx/NWC percentages) — it is not a statement about expected forward returns, and it is not, and must never be read as, a recommendation to buy, sell, or hold any security.</t>
        </is>
      </c>
    </row>
    <row r="7">
      <c r="A7" s="3" t="inlineStr">
        <is>
          <t xml:space="preserve">Base-case findings, per company</t>
        </is>
      </c>
      <c r="B7" s="3"/>
      <c r="C7" s="3"/>
      <c r="D7" s="3"/>
      <c r="E7" s="3"/>
      <c r="F7" s="3"/>
      <c r="G7" s="3"/>
      <c r="H7" s="3"/>
    </row>
    <row r="8">
      <c r="A8" s="4" t="inlineStr">
        <is>
          <t xml:space="preserve">Ticker</t>
        </is>
      </c>
      <c r="B8" s="4" t="inlineStr">
        <is>
          <t xml:space="preserve">Intrinsic Value/Share</t>
        </is>
      </c>
      <c r="C8" s="4" t="inlineStr">
        <is>
          <t xml:space="preserve">Current Price</t>
        </is>
      </c>
      <c r="D8" s="4" t="inlineStr">
        <is>
          <t xml:space="preserve">Price / Intrinsic Value</t>
        </is>
      </c>
      <c r="E8" s="4" t="inlineStr">
        <is>
          <t xml:space="preserve">Reading under these assumptions</t>
        </is>
      </c>
    </row>
    <row r="9" ht="90" customHeight="1">
      <c r="A9" s="8" t="inlineStr">
        <is>
          <t xml:space="preserve">MSFT</t>
        </is>
      </c>
      <c r="B9" s="7" t="inlineStr">
        <is>
          <t xml:space="preserve">$331.62</t>
        </is>
      </c>
      <c r="C9" s="7" t="inlineStr">
        <is>
          <t xml:space="preserve">$479.78</t>
        </is>
      </c>
      <c r="D9" s="7" t="inlineStr">
        <is>
          <t xml:space="preserve">1.45x</t>
        </is>
      </c>
      <c r="E9" s="26" t="inlineStr">
        <is>
          <t xml:space="preserve">Model output is below the current price (P/IV ≈ 1.4x) — under fixed 2.5% terminal growth, MSFT's own historical 13.7% revenue CAGR and 44% operating margin are NOT extrapolated into the terminal period (dcf.md's explicit no-glide-path design), so the model's terminal value is comparatively conservative relative to a market plausibly pricing in continued elevated growth. This is the cleanest-fitting of the four profiles — capital-light, high-margin, low leverage, all assumptions land in unremarkable ranges.</t>
        </is>
      </c>
    </row>
    <row r="10" ht="90" customHeight="1">
      <c r="A10" s="8" t="inlineStr">
        <is>
          <t xml:space="preserve">CAT</t>
        </is>
      </c>
      <c r="B10" s="7" t="inlineStr">
        <is>
          <t xml:space="preserve">$162.84</t>
        </is>
      </c>
      <c r="C10" s="7" t="inlineStr">
        <is>
          <t xml:space="preserve">$886.00</t>
        </is>
      </c>
      <c r="D10" s="7" t="inlineStr">
        <is>
          <t xml:space="preserve">5.44x</t>
        </is>
      </c>
      <c r="E10" s="26" t="inlineStr">
        <is>
          <t xml:space="preserve">Model output is far below the current price (P/IV ≈ 5.4x). This workbook did NOT source or freeze CAT's actual historical CapEx or D&amp;A dollar figures — only the fixed 4% CapEx / 3% D&amp;A policy assumption (A-004) was applied, identically to every other company in this set. It is plausible that a fixed generic CapEx/D&amp;A policy fits a heavy-machinery manufacturer with a captive finance arm poorly, and that possibility should be tested separately (by sourcing CAT's own historical CapEx/D&amp;A-to-revenue ratios and comparing them to the fixed 4%/3% policy) rather than assumed here. The magnitude of this gap is large enough that it also warrants independently re-checking the frozen price and SEC EDGAR inputs themselves before attributing it to any single cause.</t>
        </is>
      </c>
    </row>
    <row r="11" ht="90" customHeight="1">
      <c r="A11" s="8" t="inlineStr">
        <is>
          <t xml:space="preserve">INTC</t>
        </is>
      </c>
      <c r="B11" s="7" t="inlineStr">
        <is>
          <t xml:space="preserve">$-6.56</t>
        </is>
      </c>
      <c r="C11" s="7" t="inlineStr">
        <is>
          <t xml:space="preserve">$104.12</t>
        </is>
      </c>
      <c r="D11" s="7" t="inlineStr">
        <is>
          <t xml:space="preserve">n/m (negative IV)</t>
        </is>
      </c>
      <c r="E11" s="26" t="inlineStr">
        <is>
          <t xml:space="preserve">Model output is NEGATIVE. With revenue declining at -9.6%/year, near-zero (0.46%) average historical operating margin, and a latest-year effective tax rate of 98.3% (Pretax Income and Tax Provision both landed at similar small magnitudes — see Assumptions sheet), NOPAT is structurally close to zero every projected year while fixed CapEx (4%) exceeds fixed D&amp;A (3%), producing a persistently negative unlevered FCF path. This is the single most fragile case in this validation set: three of four sensitivity direction checks mathematically INVERT (see Sensitivity_INTC) because the underlying FCF is negative. This is disclosed, not hidden — see 'Fragility' below.</t>
        </is>
      </c>
    </row>
    <row r="12" ht="90" customHeight="1">
      <c r="A12" s="8" t="inlineStr">
        <is>
          <t xml:space="preserve">VZ</t>
        </is>
      </c>
      <c r="B12" s="7" t="inlineStr">
        <is>
          <t xml:space="preserve">$161.74</t>
        </is>
      </c>
      <c r="C12" s="7" t="inlineStr">
        <is>
          <t xml:space="preserve">$48.16</t>
        </is>
      </c>
      <c r="D12" s="7" t="inlineStr">
        <is>
          <t xml:space="preserve">0.30x</t>
        </is>
      </c>
      <c r="E12" s="26" t="inlineStr">
        <is>
          <t xml:space="preserve">Model output is far ABOVE the current price (P/IV ≈ 0.30x) — VZ's raw WACC (4.4%) computed below the model's own [5%,20%] floor and was clamped up to 5% (A-006), and its measured beta (0.231) is unusually low. A low discount rate very close to the 2.5% terminal growth rate makes the Gordon Growth denominator (WACC−g) small, which mechanically inflates terminal value and therefore intrinsic value. This is a textbook illustration of L-005 (terminal-value sensitivity) and the WACC clamp binding in practice (A-006).</t>
        </is>
      </c>
    </row>
    <row r="14">
      <c r="A14" s="3" t="inlineStr">
        <is>
          <t xml:space="preserve">Which assumptions drive the widest valuation range?</t>
        </is>
      </c>
      <c r="B14" s="3"/>
      <c r="C14" s="3"/>
      <c r="D14" s="3"/>
      <c r="E14" s="3"/>
      <c r="F14" s="3"/>
      <c r="G14" s="3"/>
      <c r="H14" s="3"/>
    </row>
    <row r="15" ht="90" customHeight="1">
      <c r="A15" s="26" t="inlineStr">
        <is>
          <t xml:space="preserve">Terminal growth rate and WACC dominate, exactly as L-005 warns: the Gordon Growth denominator (WACC−g) appears in every company's Table 2 (Sensitivity_&lt;TICKER&gt;) with the steepest curvature near where WACC approaches the terminal growth rate — VZ's base WACC (5.0%, at the clamp floor) sits closest to the 2.5% terminal growth rate of any of the four companies, and correspondingly shows the widest terminal-growth sensitivity range of the four (see Sensitivity_VZ Table 2). The fixed D&amp;A/CapEx/NWC percentages (A-004) are the second-largest driver for the capital-intensive profile (CAT) specifically, since those percentages were not derived from CAT's own historical ratios.</t>
        </is>
      </c>
    </row>
    <row r="17">
      <c r="A17" s="3" t="inlineStr">
        <is>
          <t xml:space="preserve">Where is the DCF most fragile?</t>
        </is>
      </c>
      <c r="B17" s="3"/>
      <c r="C17" s="3"/>
      <c r="D17" s="3"/>
      <c r="E17" s="3"/>
      <c r="F17" s="3"/>
      <c r="G17" s="3"/>
      <c r="H17" s="3"/>
    </row>
    <row r="18" ht="120" customHeight="1">
      <c r="A18" s="26" t="inlineStr">
        <is>
          <t xml:space="preserve">INTC. A company with structurally negative average operating margin risk (historical average is only 0.46%, and the two most recent years were outright negative) combined with fixed CapEx exceeding fixed D&amp;A produces a persistently negative unlevered FCF path under this model's assumptions. Once base FCF is negative, the model's own sensitivity direction checks flip sign (documented, not hidden, in Sensitivity_INTC) — higher WACC and higher terminal growth both make the (negative) intrinsic value LESS negative rather than more negative, and higher assumed revenue growth makes it MORE negative, since growing a structurally lossmaking revenue base faster only accelerates the losses. This is mathematically correct DCF behavior, not a bug in this workbook or evidence of a codebase defect — but it is a vivid demonstration of why a single point-estimate DCF intrinsic value should never be read without its sensitivity context (L-005), and why the model is a poor fit for a company whose near-term unit economics are this compressed.</t>
        </is>
      </c>
    </row>
    <row r="20">
      <c r="A20" s="3" t="inlineStr">
        <is>
          <t xml:space="preserve">Which profiles fit the model cleanly, and which expose limitations?</t>
        </is>
      </c>
      <c r="B20" s="3"/>
      <c r="C20" s="3"/>
      <c r="D20" s="3"/>
      <c r="E20" s="3"/>
      <c r="F20" s="3"/>
      <c r="G20" s="3"/>
      <c r="H20" s="3"/>
    </row>
    <row r="21" ht="120" customHeight="1">
      <c r="A21" s="26" t="inlineStr">
        <is>
          <t xml:space="preserve">MSFT fits cleanly: strong positive growth, high stable margin, minimal leverage, WACC comfortably inside [5%,20%] without clamping, no fallback triggered anywhere. CAT computes cleanly (no errors, no clamps) but exposes A-004's simplification (fixed CapEx/D&amp;A percentages) — the model's fixed 4%/3% split does not adapt to a genuinely capital-intensive business the way historical revenue growth and operating margin do. INTC exposes both A-002 (unbounded-below historical growth — a genuine real-world negative-growth company should be valuable to be able to model, and it is, but the result is a stress test of the whole projection chain) and the general fragility of a single-stage Gordon Growth terminal value applied to a company with near-zero or negative near-term profitability. VZ exposes A-006 (the WACC clamp) actually binding for a real company, not just as a theoretical safeguard, and the general sensitivity of Gordon Growth to a WACC-minus-g spread that is unusually narrow.</t>
        </is>
      </c>
    </row>
    <row r="23">
      <c r="A23" s="3" t="inlineStr">
        <is>
          <t xml:space="preserve">Why "apparently undervalued under these assumptions" is not "expected profitable trade"</t>
        </is>
      </c>
      <c r="B23" s="3"/>
      <c r="C23" s="3"/>
      <c r="D23" s="3"/>
      <c r="E23" s="3"/>
      <c r="F23" s="3"/>
      <c r="G23" s="3"/>
      <c r="H23" s="3"/>
    </row>
    <row r="24" ht="60" customHeight="1">
      <c r="A24" s="26" t="inlineStr">
        <is>
          <t xml:space="preserve">A DCF intrinsic value is a conditional statement: IF a company's cash flows in fact grow, are margined, and are capitalized the way these fixed assumptions say, THEN this is what its equity would be worth at this discount rate. It says nothing about (a) whether the market will ever re-price the security toward that estimate within any particular holding period, (b) whether these specific fixed assumptions (2.5% terminal growth, 4%/3% CapEx/D&amp;A, a single risk-free rate and market risk premium applied identically to a capital-light software company and a heavily levered telecom) are the RIGHT assumptions for each specific company, or (c) what it would cost in spread, slippage, and execution delay to actually act on the signal. See docs/research-overview.md's identical distinction between 'valuation accuracy' and 'tradeable profitability' — this workbook addresses only the former, and only as a spec-conformance check, not even as a claim that the spec's fixed assumptions are themselves well-calibrated.</t>
        </is>
      </c>
    </row>
    <row r="26">
      <c r="A26" s="3" t="inlineStr">
        <is>
          <t xml:space="preserve">Evidence still required before any profitability claim</t>
        </is>
      </c>
      <c r="B26" s="3"/>
      <c r="C26" s="3"/>
      <c r="D26" s="3"/>
      <c r="E26" s="3"/>
      <c r="F26" s="3"/>
      <c r="G26" s="3"/>
      <c r="H26" s="3"/>
    </row>
    <row r="27">
      <c r="A27" s="24" t="inlineStr">
        <is>
          <t xml:space="preserve">☐</t>
        </is>
      </c>
      <c r="B27" s="26" t="inlineStr">
        <is>
          <t xml:space="preserve">Codebase-to-workbook reconciliation (Summary &amp; Reconciliation sheet, PENDING — separate future session).</t>
        </is>
      </c>
    </row>
    <row r="28">
      <c r="A28" s="24" t="inlineStr">
        <is>
          <t xml:space="preserve">☐</t>
        </is>
      </c>
      <c r="B28" s="26" t="inlineStr">
        <is>
          <t xml:space="preserve">Point-in-time walk-forward testing on a frozen, untouched holdout period (Track B item 5).</t>
        </is>
      </c>
    </row>
    <row r="29">
      <c r="A29" s="24" t="inlineStr">
        <is>
          <t xml:space="preserve">☐</t>
        </is>
      </c>
      <c r="B29" s="26" t="inlineStr">
        <is>
          <t xml:space="preserve">Survivorship-bias controls on the universe of companies considered, not just these four hand-picked profiles (Track B item 2 / L-002).</t>
        </is>
      </c>
    </row>
    <row r="30">
      <c r="A30" s="24" t="inlineStr">
        <is>
          <t xml:space="preserve">☐</t>
        </is>
      </c>
      <c r="B30" s="26" t="inlineStr">
        <is>
          <t xml:space="preserve">Transaction costs, slippage, and execution delay modeled explicitly (Track B item 6 / L-009).</t>
        </is>
      </c>
    </row>
    <row r="31">
      <c r="A31" s="24" t="inlineStr">
        <is>
          <t xml:space="preserve">☐</t>
        </is>
      </c>
      <c r="B31" s="26" t="inlineStr">
        <is>
          <t xml:space="preserve">Benchmark comparison against SPY and simpler baselines (Track B item 7 / L-010).</t>
        </is>
      </c>
    </row>
    <row r="32">
      <c r="A32" s="24" t="inlineStr">
        <is>
          <t xml:space="preserve">☐</t>
        </is>
      </c>
      <c r="B32" s="26" t="inlineStr">
        <is>
          <t xml:space="preserve">Confidence intervals / statistical significance on any headline performance number, not a single point estimate (Track B item 9).</t>
        </is>
      </c>
    </row>
  </sheetData>
  <mergeCells count="19">
    <mergeCell ref="A1:H1"/>
    <mergeCell ref="A4:H4"/>
    <mergeCell ref="A5:H5"/>
    <mergeCell ref="A7:H7"/>
    <mergeCell ref="A14:H14"/>
    <mergeCell ref="A15:H15"/>
    <mergeCell ref="A17:H17"/>
    <mergeCell ref="A18:H18"/>
    <mergeCell ref="A20:H20"/>
    <mergeCell ref="A21:H21"/>
    <mergeCell ref="A23:H23"/>
    <mergeCell ref="A24:H24"/>
    <mergeCell ref="A26:H26"/>
    <mergeCell ref="B27:H27"/>
    <mergeCell ref="B28:H28"/>
    <mergeCell ref="B29:H29"/>
    <mergeCell ref="B30:H30"/>
    <mergeCell ref="B31:H31"/>
    <mergeCell ref="B32:H32"/>
  </mergeCells>
</worksheet>
</file>

<file path=xl/worksheets/sheet18.xml><?xml version="1.0" encoding="utf-8"?>
<worksheet xmlns="http://schemas.openxmlformats.org/spreadsheetml/2006/main">
  <dimension ref="A1:H23"/>
  <sheetViews>
    <sheetView workbookViewId="0"/>
  </sheetViews>
  <sheetFormatPr defaultRowHeight="15"/>
  <cols>
    <col min="1" max="1" width="55" customWidth="1"/>
    <col min="2" max="2" width="12" customWidth="1"/>
    <col min="3" max="3" width="60" customWidth="1"/>
    <col min="4" max="4" width="14" customWidth="1"/>
    <col min="5" max="5" width="14" customWidth="1"/>
    <col min="6" max="6" width="14" customWidth="1"/>
    <col min="7" max="7" width="14" customWidth="1"/>
  </cols>
  <sheetData>
    <row r="1">
      <c r="A1" s="1" t="inlineStr">
        <is>
          <t xml:space="preserve">Validation Checks — Master Rollup</t>
        </is>
      </c>
    </row>
    <row r="3">
      <c r="A3" s="3" t="inlineStr">
        <is>
          <t xml:space="preserve">Per-company local checks (live formulas — see DCF_&lt;TICKER&gt; Section 6 for the underlying formula)</t>
        </is>
      </c>
      <c r="B3" s="3"/>
      <c r="C3" s="3"/>
      <c r="D3" s="3"/>
      <c r="E3" s="3"/>
      <c r="F3" s="3"/>
      <c r="G3" s="3"/>
      <c r="H3" s="3"/>
    </row>
    <row r="4">
      <c r="A4" s="4" t="inlineStr">
        <is>
          <t xml:space="preserve">Ticker</t>
        </is>
      </c>
      <c r="B4" s="4" t="inlineStr">
        <is>
          <t xml:space="preserve">WACC in [5%,20%]?</t>
        </is>
      </c>
      <c r="C4" s="4" t="inlineStr">
        <is>
          <t xml:space="preserve">EV finite?</t>
        </is>
      </c>
      <c r="D4" s="4" t="inlineStr">
        <is>
          <t xml:space="preserve">IVPS finite?</t>
        </is>
      </c>
      <c r="E4" s="4" t="inlineStr">
        <is>
          <t xml:space="preserve">IVPS positive?</t>
        </is>
      </c>
      <c r="F4" s="4" t="inlineStr">
        <is>
          <t xml:space="preserve">Tax rate in [0,1)?</t>
        </is>
      </c>
      <c r="G4" s="4" t="inlineStr">
        <is>
          <t xml:space="preserve">WACC &gt; terminal g?</t>
        </is>
      </c>
    </row>
    <row r="5">
      <c r="A5" s="8" t="inlineStr">
        <is>
          <t xml:space="preserve">MSFT</t>
        </is>
      </c>
      <c r="B5" s="22" t="str">
        <f>'DCF_MSFT'!$B$47</f>
        <v>PASS</v>
      </c>
      <c r="C5" s="22" t="str">
        <f>'DCF_MSFT'!$B$48</f>
        <v>PASS</v>
      </c>
      <c r="D5" s="22" t="str">
        <f>'DCF_MSFT'!$B$49</f>
        <v>PASS</v>
      </c>
      <c r="E5" s="22" t="str">
        <f>'DCF_MSFT'!$B$50</f>
        <v>PASS</v>
      </c>
      <c r="F5" s="22" t="str">
        <f>'DCF_MSFT'!$B$51</f>
        <v>PASS</v>
      </c>
      <c r="G5" s="22" t="str">
        <f>'DCF_MSFT'!$B$52</f>
        <v>PASS</v>
      </c>
    </row>
    <row r="6">
      <c r="A6" s="8" t="inlineStr">
        <is>
          <t xml:space="preserve">CAT</t>
        </is>
      </c>
      <c r="B6" s="22" t="str">
        <f>'DCF_CAT'!$B$47</f>
        <v>PASS</v>
      </c>
      <c r="C6" s="22" t="str">
        <f>'DCF_CAT'!$B$48</f>
        <v>PASS</v>
      </c>
      <c r="D6" s="22" t="str">
        <f>'DCF_CAT'!$B$49</f>
        <v>PASS</v>
      </c>
      <c r="E6" s="22" t="str">
        <f>'DCF_CAT'!$B$50</f>
        <v>PASS</v>
      </c>
      <c r="F6" s="22" t="str">
        <f>'DCF_CAT'!$B$51</f>
        <v>PASS</v>
      </c>
      <c r="G6" s="22" t="str">
        <f>'DCF_CAT'!$B$52</f>
        <v>PASS</v>
      </c>
    </row>
    <row r="7">
      <c r="A7" s="8" t="inlineStr">
        <is>
          <t xml:space="preserve">INTC</t>
        </is>
      </c>
      <c r="B7" s="22" t="str">
        <f>'DCF_INTC'!$B$47</f>
        <v>PASS</v>
      </c>
      <c r="C7" s="22" t="str">
        <f>'DCF_INTC'!$B$48</f>
        <v>PASS</v>
      </c>
      <c r="D7" s="22" t="str">
        <f>'DCF_INTC'!$B$49</f>
        <v>PASS</v>
      </c>
      <c r="E7" s="23" t="str">
        <f>'DCF_INTC'!$B$50</f>
        <v>FAIL</v>
      </c>
      <c r="F7" s="22" t="str">
        <f>'DCF_INTC'!$B$51</f>
        <v>PASS</v>
      </c>
      <c r="G7" s="22" t="str">
        <f>'DCF_INTC'!$B$52</f>
        <v>PASS</v>
      </c>
    </row>
    <row r="8">
      <c r="A8" s="8" t="inlineStr">
        <is>
          <t xml:space="preserve">VZ</t>
        </is>
      </c>
      <c r="B8" s="22" t="str">
        <f>'DCF_VZ'!$B$47</f>
        <v>PASS</v>
      </c>
      <c r="C8" s="22" t="str">
        <f>'DCF_VZ'!$B$48</f>
        <v>PASS</v>
      </c>
      <c r="D8" s="22" t="str">
        <f>'DCF_VZ'!$B$49</f>
        <v>PASS</v>
      </c>
      <c r="E8" s="22" t="str">
        <f>'DCF_VZ'!$B$50</f>
        <v>PASS</v>
      </c>
      <c r="F8" s="22" t="str">
        <f>'DCF_VZ'!$B$51</f>
        <v>PASS</v>
      </c>
      <c r="G8" s="22" t="str">
        <f>'DCF_VZ'!$B$52</f>
        <v>PASS</v>
      </c>
    </row>
    <row r="11">
      <c r="A11" s="3" t="inlineStr">
        <is>
          <t xml:space="preserve">Cross-company monotonicity finding</t>
        </is>
      </c>
      <c r="B11" s="3"/>
      <c r="C11" s="3"/>
      <c r="D11" s="3"/>
      <c r="E11" s="3"/>
      <c r="F11" s="3"/>
      <c r="G11" s="3"/>
      <c r="H11" s="3"/>
    </row>
    <row r="12">
      <c r="A12" s="26" t="inlineStr">
        <is>
          <t xml:space="preserve">INTC's WACC / terminal-growth / revenue-growth direction checks are documented FAILs (see Sensitivity_INTC) due to negative base-case FCF — mathematically correct, investigated, and disclosed, not forced to PASS.</t>
        </is>
      </c>
    </row>
    <row r="14">
      <c r="A14" s="3" t="inlineStr">
        <is>
          <t xml:space="preserve">Sign-off checklist (per docs/independent-validation-plan.md §Review / sign-off checklist)</t>
        </is>
      </c>
      <c r="B14" s="3"/>
      <c r="C14" s="3"/>
      <c r="D14" s="3"/>
      <c r="E14" s="3"/>
      <c r="F14" s="3"/>
      <c r="G14" s="3"/>
      <c r="H14" s="3"/>
    </row>
    <row r="15">
      <c r="A15" s="4" t="inlineStr">
        <is>
          <t xml:space="preserve">Item</t>
        </is>
      </c>
      <c r="B15" s="4" t="inlineStr">
        <is>
          <t xml:space="preserve">Status</t>
        </is>
      </c>
      <c r="C15" s="4" t="inlineStr">
        <is>
          <t xml:space="preserve">Evidence / Note</t>
        </is>
      </c>
    </row>
    <row r="16" ht="30" customHeight="1">
      <c r="A16" s="26" t="inlineStr">
        <is>
          <t xml:space="preserve">Input snapshot frozen, dated, stored alongside workbook</t>
        </is>
      </c>
      <c r="B16" s="22" t="inlineStr">
        <is>
          <t xml:space="preserve">DONE</t>
        </is>
      </c>
      <c r="C16" s="26" t="inlineStr">
        <is>
          <t xml:space="preserve">snapshots/*.json + snapshot_manifest.json with SHA-256 checksums</t>
        </is>
      </c>
    </row>
    <row r="17" ht="30" customHeight="1">
      <c r="A17" s="26" t="inlineStr">
        <is>
          <t xml:space="preserve">Every formula cell traceable to a dcf.md / wacc-capm.md section, not to dcf.py</t>
        </is>
      </c>
      <c r="B17" s="22" t="inlineStr">
        <is>
          <t xml:space="preserve">DONE</t>
        </is>
      </c>
      <c r="C17" s="26" t="inlineStr">
        <is>
          <t xml:space="preserve">Adjacent labels on every formula row across all 4 DCF_&lt;TICKER&gt; sheets</t>
        </is>
      </c>
    </row>
    <row r="18" ht="30" customHeight="1">
      <c r="A18" s="26" t="inlineStr">
        <is>
          <t xml:space="preserve">Workbook built without importing or calling any code from this repository</t>
        </is>
      </c>
      <c r="B18" s="22" t="inlineStr">
        <is>
          <t xml:space="preserve">DONE</t>
        </is>
      </c>
      <c r="C18" s="26" t="inlineStr">
        <is>
          <t xml:space="preserve">build_workbook_v2.py imports only stdlib + shadow_calc_v2.py (independent reimplementation)</t>
        </is>
      </c>
    </row>
    <row r="19" ht="30" customHeight="1">
      <c r="A19" s="26" t="inlineStr">
        <is>
          <t xml:space="preserve">Full intermediate-value reconciliation table complete for each company</t>
        </is>
      </c>
      <c r="B19" s="24" t="inlineStr">
        <is>
          <t xml:space="preserve">PARTIAL</t>
        </is>
      </c>
      <c r="C19" s="26" t="inlineStr">
        <is>
          <t xml:space="preserve">Summary &amp; Reconciliation sheet structure complete; Codebase Output column is intentionally blank pending a separate future session</t>
        </is>
      </c>
    </row>
    <row r="20" ht="30" customHeight="1">
      <c r="A20" s="26" t="inlineStr">
        <is>
          <t xml:space="preserve">Sensitivity tables (WACC, terminal growth, revenue growth, margin) complete for each company</t>
        </is>
      </c>
      <c r="B20" s="22" t="inlineStr">
        <is>
          <t xml:space="preserve">DONE</t>
        </is>
      </c>
      <c r="C20" s="26" t="inlineStr">
        <is>
          <t xml:space="preserve">Sensitivity_&lt;TICKER&gt; Tables 1-4 + two-way table, all 4 companies</t>
        </is>
      </c>
    </row>
    <row r="21" ht="30" customHeight="1">
      <c r="A21" s="26" t="inlineStr">
        <is>
          <t xml:space="preserve">Deliberate error-injection check performed at least once, result documented</t>
        </is>
      </c>
      <c r="B21" s="22" t="inlineStr">
        <is>
          <t xml:space="preserve">DONE</t>
        </is>
      </c>
      <c r="C21" s="26" t="inlineStr">
        <is>
          <t xml:space="preserve">See error_injection_evidence.md</t>
        </is>
      </c>
    </row>
    <row r="22" ht="30" customHeight="1">
      <c r="A22" s="26" t="inlineStr">
        <is>
          <t xml:space="preserve">A second reviewer (not the workbook's builder) has independently checked the reconciliation table and a sensitivity table</t>
        </is>
      </c>
      <c r="B22" s="24" t="inlineStr">
        <is>
          <t xml:space="preserve">PENDING</t>
        </is>
      </c>
      <c r="C22" s="26" t="inlineStr">
        <is>
          <t xml:space="preserve">PENDING — requires a human or a separate agent session; not performed here</t>
        </is>
      </c>
    </row>
    <row r="23" ht="30" customHeight="1">
      <c r="A23" s="26" t="inlineStr">
        <is>
          <t xml:space="preserve">Any discrepancy beyond tolerance resolved or documented as accepted divergence</t>
        </is>
      </c>
      <c r="B23" s="7" t="inlineStr">
        <is>
          <t xml:space="preserve">N/A</t>
        </is>
      </c>
      <c r="C23" s="26" t="inlineStr">
        <is>
          <t xml:space="preserve">No discrepancy exists yet to resolve — reconciliation against the codebase has not been run in this session</t>
        </is>
      </c>
    </row>
  </sheetData>
  <mergeCells count="5">
    <mergeCell ref="A1:F1"/>
    <mergeCell ref="A3:H3"/>
    <mergeCell ref="A11:H11"/>
    <mergeCell ref="A12:G12"/>
    <mergeCell ref="A14:H14"/>
  </mergeCells>
</worksheet>
</file>

<file path=docProps/app.xml><?xml version="1.0" encoding="utf-8"?>
<Properties xmlns="http://schemas.openxmlformats.org/officeDocument/2006/extended-properties">
  <Application>xlsx_lite (stdlib-only, no macros)</Application>
  <TitlesOfParts>
    <vt:vector xmlns:vt="http://schemas.openxmlformats.org/officeDocument/2006/docPropsVTypes" size="18" baseType="lpstr">
      <vt:lpstr>README</vt:lpstr>
      <vt:lpstr>Sources</vt:lpstr>
      <vt:lpstr>Assumptions</vt:lpstr>
      <vt:lpstr>Inputs_MSFT</vt:lpstr>
      <vt:lpstr>DCF_MSFT</vt:lpstr>
      <vt:lpstr>Sensitivity_MSFT</vt:lpstr>
      <vt:lpstr>Inputs_CAT</vt:lpstr>
      <vt:lpstr>DCF_CAT</vt:lpstr>
      <vt:lpstr>Sensitivity_CAT</vt:lpstr>
      <vt:lpstr>Inputs_INTC</vt:lpstr>
      <vt:lpstr>DCF_INTC</vt:lpstr>
      <vt:lpstr>Sensitivity_INTC</vt:lpstr>
      <vt:lpstr>Inputs_VZ</vt:lpstr>
      <vt:lpstr>DCF_VZ</vt:lpstr>
      <vt:lpstr>Sensitivity_VZ</vt:lpstr>
      <vt:lpstr>Summary &amp; Reconciliation</vt:lpstr>
      <vt:lpstr>Research Outlook</vt:lpstr>
      <vt:lpstr>Validation Checks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itle>Independent DCF Validation Workbook</dc:title>
  <dc:creator>Independent Validation Session</dc:creator>
</cp:coreProperties>
</file>
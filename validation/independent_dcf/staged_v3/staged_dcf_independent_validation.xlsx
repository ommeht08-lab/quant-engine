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67938bb16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6f7119c1d2904e7b"/>
    <x:sheet xmlns:r="http://schemas.openxmlformats.org/officeDocument/2006/relationships" name="Policy and limits" sheetId="2" r:id="R7fcc2f4c2a6d48df"/>
    <x:sheet xmlns:r="http://schemas.openxmlformats.org/officeDocument/2006/relationships" name="MSFT" sheetId="3" r:id="R04f1ece9e5f84a15"/>
    <x:sheet xmlns:r="http://schemas.openxmlformats.org/officeDocument/2006/relationships" name="CAT" sheetId="4" r:id="Re5382e9bf7ab40a5"/>
    <x:sheet xmlns:r="http://schemas.openxmlformats.org/officeDocument/2006/relationships" name="INTC" sheetId="5" r:id="R92f68d97e9a54766"/>
    <x:sheet xmlns:r="http://schemas.openxmlformats.org/officeDocument/2006/relationships" name="VZ" sheetId="6" r:id="R636ce8dec1524d2d"/>
    <x:sheet xmlns:r="http://schemas.openxmlformats.org/officeDocument/2006/relationships" name="NEGATIVE" sheetId="7" r:id="R1979d68cc602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%;[Red](0.00%);–"/>
    <x:numFmt numFmtId="201" formatCode="#,##0;[Red](#,##0);–"/>
    <x:numFmt numFmtId="202" formatCode="$0.00"/>
    <x:numFmt numFmtId="203" formatCode="0.000"/>
    <x:numFmt numFmtId="204" formatCode="$0.00;[Red]($0.00);–"/>
  </x:numFmts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1565C0"/>
      <x:name val="Carlito"/>
    </x:font>
    <x:font>
      <x:sz val="11"/>
      <x:color rgb="FF20202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2" fontId="3" fillId="0" borderId="0" xfId="0" applyNumberFormat="1" applyFont="1" applyFill="1" applyBorder="1"/>
    <x:xf numFmtId="201" fontId="3" fillId="0" borderId="0" xfId="0" applyNumberFormat="1" applyFont="1" applyFill="1" applyBorder="1"/>
    <x:xf numFmtId="203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3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913e76c7346c8" /><Relationship Type="http://schemas.openxmlformats.org/officeDocument/2006/relationships/theme" Target="/xl/theme/theme1.xml" Id="R0c0c1c3a3ed5400d" /><Relationship Type="http://schemas.openxmlformats.org/officeDocument/2006/relationships/sharedStrings" Target="/xl/sharedStrings.xml" Id="R06e4fd5824d34206" /><Relationship Type="http://schemas.openxmlformats.org/officeDocument/2006/relationships/worksheet" Target="/xl/worksheets/sheet1.xml" Id="R6f7119c1d2904e7b" /><Relationship Type="http://schemas.openxmlformats.org/officeDocument/2006/relationships/worksheet" Target="/xl/worksheets/sheet2.xml" Id="R7fcc2f4c2a6d48df" /><Relationship Type="http://schemas.openxmlformats.org/officeDocument/2006/relationships/worksheet" Target="/xl/worksheets/sheet3.xml" Id="R04f1ece9e5f84a15" /><Relationship Type="http://schemas.openxmlformats.org/officeDocument/2006/relationships/worksheet" Target="/xl/worksheets/sheet4.xml" Id="Re5382e9bf7ab40a5" /><Relationship Type="http://schemas.openxmlformats.org/officeDocument/2006/relationships/worksheet" Target="/xl/worksheets/sheet5.xml" Id="R92f68d97e9a54766" /><Relationship Type="http://schemas.openxmlformats.org/officeDocument/2006/relationships/worksheet" Target="/xl/worksheets/sheet6.xml" Id="R636ce8dec1524d2d" /><Relationship Type="http://schemas.openxmlformats.org/officeDocument/2006/relationships/worksheet" Target="/xl/worksheets/sheet7.xml" Id="R1979d68cc60243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8" t="str">
        <x:v>Independent staged DCF | frozen validation scorecard</x:v>
      </x:c>
      <x:c r="B1" s="8"/>
      <x:c r="C1" s="8"/>
      <x:c r="D1" s="8"/>
      <x:c r="E1" s="8"/>
      <x:c r="F1" s="8"/>
      <x:c r="G1" s="8"/>
      <x:c r="H1" s="8"/>
      <x:c r="I1" s="8"/>
      <x:c r="J1" s="8"/>
    </x:row>
    <x:row r="2">
      <x:c r="A2" t="str">
        <x:v>Mathematical outputs and economic interpretation are separate. No trading or market-price calibration.</x:v>
      </x:c>
    </x:row>
    <x:row r="4">
      <x:c r="A4" s="8" t="str">
        <x:v>Issuer</x:v>
      </x:c>
      <x:c r="B4" s="8" t="str">
        <x:v>Base / share</x:v>
      </x:c>
      <x:c r="C4" s="8" t="str">
        <x:v>Bear / share</x:v>
      </x:c>
      <x:c r="D4" s="8" t="str">
        <x:v>Bull / share</x:v>
      </x:c>
      <x:c r="E4" s="8" t="str">
        <x:v>Base WACC</x:v>
      </x:c>
      <x:c r="F4" s="8" t="str">
        <x:v>Base terminal g</x:v>
      </x:c>
      <x:c r="G4" s="8" t="str">
        <x:v>PV TV / EV</x:v>
      </x:c>
      <x:c r="H4" s="8" t="str">
        <x:v>Quality</x:v>
      </x:c>
      <x:c r="I4" s="8" t="str">
        <x:v>Math complete</x:v>
      </x:c>
      <x:c r="J4" s="8" t="str">
        <x:v>Comparison allowed</x:v>
      </x:c>
    </x:row>
    <x:row r="5">
      <x:c r="A5" t="str">
        <x:v>MSFT</x:v>
      </x:c>
      <x:c r="B5" s="5" t="n">
        <x:f>'MSFT'!B85</x:f>
        <x:v>282.4808654067384</x:v>
      </x:c>
      <x:c r="C5" s="5" t="n">
        <x:f>'MSFT'!B115</x:f>
        <x:v>214.38238187365945</x:v>
      </x:c>
      <x:c r="D5" s="5" t="n">
        <x:f>'MSFT'!B145</x:f>
        <x:v>388.0837829779603</x:v>
      </x:c>
      <x:c r="E5" s="1" t="n">
        <x:f>'MSFT'!B77</x:f>
        <x:v>0.1000042158780718</x:v>
      </x:c>
      <x:c r="F5" s="1" t="n">
        <x:f>'MSFT'!B78</x:f>
        <x:v>0.025</x:v>
      </x:c>
      <x:c r="G5" s="1" t="n">
        <x:f>'MSFT'!B86</x:f>
        <x:v>0.7195455354145018</x:v>
      </x:c>
      <x:c r="H5" t="str">
        <x:f>'MSFT'!B156</x:f>
        <x:v>ORDINARY</x:v>
      </x:c>
      <x:c r="I5" t="b">
        <x:f>'MSFT'!B157</x:f>
        <x:v>1</x:v>
      </x:c>
      <x:c r="J5" t="b">
        <x:f>'MSFT'!B158</x:f>
        <x:v>1</x:v>
      </x:c>
    </x:row>
    <x:row r="6">
      <x:c r="A6" t="str">
        <x:v>CAT</x:v>
      </x:c>
      <x:c r="B6" s="5" t="n">
        <x:f>'CAT'!B85</x:f>
        <x:v>150.15259471078178</x:v>
      </x:c>
      <x:c r="C6" s="5" t="n">
        <x:f>'CAT'!B115</x:f>
        <x:v>99.9568644822642</x:v>
      </x:c>
      <x:c r="D6" s="5" t="n">
        <x:f>'CAT'!B145</x:f>
        <x:v>222.62226188919468</x:v>
      </x:c>
      <x:c r="E6" s="1" t="n">
        <x:f>'CAT'!B77</x:f>
        <x:v>0.12095875169517725</x:v>
      </x:c>
      <x:c r="F6" s="1" t="n">
        <x:f>'CAT'!B78</x:f>
        <x:v>0.025</x:v>
      </x:c>
      <x:c r="G6" s="1" t="n">
        <x:f>'CAT'!B86</x:f>
        <x:v>0.6491684676065422</x:v>
      </x:c>
      <x:c r="H6" t="str">
        <x:f>'CAT'!B156</x:f>
        <x:v>ORDINARY</x:v>
      </x:c>
      <x:c r="I6" t="b">
        <x:f>'CAT'!B157</x:f>
        <x:v>1</x:v>
      </x:c>
      <x:c r="J6" t="b">
        <x:f>'CAT'!B158</x:f>
        <x:v>1</x:v>
      </x:c>
    </x:row>
    <x:row r="7">
      <x:c r="A7" t="str">
        <x:v>INTC</x:v>
      </x:c>
      <x:c r="B7" s="5" t="n">
        <x:f>'INTC'!B85</x:f>
        <x:v>-6.55942609896238</x:v>
      </x:c>
      <x:c r="C7" s="5" t="n">
        <x:f>'INTC'!B115</x:f>
        <x:v>-6.486998637048637</x:v>
      </x:c>
      <x:c r="D7" s="5" t="n">
        <x:f>'INTC'!B145</x:f>
        <x:v>-6.654042554543143</x:v>
      </x:c>
      <x:c r="E7" s="1" t="n">
        <x:f>'INTC'!B77</x:f>
        <x:v>0.15054644593281</x:v>
      </x:c>
      <x:c r="F7" s="1" t="n">
        <x:f>'INTC'!B78</x:f>
        <x:v>0.025</x:v>
      </x:c>
      <x:c r="G7" s="1" t="str">
        <x:f>'INTC'!B86</x:f>
        <x:v>N/A: EV&lt;=0</x:v>
      </x:c>
      <x:c r="H7" t="str">
        <x:f>'INTC'!B156</x:f>
        <x:v>DIAGNOSTIC ONLY</x:v>
      </x:c>
      <x:c r="I7" t="b">
        <x:f>'INTC'!B157</x:f>
        <x:v>1</x:v>
      </x:c>
      <x:c r="J7" t="b">
        <x:f>'INTC'!B158</x:f>
        <x:v>0</x:v>
      </x:c>
    </x:row>
    <x:row r="8">
      <x:c r="A8" t="str">
        <x:v>VZ</x:v>
      </x:c>
      <x:c r="B8" s="5" t="n">
        <x:f>'VZ'!B85</x:f>
        <x:v>161.74247894330927</x:v>
      </x:c>
      <x:c r="C8" s="5" t="n">
        <x:f>'VZ'!B115</x:f>
        <x:v>74.44433364353064</x:v>
      </x:c>
      <x:c r="D8" s="5" t="n">
        <x:f>'VZ'!B145</x:f>
        <x:v>242.46976120398145</x:v>
      </x:c>
      <x:c r="E8" s="1" t="n">
        <x:f>'VZ'!B77</x:f>
        <x:v>0.05</x:v>
      </x:c>
      <x:c r="F8" s="1" t="n">
        <x:f>'VZ'!B78</x:f>
        <x:v>0.025</x:v>
      </x:c>
      <x:c r="G8" s="1" t="n">
        <x:f>'VZ'!B86</x:f>
        <x:v>0.8830638500221644</x:v>
      </x:c>
      <x:c r="H8" t="str">
        <x:f>'VZ'!B156</x:f>
        <x:v>CAUTION</x:v>
      </x:c>
      <x:c r="I8" t="b">
        <x:f>'VZ'!B157</x:f>
        <x:v>1</x:v>
      </x:c>
      <x:c r="J8" t="b">
        <x:f>'VZ'!B158</x:f>
        <x:v>0</x:v>
      </x:c>
    </x:row>
    <x:row r="9">
      <x:c r="A9" t="str">
        <x:v>NEGATIVE</x:v>
      </x:c>
      <x:c r="B9" s="5" t="n">
        <x:f>'NEGATIVE'!B85</x:f>
        <x:v>-31.09716355821005</x:v>
      </x:c>
      <x:c r="C9" s="5" t="n">
        <x:f>'NEGATIVE'!B115</x:f>
        <x:v>-25.031358915758815</x:v>
      </x:c>
      <x:c r="D9" s="5" t="n">
        <x:f>'NEGATIVE'!B145</x:f>
        <x:v>-40.55987041752582</x:v>
      </x:c>
      <x:c r="E9" s="1" t="n">
        <x:f>'NEGATIVE'!B77</x:f>
        <x:v>0.09387254901960784</x:v>
      </x:c>
      <x:c r="F9" s="1" t="n">
        <x:f>'NEGATIVE'!B78</x:f>
        <x:v>0.025</x:v>
      </x:c>
      <x:c r="G9" s="1" t="str">
        <x:f>'NEGATIVE'!B86</x:f>
        <x:v>N/A: EV&lt;=0</x:v>
      </x:c>
      <x:c r="H9" t="str">
        <x:f>'NEGATIVE'!B156</x:f>
        <x:v>DIAGNOSTIC ONLY</x:v>
      </x:c>
      <x:c r="I9" t="b">
        <x:f>'NEGATIVE'!B157</x:f>
        <x:v>1</x:v>
      </x:c>
      <x:c r="J9" t="b">
        <x:f>'NEGATIVE'!B158</x:f>
        <x:v>0</x:v>
      </x:c>
    </x:row>
    <x:row r="11">
      <x:c r="I11" t="str">
        <x:v>1 = yes, 0 = no</x:v>
      </x:c>
    </x:row>
    <x:row r="12">
      <x:c r="A12" s="8" t="str">
        <x:v>Policy boundary</x:v>
      </x:c>
      <x:c r="B12" s="8" t="str">
        <x:v>Trigger</x:v>
      </x:c>
      <x:c r="C12" s="8"/>
      <x:c r="D12" s="8"/>
      <x:c r="E12" s="8"/>
      <x:c r="F12" s="8"/>
      <x:c r="G12" s="8"/>
      <x:c r="H12" s="8"/>
      <x:c r="I12" s="8"/>
      <x:c r="J12" s="8"/>
    </x:row>
    <x:row r="13">
      <x:c r="A13" t="str">
        <x:v>Terminal FCF or EV</x:v>
      </x:c>
      <x:c r="B13" t="str">
        <x:v>&lt;= 0, serious</x:v>
      </x:c>
    </x:row>
    <x:row r="14">
      <x:c r="A14" t="str">
        <x:v>Observed effective tax</x:v>
      </x:c>
      <x:c r="B14" t="str">
        <x:v>&gt;= 60%, caution</x:v>
      </x:c>
    </x:row>
    <x:row r="15">
      <x:c r="A15" t="str">
        <x:v>PV terminal / positive EV</x:v>
      </x:c>
      <x:c r="B15" t="str">
        <x:v>&gt;= 80%, caution</x:v>
      </x:c>
    </x:row>
    <x:row r="16">
      <x:c r="A16" t="str">
        <x:v>Bear &lt;= Base &lt;= Bull</x:v>
      </x:c>
      <x:c r="B16" t="str">
        <x:v>Must hold; otherwise serious</x:v>
      </x:c>
    </x:row>
    <x:row r="18">
      <x:c r="A18" s="8" t="str">
        <x:v>Limit</x:v>
      </x:c>
      <x:c r="B18" s="8" t="str">
        <x:v>Explanation</x:v>
      </x:c>
      <x:c r="C18" s="8"/>
      <x:c r="D18" s="8"/>
      <x:c r="E18" s="8"/>
      <x:c r="F18" s="8"/>
      <x:c r="G18" s="8"/>
      <x:c r="H18" s="8"/>
      <x:c r="I18" s="8"/>
      <x:c r="J18" s="8"/>
    </x:row>
    <x:row r="19">
      <x:c r="A19" t="str">
        <x:v>Synthetic case</x:v>
      </x:c>
      <x:c r="B19" t="str">
        <x:v>Hypothetical, not a real issuer</x:v>
      </x:c>
    </x:row>
    <x:row r="20">
      <x:c r="A20" t="str">
        <x:v>Scenario shifts</x:v>
      </x:c>
      <x:c r="B20" t="str">
        <x:v>Validator convention, because written specification omits exact values</x:v>
      </x:c>
    </x:row>
    <x:row r="21">
      <x:c r="A21" t="str">
        <x:v>Economic credibility</x:v>
      </x:c>
      <x:c r="B21" t="str">
        <x:v>Not established by arithmetic agreement alone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5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8" t="str">
        <x:v>Policy, threshold tests and specification limits</x:v>
      </x:c>
      <x:c r="B1" s="8"/>
      <x:c r="C1" s="8"/>
      <x:c r="D1" s="8"/>
      <x:c r="E1" s="8"/>
      <x:c r="F1" s="8"/>
      <x:c r="G1" s="8"/>
      <x:c r="H1" s="8"/>
    </x:row>
    <x:row r="3">
      <x:c r="A3" s="8" t="str">
        <x:v>Condition</x:v>
      </x:c>
      <x:c r="B3" s="8" t="str">
        <x:v>Below boundary</x:v>
      </x:c>
      <x:c r="C3" s="8" t="str">
        <x:v>At boundary</x:v>
      </x:c>
      <x:c r="D3" s="8" t="str">
        <x:v>Above boundary</x:v>
      </x:c>
      <x:c r="E3" s="8" t="str">
        <x:v>Trigger</x:v>
      </x:c>
      <x:c r="F3" s="8" t="str">
        <x:v>Below flags</x:v>
      </x:c>
      <x:c r="G3" s="8" t="str">
        <x:v>At flags</x:v>
      </x:c>
      <x:c r="H3" s="8" t="str">
        <x:v>Above flags</x:v>
      </x:c>
    </x:row>
    <x:row r="4">
      <x:c r="A4" t="str">
        <x:v>Terminal FCF</x:v>
      </x:c>
      <x:c r="B4" t="n">
        <x:v>-0.01</x:v>
      </x:c>
      <x:c r="C4" t="n">
        <x:v>0</x:v>
      </x:c>
      <x:c r="D4" t="n">
        <x:v>0.01</x:v>
      </x:c>
      <x:c r="E4" t="str">
        <x:v>&lt;=0</x:v>
      </x:c>
      <x:c r="F4" t="b">
        <x:f>B4&lt;=0</x:f>
        <x:v>1</x:v>
      </x:c>
      <x:c r="G4" t="b">
        <x:f>C4&lt;=0</x:f>
        <x:v>1</x:v>
      </x:c>
      <x:c r="H4" t="b">
        <x:f>D4&lt;=0</x:f>
        <x:v>0</x:v>
      </x:c>
    </x:row>
    <x:row r="5">
      <x:c r="A5" t="str">
        <x:v>Enterprise value</x:v>
      </x:c>
      <x:c r="B5" t="n">
        <x:v>-0.01</x:v>
      </x:c>
      <x:c r="C5" t="n">
        <x:v>0</x:v>
      </x:c>
      <x:c r="D5" t="n">
        <x:v>0.01</x:v>
      </x:c>
      <x:c r="E5" t="str">
        <x:v>&lt;=0</x:v>
      </x:c>
      <x:c r="F5" t="b">
        <x:f>B5&lt;=0</x:f>
        <x:v>1</x:v>
      </x:c>
      <x:c r="G5" t="b">
        <x:f>C5&lt;=0</x:f>
        <x:v>1</x:v>
      </x:c>
      <x:c r="H5" t="b">
        <x:f>D5&lt;=0</x:f>
        <x:v>0</x:v>
      </x:c>
    </x:row>
    <x:row r="6">
      <x:c r="A6" t="str">
        <x:v>Observed tax</x:v>
      </x:c>
      <x:c r="B6" t="n">
        <x:v>0.599999</x:v>
      </x:c>
      <x:c r="C6" t="n">
        <x:v>0.6</x:v>
      </x:c>
      <x:c r="D6" t="n">
        <x:v>0.600001</x:v>
      </x:c>
      <x:c r="E6" t="str">
        <x:v>&gt;=60%</x:v>
      </x:c>
      <x:c r="F6" t="b">
        <x:f>B6&gt;=60%</x:f>
        <x:v>0</x:v>
      </x:c>
      <x:c r="G6" t="b">
        <x:f>C6&gt;=60%</x:f>
        <x:v>1</x:v>
      </x:c>
      <x:c r="H6" t="b">
        <x:f>D6&gt;=60%</x:f>
        <x:v>1</x:v>
      </x:c>
    </x:row>
    <x:row r="7">
      <x:c r="A7" t="str">
        <x:v>PV terminal / EV</x:v>
      </x:c>
      <x:c r="B7" t="n">
        <x:v>0.799999</x:v>
      </x:c>
      <x:c r="C7" t="n">
        <x:v>0.8</x:v>
      </x:c>
      <x:c r="D7" t="n">
        <x:v>0.800001</x:v>
      </x:c>
      <x:c r="E7" t="str">
        <x:v>&gt;=80%</x:v>
      </x:c>
      <x:c r="F7" t="b">
        <x:f>B7&gt;=80%</x:f>
        <x:v>0</x:v>
      </x:c>
      <x:c r="G7" t="b">
        <x:f>C7&gt;=80%</x:f>
        <x:v>1</x:v>
      </x:c>
      <x:c r="H7" t="b">
        <x:f>D7&gt;=80%</x:f>
        <x:v>1</x:v>
      </x:c>
    </x:row>
    <x:row r="9">
      <x:c r="A9" t="str">
        <x:v>Flag cells: 1 = triggered, 0 = not triggered</x:v>
      </x:c>
    </x:row>
    <x:row r="10">
      <x:c r="A10" s="8" t="str">
        <x:v>Written source</x:v>
      </x:c>
      <x:c r="B10" s="8" t="str">
        <x:v>docs/model-specifications/dcf.md; docs/model-specifications/wacc-capm.md at c5ccbd41b6423c09cbc1851e8245139a0a3b7c72</x:v>
      </x:c>
      <x:c r="C10" s="8"/>
      <x:c r="D10" s="8"/>
      <x:c r="E10" s="8"/>
      <x:c r="F10" s="8"/>
      <x:c r="G10" s="8"/>
      <x:c r="H10" s="8"/>
    </x:row>
    <x:row r="11">
      <x:c r="A11" t="str">
        <x:v>Growth fade interpretation</x:v>
      </x:c>
      <x:c r="B11" t="str">
        <x:v>Years 3–5 use remaining excess fractions 2/3, 1/3, 0; weak growth unchanged. Exact interpolation is not stated numerically.</x:v>
      </x:c>
    </x:row>
    <x:row r="12">
      <x:c r="A12" t="str">
        <x:v>Scenario shift ambiguity</x:v>
      </x:c>
      <x:c r="B12" t="str">
        <x:v>Written spec does not give Bear/Bull numeric shifts. Validator uses growth ±2pp, margin ±1pp, WACC ∓1pp, terminal g ±0.5pp.</x:v>
      </x:c>
    </x:row>
    <x:row r="13">
      <x:c r="A13" t="str">
        <x:v>Tax fallback</x:v>
      </x:c>
      <x:c r="B13" t="str">
        <x:v>21% only when observed ratio unavailable. Extreme tax checks observed ratio only.</x:v>
      </x:c>
    </x:row>
    <x:row r="14">
      <x:c r="A14" t="str">
        <x:v>Risk-free fallback</x:v>
      </x:c>
      <x:c r="B14" t="str">
        <x:v>Static 4% offline written default; no live yield fetched.</x:v>
      </x:c>
    </x:row>
    <x:row r="15">
      <x:c r="A15" t="str">
        <x:v>Economic credibility</x:v>
      </x:c>
      <x:c r="B15" t="str">
        <x:v>Separate judgment; terminal dominance, perpetual losses and cyclical inputs may make mathematically complete prices unreliable.</x:v>
      </x:c>
    </x:row>
    <x:row r="16">
      <x:c r="A16" t="str">
        <x:v>Comparison policy</x:v>
      </x:c>
      <x:c r="B16" t="str">
        <x:v>All quality flags withhold market comparisons; diagnostics remain visible.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29" hidden="0" customWidth="1"/>
    <x:col min="12" max="12" width="29" hidden="0" customWidth="1"/>
  </x:cols>
  <x:sheetData>
    <x:row r="1">
      <x:c r="A1" s="8" t="str">
        <x:v>MSFT | independent staged DCF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>
      <x:c r="A2" t="str">
        <x:v>Frozen evidence only • USD actual • scenarios are diagnostic, not price targets</x:v>
      </x:c>
    </x:row>
    <x:row r="5">
      <x:c r="A5" s="8" t="str">
        <x:v>Fiscal end</x:v>
      </x:c>
      <x:c r="B5" s="8" t="str">
        <x:v>Revenue USD</x:v>
      </x:c>
      <x:c r="C5" s="8" t="str">
        <x:v>EBIT USD</x:v>
      </x:c>
      <x:c r="D5" s="8" t="str">
        <x:v>EBIT margin</x:v>
      </x:c>
      <x:c r="E5" s="8" t="str">
        <x:v>Revenue filed</x:v>
      </x:c>
      <x:c r="F5" s="8" t="str">
        <x:v>EBIT filed</x:v>
      </x:c>
      <x:c r="G5" s="8" t="str">
        <x:v>Revenue tag</x:v>
      </x:c>
      <x:c r="H5" s="8" t="str">
        <x:v>EBIT tag</x:v>
      </x:c>
      <x:c r="I5" s="8" t="str">
        <x:v>Revenue source</x:v>
      </x:c>
      <x:c r="J5" s="8" t="str">
        <x:v>EBIT source</x:v>
      </x:c>
      <x:c r="K5" s="8" t="str">
        <x:v>Revenue status</x:v>
      </x:c>
      <x:c r="L5" s="8" t="str">
        <x:v>EBIT status / derivation</x:v>
      </x:c>
    </x:row>
    <x:row r="6">
      <x:c r="A6" t="str">
        <x:v>2022-06-30</x:v>
      </x:c>
      <x:c r="B6" s="2" t="n">
        <x:v>198270000000</x:v>
      </x:c>
      <x:c r="C6" s="2" t="n">
        <x:v>83383000000</x:v>
      </x:c>
      <x:c r="D6" s="1" t="n">
        <x:f>C6/B6</x:f>
        <x:v>0.4205527815604983</x:v>
      </x:c>
      <x:c r="E6" t="str">
        <x:v>2022-07-28</x:v>
      </x:c>
      <x:c r="F6" t="str">
        <x:v>2022-07-28</x:v>
      </x:c>
      <x:c r="G6" t="str">
        <x:v>RevenueFromContractWithCustomerExcludingAssessedTax</x:v>
      </x:c>
      <x:c r="H6" t="str">
        <x:v>OperatingIncomeLoss</x:v>
      </x:c>
      <x:c r="I6" t="str">
        <x:v>https://www.sec.gov/Archives/edgar/data/789019/000156459022026876/0001564590-22-026876-index.htm</x:v>
      </x:c>
      <x:c r="J6" t="str">
        <x:v>https://www.sec.gov/Archives/edgar/data/789019/000156459022026876/0001564590-22-026876-index.htm</x:v>
      </x:c>
      <x:c r="K6" t="str">
        <x:v>Frozen SEC; no fallback</x:v>
      </x:c>
      <x:c r="L6" t="str">
        <x:v>Directly reported (OperatingIncomeLoss XBRL tag).</x:v>
      </x:c>
    </x:row>
    <x:row r="7">
      <x:c r="A7" t="str">
        <x:v>2023-06-30</x:v>
      </x:c>
      <x:c r="B7" s="2" t="n">
        <x:v>211915000000</x:v>
      </x:c>
      <x:c r="C7" s="2" t="n">
        <x:v>88523000000</x:v>
      </x:c>
      <x:c r="D7" s="1" t="n">
        <x:f>C7/B7</x:f>
        <x:v>0.417728806361041</x:v>
      </x:c>
      <x:c r="E7" t="str">
        <x:v>2023-07-27</x:v>
      </x:c>
      <x:c r="F7" t="str">
        <x:v>2023-07-27</x:v>
      </x:c>
      <x:c r="G7" t="str">
        <x:v>RevenueFromContractWithCustomerExcludingAssessedTax</x:v>
      </x:c>
      <x:c r="H7" t="str">
        <x:v>OperatingIncomeLoss</x:v>
      </x:c>
      <x:c r="I7" t="str">
        <x:v>https://www.sec.gov/Archives/edgar/data/789019/000095017023035122/0000950170-23-035122-index.htm</x:v>
      </x:c>
      <x:c r="J7" t="str">
        <x:v>https://www.sec.gov/Archives/edgar/data/789019/000095017023035122/0000950170-23-035122-index.htm</x:v>
      </x:c>
      <x:c r="K7" t="str">
        <x:v>Frozen SEC; no fallback</x:v>
      </x:c>
      <x:c r="L7" t="str">
        <x:v>Directly reported (OperatingIncomeLoss XBRL tag).</x:v>
      </x:c>
    </x:row>
    <x:row r="8">
      <x:c r="A8" t="str">
        <x:v>2024-06-30</x:v>
      </x:c>
      <x:c r="B8" s="2" t="n">
        <x:v>245122000000</x:v>
      </x:c>
      <x:c r="C8" s="2" t="n">
        <x:v>109433000000</x:v>
      </x:c>
      <x:c r="D8" s="1" t="n">
        <x:f>C8/B8</x:f>
        <x:v>0.44644299573273716</x:v>
      </x:c>
      <x:c r="E8" t="str">
        <x:v>2024-07-30</x:v>
      </x:c>
      <x:c r="F8" t="str">
        <x:v>2024-07-30</x:v>
      </x:c>
      <x:c r="G8" t="str">
        <x:v>RevenueFromContractWithCustomerExcludingAssessedTax</x:v>
      </x:c>
      <x:c r="H8" t="str">
        <x:v>OperatingIncomeLoss</x:v>
      </x:c>
      <x:c r="I8" t="str">
        <x:v>https://www.sec.gov/Archives/edgar/data/789019/000095017024087843/0000950170-24-087843-index.htm</x:v>
      </x:c>
      <x:c r="J8" t="str">
        <x:v>https://www.sec.gov/Archives/edgar/data/789019/000095017024087843/0000950170-24-087843-index.htm</x:v>
      </x:c>
      <x:c r="K8" t="str">
        <x:v>Frozen SEC; no fallback</x:v>
      </x:c>
      <x:c r="L8" t="str">
        <x:v>Directly reported (OperatingIncomeLoss XBRL tag).</x:v>
      </x:c>
    </x:row>
    <x:row r="9">
      <x:c r="A9" t="str">
        <x:v>2025-06-30</x:v>
      </x:c>
      <x:c r="B9" s="2" t="n">
        <x:v>281724000000</x:v>
      </x:c>
      <x:c r="C9" s="2" t="n">
        <x:v>128528000000</x:v>
      </x:c>
      <x:c r="D9" s="1" t="n">
        <x:f>C9/B9</x:f>
        <x:v>0.4562195624085985</x:v>
      </x:c>
      <x:c r="E9" t="str">
        <x:v>2025-07-30</x:v>
      </x:c>
      <x:c r="F9" t="str">
        <x:v>2025-07-30</x:v>
      </x:c>
      <x:c r="G9" t="str">
        <x:v>RevenueFromContractWithCustomerExcludingAssessedTax</x:v>
      </x:c>
      <x:c r="H9" t="str">
        <x:v>OperatingIncomeLoss</x:v>
      </x:c>
      <x:c r="I9" t="str">
        <x:v>https://www.sec.gov/Archives/edgar/data/789019/000095017025100235/0000950170-25-100235-index.htm</x:v>
      </x:c>
      <x:c r="J9" t="str">
        <x:v>https://www.sec.gov/Archives/edgar/data/789019/000095017025100235/0000950170-25-100235-index.htm</x:v>
      </x:c>
      <x:c r="K9" t="str">
        <x:v>Frozen SEC; no fallback</x:v>
      </x:c>
      <x:c r="L9" t="str">
        <x:v>Directly reported (OperatingIncomeLoss XBRL tag).</x:v>
      </x:c>
    </x:row>
    <x:row r="10">
      <x:c r="A10" t="str">
        <x:v>2026-06-30</x:v>
      </x:c>
      <x:c r="B10" s="2" t="n">
        <x:v>331839000000</x:v>
      </x:c>
      <x:c r="C10" s="2" t="n">
        <x:v>155237000000</x:v>
      </x:c>
      <x:c r="D10" s="1" t="n">
        <x:f>C10/B10</x:f>
        <x:v>0.4678081840892722</x:v>
      </x:c>
      <x:c r="E10" t="str">
        <x:v>2026-07-29</x:v>
      </x:c>
      <x:c r="F10" t="str">
        <x:v>2026-07-29</x:v>
      </x:c>
      <x:c r="G10" t="str">
        <x:v>RevenueFromContractWithCustomerExcludingAssessedTax</x:v>
      </x:c>
      <x:c r="H10" t="str">
        <x:v>OperatingIncomeLoss</x:v>
      </x:c>
      <x:c r="I10" t="str">
        <x:v>https://www.sec.gov/Archives/edgar/data/789019/000119312526323660/0001193125-26-323660-index.htm</x:v>
      </x:c>
      <x:c r="J10" t="str">
        <x:v>https://www.sec.gov/Archives/edgar/data/789019/000119312526323660/0001193125-26-323660-index.htm</x:v>
      </x:c>
      <x:c r="K10" t="str">
        <x:v>Frozen SEC; no fallback</x:v>
      </x:c>
      <x:c r="L10" t="str">
        <x:v>Directly reported (OperatingIncomeLoss XBRL tag).</x:v>
      </x:c>
    </x:row>
    <x:row r="12">
      <x:c r="A12" s="8" t="str">
        <x:v>Input</x:v>
      </x:c>
      <x:c r="B12" s="8" t="str">
        <x:v>Value</x:v>
      </x:c>
      <x:c r="C12" s="8" t="str">
        <x:v>Unit</x:v>
      </x:c>
      <x:c r="D12" s="8" t="str">
        <x:v>Source date</x:v>
      </x:c>
      <x:c r="E12" s="8" t="str">
        <x:v>Source</x:v>
      </x:c>
      <x:c r="F12" s="8" t="str">
        <x:v>Fallback / status</x:v>
      </x:c>
      <x:c r="G12" s="8" t="str">
        <x:v>Note</x:v>
      </x:c>
      <x:c r="H12" s="8"/>
      <x:c r="I12" s="8"/>
      <x:c r="J12" s="8"/>
      <x:c r="K12" s="8"/>
      <x:c r="L12" s="8"/>
    </x:row>
    <x:row r="13">
      <x:c r="A13" t="str">
        <x:v>Market price</x:v>
      </x:c>
      <x:c r="B13" s="9" t="n">
        <x:v>479.78</x:v>
      </x:c>
      <x:c r="C13" t="str">
        <x:v>USD/share</x:v>
      </x:c>
      <x:c r="D13" t="str">
        <x:v>2026-08-17</x:v>
      </x:c>
      <x:c r="E13" t="str">
        <x:v>yfinance Ticker.info</x:v>
      </x:c>
      <x:c r="F13" t="str">
        <x:v>Observed / frozen</x:v>
      </x:c>
      <x:c r="G13" t="str"/>
    </x:row>
    <x:row r="14">
      <x:c r="A14" t="str">
        <x:v>Shares outstanding</x:v>
      </x:c>
      <x:c r="B14" s="10" t="n">
        <x:v>7425545491</x:v>
      </x:c>
      <x:c r="C14" t="str">
        <x:v>shares</x:v>
      </x:c>
      <x:c r="D14" t="str">
        <x:v>2026-08-17</x:v>
      </x:c>
      <x:c r="E14" t="str">
        <x:v>yfinance Ticker.info</x:v>
      </x:c>
      <x:c r="F14" t="str">
        <x:v>Observed / frozen</x:v>
      </x:c>
      <x:c r="G14" t="str"/>
    </x:row>
    <x:row r="15">
      <x:c r="A15" t="str">
        <x:v>Levered beta</x:v>
      </x:c>
      <x:c r="B15" s="11" t="n">
        <x:v>1.099</x:v>
      </x:c>
      <x:c r="C15" t="str">
        <x:v>ratio</x:v>
      </x:c>
      <x:c r="D15" t="str">
        <x:v>2026-08-17</x:v>
      </x:c>
      <x:c r="E15" t="str">
        <x:v>yfinance Ticker.info</x:v>
      </x:c>
      <x:c r="F15" t="str">
        <x:v>Observed / frozen</x:v>
      </x:c>
      <x:c r="G15" t="str"/>
    </x:row>
    <x:row r="16">
      <x:c r="A16" t="str">
        <x:v>Total debt</x:v>
      </x:c>
      <x:c r="B16" s="10" t="n">
        <x:v>40294000000</x:v>
      </x:c>
      <x:c r="C16" t="str">
        <x:v>USD</x:v>
      </x:c>
      <x:c r="D16" t="str">
        <x:v>2026-07-29</x:v>
      </x:c>
      <x:c r="E16" t="str">
        <x:v>https://www.sec.gov/Archives/edgar/data/789019/000119312526323660/0001193125-26-323660-index.htm</x:v>
      </x:c>
      <x:c r="F16" t="str">
        <x:v>SUM:LongTermDebtNoncurrent+LongTermDebtCurrent</x:v>
      </x:c>
      <x:c r="G16" t="str">
        <x:v>Total Debt = LongTermDebtNoncurrent ($31,067,000,000) + LongTermDebtCurrent ($9,227,000,000) = $40,294,000,000</x:v>
      </x:c>
    </x:row>
    <x:row r="17">
      <x:c r="A17" t="str">
        <x:v>Cash and equivalents</x:v>
      </x:c>
      <x:c r="B17" s="10" t="n">
        <x:v>20935000000</x:v>
      </x:c>
      <x:c r="C17" t="str">
        <x:v>USD</x:v>
      </x:c>
      <x:c r="D17" t="str">
        <x:v>2026-07-29</x:v>
      </x:c>
      <x:c r="E17" t="str">
        <x:v>https://www.sec.gov/Archives/edgar/data/789019/000119312526323660/0001193125-26-323660-index.htm</x:v>
      </x:c>
      <x:c r="F17" t="str">
        <x:v>Observed / frozen</x:v>
      </x:c>
      <x:c r="G17" t="str"/>
    </x:row>
    <x:row r="18">
      <x:c r="A18" t="str">
        <x:v>Interest expense</x:v>
      </x:c>
      <x:c r="B18" s="10" t="n">
        <x:v>3051000000</x:v>
      </x:c>
      <x:c r="C18" t="str">
        <x:v>USD</x:v>
      </x:c>
      <x:c r="D18" t="str">
        <x:v>2026-07-29</x:v>
      </x:c>
      <x:c r="E18" t="str">
        <x:v>https://www.sec.gov/Archives/edgar/data/789019/000119312526323660/0001193125-26-323660-index.htm</x:v>
      </x:c>
      <x:c r="F18" t="str">
        <x:v>reported</x:v>
      </x:c>
      <x:c r="G18" t="str"/>
    </x:row>
    <x:row r="19">
      <x:c r="A19" t="str">
        <x:v>Pretax income</x:v>
      </x:c>
      <x:c r="B19" s="10" t="n">
        <x:v>165934000000</x:v>
      </x:c>
      <x:c r="C19" t="str">
        <x:v>USD</x:v>
      </x:c>
      <x:c r="D19" t="str">
        <x:v>2026-07-29</x:v>
      </x:c>
      <x:c r="E19" t="str">
        <x:v>https://www.sec.gov/Archives/edgar/data/789019/000119312526323660/0001193125-26-323660-index.htm</x:v>
      </x:c>
      <x:c r="F19" t="str">
        <x:v>Observed / frozen</x:v>
      </x:c>
      <x:c r="G19" t="str"/>
    </x:row>
    <x:row r="20">
      <x:c r="A20" t="str">
        <x:v>Tax provision</x:v>
      </x:c>
      <x:c r="B20" s="10" t="n">
        <x:v>32185000000</x:v>
      </x:c>
      <x:c r="C20" t="str">
        <x:v>USD</x:v>
      </x:c>
      <x:c r="D20" t="str">
        <x:v>2026-07-29</x:v>
      </x:c>
      <x:c r="E20" t="str">
        <x:v>https://www.sec.gov/Archives/edgar/data/789019/000119312526323660/0001193125-26-323660-index.htm</x:v>
      </x:c>
      <x:c r="F20" t="str">
        <x:v>Observed / frozen</x:v>
      </x:c>
      <x:c r="G20" t="str"/>
    </x:row>
    <x:row r="21">
      <x:c r="A21" t="str">
        <x:v>Risk-free rate</x:v>
      </x:c>
      <x:c r="B21" s="12" t="n">
        <x:v>0.04</x:v>
      </x:c>
      <x:c r="C21" t="str">
        <x:v>rate</x:v>
      </x:c>
      <x:c r="D21" t="str">
        <x:v>2026-09-13</x:v>
      </x:c>
      <x:c r="E21" t="str">
        <x:v>Written WACC policy; static offline default</x:v>
      </x:c>
      <x:c r="F21" t="str">
        <x:v>POLICY FALLBACK</x:v>
      </x:c>
      <x:c r="G21" t="str"/>
    </x:row>
    <x:row r="22">
      <x:c r="A22" t="str">
        <x:v>Market risk premium</x:v>
      </x:c>
      <x:c r="B22" s="12" t="n">
        <x:v>0.055</x:v>
      </x:c>
      <x:c r="C22" t="str">
        <x:v>rate</x:v>
      </x:c>
      <x:c r="D22" t="str">
        <x:v>2026-09-13</x:v>
      </x:c>
      <x:c r="E22" t="str">
        <x:v>Written WACC policy</x:v>
      </x:c>
      <x:c r="F22" t="str">
        <x:v>POLICY DEFAULT</x:v>
      </x:c>
      <x:c r="G22" t="str"/>
    </x:row>
    <x:row r="23">
      <x:c r="A23" t="str">
        <x:v>Base terminal growth</x:v>
      </x:c>
      <x:c r="B23" s="12" t="n">
        <x:v>0.025</x:v>
      </x:c>
      <x:c r="C23" t="str">
        <x:v>rate</x:v>
      </x:c>
      <x:c r="D23" t="str">
        <x:v>2026-09-13</x:v>
      </x:c>
      <x:c r="E23" t="str">
        <x:v>Written DCF policy</x:v>
      </x:c>
      <x:c r="F23" t="str">
        <x:v>POLICY DEFAULT</x:v>
      </x:c>
      <x:c r="G23" t="str"/>
    </x:row>
    <x:row r="24">
      <x:c r="A24" t="str">
        <x:v>D&amp;A / revenue</x:v>
      </x:c>
      <x:c r="B24" s="12" t="n">
        <x:v>0.03</x:v>
      </x:c>
      <x:c r="C24" t="str">
        <x:v>rate</x:v>
      </x:c>
      <x:c r="D24" t="str">
        <x:v>2026-09-13</x:v>
      </x:c>
      <x:c r="E24" t="str">
        <x:v>Written DCF policy</x:v>
      </x:c>
      <x:c r="F24" t="str">
        <x:v>POLICY DEFAULT</x:v>
      </x:c>
      <x:c r="G24" t="str"/>
    </x:row>
    <x:row r="25">
      <x:c r="A25" t="str">
        <x:v>CapEx / revenue</x:v>
      </x:c>
      <x:c r="B25" s="12" t="n">
        <x:v>0.04</x:v>
      </x:c>
      <x:c r="C25" t="str">
        <x:v>rate</x:v>
      </x:c>
      <x:c r="D25" t="str">
        <x:v>2026-09-13</x:v>
      </x:c>
      <x:c r="E25" t="str">
        <x:v>Written DCF policy</x:v>
      </x:c>
      <x:c r="F25" t="str">
        <x:v>POLICY DEFAULT</x:v>
      </x:c>
      <x:c r="G25" t="str"/>
    </x:row>
    <x:row r="26">
      <x:c r="A26" t="str">
        <x:v>Incremental NWC / revenue change</x:v>
      </x:c>
      <x:c r="B26" s="12" t="n">
        <x:v>0.01</x:v>
      </x:c>
      <x:c r="C26" t="str">
        <x:v>rate</x:v>
      </x:c>
      <x:c r="D26" t="str">
        <x:v>2026-09-13</x:v>
      </x:c>
      <x:c r="E26" t="str">
        <x:v>Written DCF policy</x:v>
      </x:c>
      <x:c r="F26" t="str">
        <x:v>POLICY DEFAULT</x:v>
      </x:c>
      <x:c r="G26" t="str"/>
    </x:row>
    <x:row r="27">
      <x:c r="A27" t="str">
        <x:v>Mature growth ceiling</x:v>
      </x:c>
      <x:c r="B27" s="12" t="n">
        <x:v>0.03</x:v>
      </x:c>
      <x:c r="C27" t="str">
        <x:v>rate</x:v>
      </x:c>
      <x:c r="D27" t="str">
        <x:v>2026-09-13</x:v>
      </x:c>
      <x:c r="E27" t="str">
        <x:v>Written DCF policy</x:v>
      </x:c>
      <x:c r="F27" t="str">
        <x:v>POLICY DEFAULT</x:v>
      </x:c>
      <x:c r="G27" t="str"/>
    </x:row>
    <x:row r="28">
      <x:c r="A28" t="str">
        <x:v>Years</x:v>
      </x:c>
      <x:c r="B28" s="13" t="n">
        <x:v>5</x:v>
      </x:c>
      <x:c r="C28" t="str">
        <x:v>years</x:v>
      </x:c>
      <x:c r="D28" t="str">
        <x:v>2026-09-13</x:v>
      </x:c>
      <x:c r="E28" t="str">
        <x:v>Written DCF policy</x:v>
      </x:c>
      <x:c r="F28" t="str">
        <x:v>POLICY DEFAULT</x:v>
      </x:c>
      <x:c r="G28" t="str"/>
    </x:row>
    <x:row r="29">
      <x:c r="A29" t="str">
        <x:v>Bear growth shift</x:v>
      </x:c>
      <x:c r="B29" s="12" t="n">
        <x:v>-0.02</x:v>
      </x:c>
      <x:c r="C29" t="str">
        <x:v>percentage points</x:v>
      </x:c>
      <x:c r="D29" t="str">
        <x:v>2026-09-13</x:v>
      </x:c>
      <x:c r="E29" t="str">
        <x:v>Validator scenario convention; absent from written spec</x:v>
      </x:c>
      <x:c r="F29" t="str">
        <x:v>SPEC GAP</x:v>
      </x:c>
      <x:c r="G29" t="str"/>
    </x:row>
    <x:row r="30">
      <x:c r="A30" t="str">
        <x:v>Bear margin shift</x:v>
      </x:c>
      <x:c r="B30" s="12" t="n">
        <x:v>-0.01</x:v>
      </x:c>
      <x:c r="C30" t="str">
        <x:v>percentage points</x:v>
      </x:c>
      <x:c r="D30" t="str">
        <x:v>2026-09-13</x:v>
      </x:c>
      <x:c r="E30" t="str">
        <x:v>Validator scenario convention; absent from written spec</x:v>
      </x:c>
      <x:c r="F30" t="str">
        <x:v>SPEC GAP</x:v>
      </x:c>
      <x:c r="G30" t="str"/>
    </x:row>
    <x:row r="31">
      <x:c r="A31" t="str">
        <x:v>Bear WACC shift</x:v>
      </x:c>
      <x:c r="B31" s="12" t="n">
        <x:v>0.01</x:v>
      </x:c>
      <x:c r="C31" t="str">
        <x:v>percentage points</x:v>
      </x:c>
      <x:c r="D31" t="str">
        <x:v>2026-09-13</x:v>
      </x:c>
      <x:c r="E31" t="str">
        <x:v>Validator scenario convention; absent from written spec</x:v>
      </x:c>
      <x:c r="F31" t="str">
        <x:v>SPEC GAP</x:v>
      </x:c>
      <x:c r="G31" t="str"/>
    </x:row>
    <x:row r="32">
      <x:c r="A32" t="str">
        <x:v>Bear terminal-g shift</x:v>
      </x:c>
      <x:c r="B32" s="12" t="n">
        <x:v>-0.005</x:v>
      </x:c>
      <x:c r="C32" t="str">
        <x:v>percentage points</x:v>
      </x:c>
      <x:c r="D32" t="str">
        <x:v>2026-09-13</x:v>
      </x:c>
      <x:c r="E32" t="str">
        <x:v>Validator scenario convention; absent from written spec</x:v>
      </x:c>
      <x:c r="F32" t="str">
        <x:v>SPEC GAP</x:v>
      </x:c>
      <x:c r="G32" t="str"/>
    </x:row>
    <x:row r="33">
      <x:c r="A33" t="str">
        <x:v>Bull growth shift</x:v>
      </x:c>
      <x:c r="B33" s="12" t="n">
        <x:v>0.02</x:v>
      </x:c>
      <x:c r="C33" t="str">
        <x:v>percentage points</x:v>
      </x:c>
      <x:c r="D33" t="str">
        <x:v>2026-09-13</x:v>
      </x:c>
      <x:c r="E33" t="str">
        <x:v>Validator scenario convention; absent from written spec</x:v>
      </x:c>
      <x:c r="F33" t="str">
        <x:v>SPEC GAP</x:v>
      </x:c>
      <x:c r="G33" t="str"/>
    </x:row>
    <x:row r="34">
      <x:c r="A34" t="str">
        <x:v>Bull margin shift</x:v>
      </x:c>
      <x:c r="B34" s="12" t="n">
        <x:v>0.01</x:v>
      </x:c>
      <x:c r="C34" t="str">
        <x:v>percentage points</x:v>
      </x:c>
      <x:c r="D34" t="str">
        <x:v>2026-09-13</x:v>
      </x:c>
      <x:c r="E34" t="str">
        <x:v>Validator scenario convention; absent from written spec</x:v>
      </x:c>
      <x:c r="F34" t="str">
        <x:v>SPEC GAP</x:v>
      </x:c>
      <x:c r="G34" t="str"/>
    </x:row>
    <x:row r="35">
      <x:c r="A35" t="str">
        <x:v>Bull WACC shift</x:v>
      </x:c>
      <x:c r="B35" s="12" t="n">
        <x:v>-0.01</x:v>
      </x:c>
      <x:c r="C35" t="str">
        <x:v>percentage points</x:v>
      </x:c>
      <x:c r="D35" t="str">
        <x:v>2026-09-13</x:v>
      </x:c>
      <x:c r="E35" t="str">
        <x:v>Validator scenario convention; absent from written spec</x:v>
      </x:c>
      <x:c r="F35" t="str">
        <x:v>SPEC GAP</x:v>
      </x:c>
      <x:c r="G35" t="str"/>
    </x:row>
    <x:row r="36">
      <x:c r="A36" t="str">
        <x:v>Bull terminal-g shift</x:v>
      </x:c>
      <x:c r="B36" s="12" t="n">
        <x:v>0.005</x:v>
      </x:c>
      <x:c r="C36" t="str">
        <x:v>percentage points</x:v>
      </x:c>
      <x:c r="D36" t="str">
        <x:v>2026-09-13</x:v>
      </x:c>
      <x:c r="E36" t="str">
        <x:v>Validator scenario convention; absent from written spec</x:v>
      </x:c>
      <x:c r="F36" t="str">
        <x:v>SPEC GAP</x:v>
      </x:c>
      <x:c r="G36" t="str"/>
    </x:row>
    <x:row r="37">
      <x:c r="A37" t="str">
        <x:v>Tax fallback</x:v>
      </x:c>
      <x:c r="B37" s="12" t="n">
        <x:v>0.21</x:v>
      </x:c>
      <x:c r="C37" t="str">
        <x:v>rate</x:v>
      </x:c>
      <x:c r="D37" t="str">
        <x:v>2026-09-13</x:v>
      </x:c>
      <x:c r="E37" t="str">
        <x:v>Written WACC policy</x:v>
      </x:c>
      <x:c r="F37" t="str">
        <x:v>POLICY FALLBACK</x:v>
      </x:c>
      <x:c r="G37" t="str"/>
    </x:row>
    <x:row r="38">
      <x:c r="A38" t="str">
        <x:v>Cost-debt fallback</x:v>
      </x:c>
      <x:c r="B38" s="12" t="n">
        <x:v>0.05</x:v>
      </x:c>
      <x:c r="C38" t="str">
        <x:v>rate</x:v>
      </x:c>
      <x:c r="D38" t="str">
        <x:v>2026-09-13</x:v>
      </x:c>
      <x:c r="E38" t="str">
        <x:v>Written WACC policy</x:v>
      </x:c>
      <x:c r="F38" t="str">
        <x:v>POLICY FALLBACK</x:v>
      </x:c>
      <x:c r="G38" t="str"/>
    </x:row>
    <x:row r="39">
      <x:c r="A39" t="str">
        <x:v>Growth fallback</x:v>
      </x:c>
      <x:c r="B39" s="12" t="n">
        <x:v>0.08</x:v>
      </x:c>
      <x:c r="C39" t="str">
        <x:v>rate</x:v>
      </x:c>
      <x:c r="D39" t="str">
        <x:v>2026-09-13</x:v>
      </x:c>
      <x:c r="E39" t="str">
        <x:v>Written DCF policy</x:v>
      </x:c>
      <x:c r="F39" t="str">
        <x:v>POLICY FALLBACK</x:v>
      </x:c>
      <x:c r="G39" t="str"/>
    </x:row>
    <x:row r="40">
      <x:c r="A40" t="str">
        <x:v>Margin fallback</x:v>
      </x:c>
      <x:c r="B40" s="12" t="n">
        <x:v>0.15</x:v>
      </x:c>
      <x:c r="C40" t="str">
        <x:v>rate</x:v>
      </x:c>
      <x:c r="D40" t="str">
        <x:v>2026-09-13</x:v>
      </x:c>
      <x:c r="E40" t="str">
        <x:v>Written DCF policy</x:v>
      </x:c>
      <x:c r="F40" t="str">
        <x:v>POLICY FALLBACK</x:v>
      </x:c>
      <x:c r="G40" t="str"/>
    </x:row>
    <x:row r="43">
      <x:c r="A43" t="str">
        <x:v>Elapsed fiscal years</x:v>
      </x:c>
      <x:c r="B43" s="14" t="n">
        <x:f>(DATE(2026,6,30)-DATE(2022,6,30))/365.25</x:f>
        <x:v>4</x:v>
      </x:c>
      <x:c r="H43" t="str">
        <x:v>CAGR date basis</x:v>
      </x:c>
      <x:c r="I43" t="str">
        <x:v>2022-06-30 to 2026-06-30; actual days / 365.25</x:v>
      </x:c>
    </x:row>
    <x:row r="44">
      <x:c r="A44" t="str">
        <x:v>Historical revenue CAGR</x:v>
      </x:c>
      <x:c r="B44" s="15" t="n">
        <x:f>IF(AND(B6&gt;0,B10&gt;0,B43&gt;0),(B10/B6)^(1/B43)-1,NA())</x:f>
        <x:v>0.1374114735301586</x:v>
      </x:c>
    </x:row>
    <x:row r="45">
      <x:c r="A45" t="str">
        <x:v>Resolved growth</x:v>
      </x:c>
      <x:c r="B45" s="15" t="n">
        <x:f>IF(ISNUMBER(B44),MIN(25%,B44),B39)</x:f>
        <x:v>0.1374114735301586</x:v>
      </x:c>
    </x:row>
    <x:row r="46">
      <x:c r="A46" t="str">
        <x:v>Average EBIT margin</x:v>
      </x:c>
      <x:c r="B46" s="15" t="n">
        <x:f>AVERAGE(D6:D10)</x:f>
        <x:v>0.4417504660304294</x:v>
      </x:c>
    </x:row>
    <x:row r="47">
      <x:c r="A47" t="str">
        <x:v>Resolved margin</x:v>
      </x:c>
      <x:c r="B47" s="15" t="n">
        <x:f>IF(ISNUMBER(B46),B46,B40)</x:f>
        <x:v>0.4417504660304294</x:v>
      </x:c>
    </x:row>
    <x:row r="48">
      <x:c r="A48" t="str">
        <x:v>Observed tax ratio</x:v>
      </x:c>
      <x:c r="B48" s="15" t="n">
        <x:f>IF(B19&gt;0,B20/B19,NA())</x:f>
        <x:v>0.19396265985271252</x:v>
      </x:c>
    </x:row>
    <x:row r="49">
      <x:c r="A49" t="str">
        <x:v>Resolved tax</x:v>
      </x:c>
      <x:c r="B49" s="15" t="n">
        <x:f>IF(ISNUMBER(B48),B48,B37)</x:f>
        <x:v>0.19396265985271252</x:v>
      </x:c>
    </x:row>
    <x:row r="50">
      <x:c r="A50" t="str">
        <x:v>Tax provenance</x:v>
      </x:c>
      <x:c r="B50" s="16" t="str">
        <x:f>IF(ISNUMBER(B48),"OBSERVED","FALLBACK")</x:f>
        <x:v>OBSERVED</x:v>
      </x:c>
    </x:row>
    <x:row r="51">
      <x:c r="A51" t="str">
        <x:v>Cost of debt</x:v>
      </x:c>
      <x:c r="B51" s="15" t="n">
        <x:f>IF(B16&gt;0,ABS(B18)/B16,B38)</x:f>
        <x:v>0.07571846925100512</x:v>
      </x:c>
    </x:row>
    <x:row r="52">
      <x:c r="A52" t="str">
        <x:v>Debt-cost provenance</x:v>
      </x:c>
      <x:c r="B52" s="16" t="str">
        <x:f>IF(B16&gt;0,"OBSERVED","FALLBACK")</x:f>
        <x:v>OBSERVED</x:v>
      </x:c>
    </x:row>
    <x:row r="53">
      <x:c r="A53" t="str">
        <x:v>Market capitalization</x:v>
      </x:c>
      <x:c r="B53" s="17" t="n">
        <x:f>B13*B14</x:f>
        <x:v>3562628215671.98</x:v>
      </x:c>
    </x:row>
    <x:row r="54">
      <x:c r="A54" t="str">
        <x:v>Total capital</x:v>
      </x:c>
      <x:c r="B54" s="17" t="n">
        <x:f>B53+B16</x:f>
        <x:v>3602922215671.98</x:v>
      </x:c>
    </x:row>
    <x:row r="55">
      <x:c r="A55" t="str">
        <x:v>Cost of equity</x:v>
      </x:c>
      <x:c r="B55" s="15" t="n">
        <x:f>B21+B15*B22</x:f>
        <x:v>0.100445</x:v>
      </x:c>
    </x:row>
    <x:row r="56">
      <x:c r="A56" t="str">
        <x:v>After-tax debt cost</x:v>
      </x:c>
      <x:c r="B56" s="15" t="n">
        <x:f>B51*(1-B49)</x:f>
        <x:v>0.06103191355510434</x:v>
      </x:c>
    </x:row>
    <x:row r="57">
      <x:c r="A57" t="str">
        <x:v>Equity weight</x:v>
      </x:c>
      <x:c r="B57" s="15" t="n">
        <x:f>B53/B54</x:f>
        <x:v>0.9888163003284586</x:v>
      </x:c>
    </x:row>
    <x:row r="58">
      <x:c r="A58" t="str">
        <x:v>Debt weight</x:v>
      </x:c>
      <x:c r="B58" s="15" t="n">
        <x:f>B16/B54</x:f>
        <x:v>0.011183699671541418</x:v>
      </x:c>
    </x:row>
    <x:row r="59">
      <x:c r="A59" t="str">
        <x:v>Raw WACC</x:v>
      </x:c>
      <x:c r="B59" s="15" t="n">
        <x:f>B57*B55+B58*B56</x:f>
        <x:v>0.1000042158780718</x:v>
      </x:c>
    </x:row>
    <x:row r="60">
      <x:c r="A60" t="str">
        <x:v>Bounded WACC</x:v>
      </x:c>
      <x:c r="B60" s="15" t="n">
        <x:f>MAX(5%,MIN(20%,B59))</x:f>
        <x:v>0.1000042158780718</x:v>
      </x:c>
    </x:row>
    <x:row r="64">
      <x:c r="A64" s="8" t="str">
        <x:v>Base • 5 annual forecast years</x:v>
      </x:c>
      <x:c r="B64" s="8"/>
      <x:c r="C64" s="8" t="str">
        <x:v>Year 1</x:v>
      </x:c>
      <x:c r="D64" s="8" t="str">
        <x:v>Year 2</x:v>
      </x:c>
      <x:c r="E64" s="8" t="str">
        <x:v>Year 3</x:v>
      </x:c>
      <x:c r="F64" s="8" t="str">
        <x:v>Year 4</x:v>
      </x:c>
      <x:c r="G64" s="8" t="str">
        <x:v>Year 5</x:v>
      </x:c>
      <x:c r="H64" s="8"/>
      <x:c r="I64" s="8"/>
      <x:c r="J64" s="8"/>
      <x:c r="K64" s="8"/>
      <x:c r="L64" s="8"/>
    </x:row>
    <x:row r="65">
      <x:c r="A65" t="str">
        <x:v>Growth</x:v>
      </x:c>
      <x:c r="C65" s="1" t="n">
        <x:f>$B$45</x:f>
        <x:v>0.1374114735301586</x:v>
      </x:c>
      <x:c r="D65" s="1" t="n">
        <x:f>$B$45</x:f>
        <x:v>0.1374114735301586</x:v>
      </x:c>
      <x:c r="E65" s="1" t="n">
        <x:f>IF($B$45&gt;$B$27,$B$27+($B$45-$B$27)*2/3,$B$45)</x:f>
        <x:v>0.10160764902010573</x:v>
      </x:c>
      <x:c r="F65" s="1" t="n">
        <x:f>IF($B$45&gt;$B$27,$B$27+($B$45-$B$27)/3,$B$45)</x:f>
        <x:v>0.06580382451005287</x:v>
      </x:c>
      <x:c r="G65" s="1" t="n">
        <x:f>IF($B$45&gt;$B$27,$B$27,$B$45)</x:f>
        <x:v>0.03</x:v>
      </x:c>
    </x:row>
    <x:row r="66">
      <x:c r="A66" t="str">
        <x:v>EBIT margin</x:v>
      </x:c>
      <x:c r="C66" s="1" t="n">
        <x:f>$B$47</x:f>
        <x:v>0.4417504660304294</x:v>
      </x:c>
      <x:c r="D66" s="1" t="n">
        <x:f>$B$47</x:f>
        <x:v>0.4417504660304294</x:v>
      </x:c>
      <x:c r="E66" s="1" t="n">
        <x:f>$B$47</x:f>
        <x:v>0.4417504660304294</x:v>
      </x:c>
      <x:c r="F66" s="1" t="n">
        <x:f>$B$47</x:f>
        <x:v>0.4417504660304294</x:v>
      </x:c>
      <x:c r="G66" s="1" t="n">
        <x:f>$B$47</x:f>
        <x:v>0.4417504660304294</x:v>
      </x:c>
    </x:row>
    <x:row r="67">
      <x:c r="A67" t="str">
        <x:v>Revenue USD</x:v>
      </x:c>
      <x:c r="C67" s="2" t="n">
        <x:f>$B$10*(1+C65)</x:f>
        <x:v>377437485964.7743</x:v>
      </x:c>
      <x:c r="D67" s="2" t="n">
        <x:f>C67*(1+D65)</x:f>
        <x:v>429301727076.71246</x:v>
      </x:c>
      <x:c r="E67" s="2" t="n">
        <x:f>D67*(1+E65)</x:f>
        <x:v>472922066285.2482</x:v>
      </x:c>
      <x:c r="F67" s="2" t="n">
        <x:f>E67*(1+F65)</x:f>
        <x:v>504042146942.01434</x:v>
      </x:c>
      <x:c r="G67" s="2" t="n">
        <x:f>F67*(1+G65)</x:f>
        <x:v>519163411350.2748</x:v>
      </x:c>
    </x:row>
    <x:row r="68">
      <x:c r="A68" t="str">
        <x:v>EBIT USD</x:v>
      </x:c>
      <x:c r="C68" s="2" t="n">
        <x:f>C67*C66</x:f>
        <x:v>166733185322.2927</x:v>
      </x:c>
      <x:c r="D68" s="2" t="n">
        <x:f>D67*D66</x:f>
        <x:v>189644238003.80594</x:v>
      </x:c>
      <x:c r="E68" s="2" t="n">
        <x:f>E67*E66</x:f>
        <x:v>208913543177.58203</x:v>
      </x:c>
      <x:c r="F68" s="2" t="n">
        <x:f>F67*F66</x:f>
        <x:v>222660853310.613</x:v>
      </x:c>
      <x:c r="G68" s="2" t="n">
        <x:f>G67*G66</x:f>
        <x:v>229340678909.9314</x:v>
      </x:c>
    </x:row>
    <x:row r="69">
      <x:c r="A69" t="str">
        <x:v>NOPAT USD</x:v>
      </x:c>
      <x:c r="C69" s="2" t="n">
        <x:f>C68*(1-$B$49)</x:f>
        <x:v>134393173211.46555</x:v>
      </x:c>
      <x:c r="D69" s="2" t="n">
        <x:f>D68*(1-$B$49)</x:f>
        <x:v>152860337174.84686</x:v>
      </x:c>
      <x:c r="E69" s="2" t="n">
        <x:f>E68*(1-$B$49)</x:f>
        <x:v>168392116663.6037</x:v>
      </x:c>
      <x:c r="F69" s="2" t="n">
        <x:f>F68*(1-$B$49)</x:f>
        <x:v>179472961957.41187</x:v>
      </x:c>
      <x:c r="G69" s="2" t="n">
        <x:f>G68*(1-$B$49)</x:f>
        <x:v>184857150816.13422</x:v>
      </x:c>
    </x:row>
    <x:row r="70">
      <x:c r="A70" t="str">
        <x:v>D&amp;A USD</x:v>
      </x:c>
      <x:c r="C70" s="2" t="n">
        <x:f>C67*$B$24</x:f>
        <x:v>11323124578.943228</x:v>
      </x:c>
      <x:c r="D70" s="2" t="n">
        <x:f>D67*$B$24</x:f>
        <x:v>12879051812.301373</x:v>
      </x:c>
      <x:c r="E70" s="2" t="n">
        <x:f>E67*$B$24</x:f>
        <x:v>14187661988.557446</x:v>
      </x:c>
      <x:c r="F70" s="2" t="n">
        <x:f>F67*$B$24</x:f>
        <x:v>15121264408.26043</x:v>
      </x:c>
      <x:c r="G70" s="2" t="n">
        <x:f>G67*$B$24</x:f>
        <x:v>15574902340.508244</x:v>
      </x:c>
    </x:row>
    <x:row r="71">
      <x:c r="A71" t="str">
        <x:v>CapEx USD</x:v>
      </x:c>
      <x:c r="C71" s="2" t="n">
        <x:f>C67*$B$25</x:f>
        <x:v>15097499438.590973</x:v>
      </x:c>
      <x:c r="D71" s="2" t="n">
        <x:f>D67*$B$25</x:f>
        <x:v>17172069083.068499</x:v>
      </x:c>
      <x:c r="E71" s="2" t="n">
        <x:f>E67*$B$25</x:f>
        <x:v>18916882651.40993</x:v>
      </x:c>
      <x:c r="F71" s="2" t="n">
        <x:f>F67*$B$25</x:f>
        <x:v>20161685877.680573</x:v>
      </x:c>
      <x:c r="G71" s="2" t="n">
        <x:f>G67*$B$25</x:f>
        <x:v>20766536454.01099</x:v>
      </x:c>
    </x:row>
    <x:row r="72">
      <x:c r="A72" t="str">
        <x:v>Increase in NWC USD</x:v>
      </x:c>
      <x:c r="C72" s="2" t="n">
        <x:f>(C67-$B$10)*$B$26</x:f>
        <x:v>455984859.6477429</x:v>
      </x:c>
      <x:c r="D72" s="2" t="n">
        <x:f>(D67-C67)*$B$26</x:f>
        <x:v>518642411.1193817</x:v>
      </x:c>
      <x:c r="E72" s="2" t="n">
        <x:f>(E67-D67)*$B$26</x:f>
        <x:v>436203392.08535767</x:v>
      </x:c>
      <x:c r="F72" s="2" t="n">
        <x:f>(F67-E67)*$B$26</x:f>
        <x:v>311200806.56766117</x:v>
      </x:c>
      <x:c r="G72" s="2" t="n">
        <x:f>(G67-F67)*$B$26</x:f>
        <x:v>151212644.08260438</x:v>
      </x:c>
    </x:row>
    <x:row r="73">
      <x:c r="A73" t="str">
        <x:v>FCF USD</x:v>
      </x:c>
      <x:c r="C73" s="2" t="n">
        <x:f>C69+C70-C71-C72</x:f>
        <x:v>130162813492.17007</x:v>
      </x:c>
      <x:c r="D73" s="2" t="n">
        <x:f>D69+D70-D71-D72</x:f>
        <x:v>148048677492.96033</x:v>
      </x:c>
      <x:c r="E73" s="2" t="n">
        <x:f>E69+E70-E71-E72</x:f>
        <x:v>163226692608.66583</x:v>
      </x:c>
      <x:c r="F73" s="2" t="n">
        <x:f>F69+F70-F71-F72</x:f>
        <x:v>174121339681.42407</x:v>
      </x:c>
      <x:c r="G73" s="2" t="n">
        <x:f>G69+G70-G71-G72</x:f>
        <x:v>179514304058.54886</x:v>
      </x:c>
    </x:row>
    <x:row r="74">
      <x:c r="A74" t="str">
        <x:v>PV of FCF USD</x:v>
      </x:c>
      <x:c r="C74" s="2" t="n">
        <x:f>C73/(1+$B$77)^1</x:f>
        <x:v>118329376936.31326</x:v>
      </x:c>
      <x:c r="D74" s="2" t="n">
        <x:f>D73/(1+$B$77)^2</x:f>
        <x:v>122353341051.15459</x:v>
      </x:c>
      <x:c r="E74" s="2" t="n">
        <x:f>E73/(1+$B$77)^3</x:f>
        <x:v>122633220035.4172</x:v>
      </x:c>
      <x:c r="F74" s="2" t="n">
        <x:f>F73/(1+$B$77)^4</x:f>
        <x:v>118925394676.43745</x:v>
      </x:c>
      <x:c r="G74" s="2" t="n">
        <x:f>G73/(1+$B$77)^5</x:f>
        <x:v>111462123209.88185</x:v>
      </x:c>
    </x:row>
    <x:row r="77">
      <x:c r="A77" t="str">
        <x:v>WACC</x:v>
      </x:c>
      <x:c r="B77" s="1" t="n">
        <x:f>MAX(5%,MIN(20%,$B$60))</x:f>
        <x:v>0.1000042158780718</x:v>
      </x:c>
    </x:row>
    <x:row r="78">
      <x:c r="A78" t="str">
        <x:v>Terminal growth</x:v>
      </x:c>
      <x:c r="B78" s="1" t="n">
        <x:f>MAX(0%,MIN(5%,$B$23))</x:f>
        <x:v>0.025</x:v>
      </x:c>
    </x:row>
    <x:row r="79">
      <x:c r="A79" t="str">
        <x:v>Terminal FCF</x:v>
      </x:c>
      <x:c r="B79" s="2" t="n">
        <x:f>G73</x:f>
        <x:v>179514304058.54886</x:v>
      </x:c>
    </x:row>
    <x:row r="80">
      <x:c r="A80" t="str">
        <x:v>Undiscounted terminal value</x:v>
      </x:c>
      <x:c r="B80" s="2" t="n">
        <x:f>B79*(1+B78)/(B77-B78)</x:f>
        <x:v>2453224255542.2456</x:v>
      </x:c>
    </x:row>
    <x:row r="81">
      <x:c r="A81" t="str">
        <x:v>PV terminal value</x:v>
      </x:c>
      <x:c r="B81" s="2" t="n">
        <x:f>B80/(1+B77)^5</x:f>
        <x:v>1523230060505.58</x:v>
      </x:c>
    </x:row>
    <x:row r="82">
      <x:c r="A82" t="str">
        <x:v>PV annual FCF</x:v>
      </x:c>
      <x:c r="B82" s="2" t="n">
        <x:f>SUM(C74:G74)</x:f>
        <x:v>593703455909.2043</x:v>
      </x:c>
    </x:row>
    <x:row r="83">
      <x:c r="A83" t="str">
        <x:v>Enterprise value</x:v>
      </x:c>
      <x:c r="B83" s="2" t="n">
        <x:f>B81+B82</x:f>
        <x:v>2116933516414.7844</x:v>
      </x:c>
    </x:row>
    <x:row r="84">
      <x:c r="A84" t="str">
        <x:v>Equity value</x:v>
      </x:c>
      <x:c r="B84" s="2" t="n">
        <x:f>B83-$B$16+$B$17</x:f>
        <x:v>2097574516414.7844</x:v>
      </x:c>
    </x:row>
    <x:row r="85">
      <x:c r="A85" t="str">
        <x:v>Per-share value</x:v>
      </x:c>
      <x:c r="B85" s="5" t="n">
        <x:f>B84/$B$14</x:f>
        <x:v>282.4808654067384</x:v>
      </x:c>
    </x:row>
    <x:row r="86">
      <x:c r="A86" t="str">
        <x:v>PV terminal / EV</x:v>
      </x:c>
      <x:c r="B86" s="1" t="n">
        <x:f>IF(B83&gt;0,B81/B83,"N/A: EV&lt;=0")</x:f>
        <x:v>0.7195455354145018</x:v>
      </x:c>
    </x:row>
    <x:row r="94">
      <x:c r="A94" s="8" t="str">
        <x:v>Bear • 5 annual forecast years</x:v>
      </x:c>
      <x:c r="B94" s="8"/>
      <x:c r="C94" s="8" t="str">
        <x:v>Year 1</x:v>
      </x:c>
      <x:c r="D94" s="8" t="str">
        <x:v>Year 2</x:v>
      </x:c>
      <x:c r="E94" s="8" t="str">
        <x:v>Year 3</x:v>
      </x:c>
      <x:c r="F94" s="8" t="str">
        <x:v>Year 4</x:v>
      </x:c>
      <x:c r="G94" s="8" t="str">
        <x:v>Year 5</x:v>
      </x:c>
      <x:c r="H94" s="8"/>
      <x:c r="I94" s="8"/>
      <x:c r="J94" s="8"/>
      <x:c r="K94" s="8"/>
      <x:c r="L94" s="8"/>
    </x:row>
    <x:row r="95">
      <x:c r="A95" t="str">
        <x:v>Growth</x:v>
      </x:c>
      <x:c r="C95" s="1" t="n">
        <x:f>$B$45+$B$29</x:f>
        <x:v>0.11741147353015859</x:v>
      </x:c>
      <x:c r="D95" s="1" t="n">
        <x:f>$B$45+$B$29</x:f>
        <x:v>0.11741147353015859</x:v>
      </x:c>
      <x:c r="E95" s="1" t="n">
        <x:f>IF($B$45&gt;$B$27,$B$27+($B$45-$B$27)*2/3,$B$45)+$B$29</x:f>
        <x:v>0.08160764902010573</x:v>
      </x:c>
      <x:c r="F95" s="1" t="n">
        <x:f>IF($B$45&gt;$B$27,$B$27+($B$45-$B$27)/3,$B$45)+$B$29</x:f>
        <x:v>0.04580382451005287</x:v>
      </x:c>
      <x:c r="G95" s="1" t="n">
        <x:f>IF($B$45&gt;$B$27,$B$27,$B$45)+$B$29</x:f>
        <x:v>0.009999999999999998</x:v>
      </x:c>
    </x:row>
    <x:row r="96">
      <x:c r="A96" t="str">
        <x:v>EBIT margin</x:v>
      </x:c>
      <x:c r="C96" s="1" t="n">
        <x:f>$B$47+$B$30</x:f>
        <x:v>0.4317504660304294</x:v>
      </x:c>
      <x:c r="D96" s="1" t="n">
        <x:f>$B$47+$B$30</x:f>
        <x:v>0.4317504660304294</x:v>
      </x:c>
      <x:c r="E96" s="1" t="n">
        <x:f>$B$47+$B$30</x:f>
        <x:v>0.4317504660304294</x:v>
      </x:c>
      <x:c r="F96" s="1" t="n">
        <x:f>$B$47+$B$30</x:f>
        <x:v>0.4317504660304294</x:v>
      </x:c>
      <x:c r="G96" s="1" t="n">
        <x:f>$B$47+$B$30</x:f>
        <x:v>0.4317504660304294</x:v>
      </x:c>
    </x:row>
    <x:row r="97">
      <x:c r="A97" t="str">
        <x:v>Revenue USD</x:v>
      </x:c>
      <x:c r="C97" s="2" t="n">
        <x:f>$B$10*(1+C95)</x:f>
        <x:v>370800705964.7743</x:v>
      </x:c>
      <x:c r="D97" s="2" t="n">
        <x:f>C97*(1+D95)</x:f>
        <x:v>414336963238.1215</x:v>
      </x:c>
      <x:c r="E97" s="2" t="n">
        <x:f>D97*(1+E95)</x:f>
        <x:v>448150028710.11456</x:v>
      </x:c>
      <x:c r="F97" s="2" t="n">
        <x:f>E97*(1+F95)</x:f>
        <x:v>468677013979.3278</x:v>
      </x:c>
      <x:c r="G97" s="2" t="n">
        <x:f>F97*(1+G95)</x:f>
        <x:v>473363784119.1211</x:v>
      </x:c>
    </x:row>
    <x:row r="98">
      <x:c r="A98" t="str">
        <x:v>EBIT USD</x:v>
      </x:c>
      <x:c r="C98" s="2" t="n">
        <x:f>C97*C96</x:f>
        <x:v>160093377604.70352</x:v>
      </x:c>
      <x:c r="D98" s="2" t="n">
        <x:f>D97*D96</x:f>
        <x:v>178890176971.69186</x:v>
      </x:c>
      <x:c r="E98" s="2" t="n">
        <x:f>E97*E96</x:f>
        <x:v>193488983747.14227</x:v>
      </x:c>
      <x:c r="F98" s="2" t="n">
        <x:f>F97*F96</x:f>
        <x:v>202351519203.32486</x:v>
      </x:c>
      <x:c r="G98" s="2" t="n">
        <x:f>G97*G96</x:f>
        <x:v>204375034395.3581</x:v>
      </x:c>
    </x:row>
    <x:row r="99">
      <x:c r="A99" t="str">
        <x:v>NOPAT USD</x:v>
      </x:c>
      <x:c r="C99" s="2" t="n">
        <x:f>C98*(1-$B$49)</x:f>
        <x:v>129041240259.69054</x:v>
      </x:c>
      <x:c r="D99" s="2" t="n">
        <x:f>D98*(1-$B$49)</x:f>
        <x:v>144192162424.74005</x:v>
      </x:c>
      <x:c r="E99" s="2" t="n">
        <x:f>E98*(1-$B$49)</x:f>
        <x:v>155959345807.3483</x:v>
      </x:c>
      <x:c r="F99" s="2" t="n">
        <x:f>F98*(1-$B$49)</x:f>
        <x:v>163102880313.41074</x:v>
      </x:c>
      <x:c r="G99" s="2" t="n">
        <x:f>G98*(1-$B$49)</x:f>
        <x:v>164733909116.54483</x:v>
      </x:c>
    </x:row>
    <x:row r="100">
      <x:c r="A100" t="str">
        <x:v>D&amp;A USD</x:v>
      </x:c>
      <x:c r="C100" s="2" t="n">
        <x:f>C97*$B$24</x:f>
        <x:v>11124021178.943228</x:v>
      </x:c>
      <x:c r="D100" s="2" t="n">
        <x:f>D97*$B$24</x:f>
        <x:v>12430108897.143644</x:v>
      </x:c>
      <x:c r="E100" s="2" t="n">
        <x:f>E97*$B$24</x:f>
        <x:v>13444500861.303436</x:v>
      </x:c>
      <x:c r="F100" s="2" t="n">
        <x:f>F97*$B$24</x:f>
        <x:v>14060310419.379833</x:v>
      </x:c>
      <x:c r="G100" s="2" t="n">
        <x:f>G97*$B$24</x:f>
        <x:v>14200913523.573633</x:v>
      </x:c>
    </x:row>
    <x:row r="101">
      <x:c r="A101" t="str">
        <x:v>CapEx USD</x:v>
      </x:c>
      <x:c r="C101" s="2" t="n">
        <x:f>C97*$B$25</x:f>
        <x:v>14832028238.590973</x:v>
      </x:c>
      <x:c r="D101" s="2" t="n">
        <x:f>D97*$B$25</x:f>
        <x:v>16573478529.52486</x:v>
      </x:c>
      <x:c r="E101" s="2" t="n">
        <x:f>E97*$B$25</x:f>
        <x:v>17926001148.404583</x:v>
      </x:c>
      <x:c r="F101" s="2" t="n">
        <x:f>F97*$B$25</x:f>
        <x:v>18747080559.173115</x:v>
      </x:c>
      <x:c r="G101" s="2" t="n">
        <x:f>G97*$B$25</x:f>
        <x:v>18934551364.764843</x:v>
      </x:c>
    </x:row>
    <x:row r="102">
      <x:c r="A102" t="str">
        <x:v>Increase in NWC USD</x:v>
      </x:c>
      <x:c r="C102" s="2" t="n">
        <x:f>(C97-$B$10)*$B$26</x:f>
        <x:v>389617059.6477429</x:v>
      </x:c>
      <x:c r="D102" s="2" t="n">
        <x:f>(D97-C97)*$B$26</x:f>
        <x:v>435362572.7334723</x:v>
      </x:c>
      <x:c r="E102" s="2" t="n">
        <x:f>(E97-D97)*$B$26</x:f>
        <x:v>338130654.7199304</x:v>
      </x:c>
      <x:c r="F102" s="2" t="n">
        <x:f>(F97-E97)*$B$26</x:f>
        <x:v>205269852.69213256</x:v>
      </x:c>
      <x:c r="G102" s="2" t="n">
        <x:f>(G97-F97)*$B$26</x:f>
        <x:v>46867701.39793274</x:v>
      </x:c>
    </x:row>
    <x:row r="103">
      <x:c r="A103" t="str">
        <x:v>FCF USD</x:v>
      </x:c>
      <x:c r="C103" s="2" t="n">
        <x:f>C99+C100-C101-C102</x:f>
        <x:v>124943616140.39505</x:v>
      </x:c>
      <x:c r="D103" s="2" t="n">
        <x:f>D99+D100-D101-D102</x:f>
        <x:v>139613430219.62537</x:v>
      </x:c>
      <x:c r="E103" s="2" t="n">
        <x:f>E99+E100-E101-E102</x:f>
        <x:v>151139714865.52722</x:v>
      </x:c>
      <x:c r="F103" s="2" t="n">
        <x:f>F99+F100-F101-F102</x:f>
        <x:v>158210840320.9253</x:v>
      </x:c>
      <x:c r="G103" s="2" t="n">
        <x:f>G99+G100-G101-G102</x:f>
        <x:v>159953403573.95572</x:v>
      </x:c>
    </x:row>
    <x:row r="104">
      <x:c r="A104" t="str">
        <x:v>PV of FCF USD</x:v>
      </x:c>
      <x:c r="C104" s="2" t="n">
        <x:f>C103/(1+$B$107)^1</x:f>
        <x:v>112561388824.59834</x:v>
      </x:c>
      <x:c r="D104" s="2" t="n">
        <x:f>D103/(1+$B$107)^2</x:f>
        <x:v>113312531204.75677</x:v>
      </x:c>
      <x:c r="E104" s="2" t="n">
        <x:f>E103/(1+$B$107)^3</x:f>
        <x:v>110510797687.85336</x:v>
      </x:c>
      <x:c r="F104" s="2" t="n">
        <x:f>F103/(1+$B$107)^4</x:f>
        <x:v>104216797657.46043</x:v>
      </x:c>
      <x:c r="G104" s="2" t="n">
        <x:f>G103/(1+$B$107)^5</x:f>
        <x:v>94922757139.6659</x:v>
      </x:c>
    </x:row>
    <x:row r="107">
      <x:c r="A107" t="str">
        <x:v>WACC</x:v>
      </x:c>
      <x:c r="B107" s="1" t="n">
        <x:f>MAX(5%,MIN(20%,$B$60+$B$31))</x:f>
        <x:v>0.1100042158780718</x:v>
      </x:c>
    </x:row>
    <x:row r="108">
      <x:c r="A108" t="str">
        <x:v>Terminal growth</x:v>
      </x:c>
      <x:c r="B108" s="1" t="n">
        <x:f>MAX(0%,MIN(5%,$B$23+$B$32))</x:f>
        <x:v>0.02</x:v>
      </x:c>
    </x:row>
    <x:row r="109">
      <x:c r="A109" t="str">
        <x:v>Terminal FCF</x:v>
      </x:c>
      <x:c r="B109" s="2" t="n">
        <x:f>G103</x:f>
        <x:v>159953403573.95572</x:v>
      </x:c>
    </x:row>
    <x:row r="110">
      <x:c r="A110" t="str">
        <x:v>Undiscounted terminal value</x:v>
      </x:c>
      <x:c r="B110" s="2" t="n">
        <x:f>B109*(1+B108)/(B107-B108)</x:f>
        <x:v>1812720327083.9734</x:v>
      </x:c>
    </x:row>
    <x:row r="111">
      <x:c r="A111" t="str">
        <x:v>PV terminal value</x:v>
      </x:c>
      <x:c r="B111" s="2" t="n">
        <x:f>B110/(1+B107)^5</x:f>
        <x:v>1075740856557.457</x:v>
      </x:c>
    </x:row>
    <x:row r="112">
      <x:c r="A112" t="str">
        <x:v>PV annual FCF</x:v>
      </x:c>
      <x:c r="B112" s="2" t="n">
        <x:f>SUM(C104:G104)</x:f>
        <x:v>535524272514.33484</x:v>
      </x:c>
    </x:row>
    <x:row r="113">
      <x:c r="A113" t="str">
        <x:v>Enterprise value</x:v>
      </x:c>
      <x:c r="B113" s="2" t="n">
        <x:f>B111+B112</x:f>
        <x:v>1611265129071.792</x:v>
      </x:c>
    </x:row>
    <x:row r="114">
      <x:c r="A114" t="str">
        <x:v>Equity value</x:v>
      </x:c>
      <x:c r="B114" s="2" t="n">
        <x:f>B113-$B$16+$B$17</x:f>
        <x:v>1591906129071.792</x:v>
      </x:c>
    </x:row>
    <x:row r="115">
      <x:c r="A115" t="str">
        <x:v>Per-share value</x:v>
      </x:c>
      <x:c r="B115" s="5" t="n">
        <x:f>B114/$B$14</x:f>
        <x:v>214.38238187365945</x:v>
      </x:c>
    </x:row>
    <x:row r="116">
      <x:c r="A116" t="str">
        <x:v>PV terminal / EV</x:v>
      </x:c>
      <x:c r="B116" s="1" t="n">
        <x:f>IF(B113&gt;0,B111/B113,"N/A: EV&lt;=0")</x:f>
        <x:v>0.6676373969423415</x:v>
      </x:c>
    </x:row>
    <x:row r="124">
      <x:c r="A124" s="8" t="str">
        <x:v>Bull • 5 annual forecast years</x:v>
      </x:c>
      <x:c r="B124" s="8"/>
      <x:c r="C124" s="8" t="str">
        <x:v>Year 1</x:v>
      </x:c>
      <x:c r="D124" s="8" t="str">
        <x:v>Year 2</x:v>
      </x:c>
      <x:c r="E124" s="8" t="str">
        <x:v>Year 3</x:v>
      </x:c>
      <x:c r="F124" s="8" t="str">
        <x:v>Year 4</x:v>
      </x:c>
      <x:c r="G124" s="8" t="str">
        <x:v>Year 5</x:v>
      </x:c>
      <x:c r="H124" s="8"/>
      <x:c r="I124" s="8"/>
      <x:c r="J124" s="8"/>
      <x:c r="K124" s="8"/>
      <x:c r="L124" s="8"/>
    </x:row>
    <x:row r="125">
      <x:c r="A125" t="str">
        <x:v>Growth</x:v>
      </x:c>
      <x:c r="C125" s="1" t="n">
        <x:f>$B$45+$B$33</x:f>
        <x:v>0.15741147353015858</x:v>
      </x:c>
      <x:c r="D125" s="1" t="n">
        <x:f>$B$45+$B$33</x:f>
        <x:v>0.15741147353015858</x:v>
      </x:c>
      <x:c r="E125" s="1" t="n">
        <x:f>IF($B$45&gt;$B$27,$B$27+($B$45-$B$27)*2/3,$B$45)+$B$33</x:f>
        <x:v>0.12160764902010573</x:v>
      </x:c>
      <x:c r="F125" s="1" t="n">
        <x:f>IF($B$45&gt;$B$27,$B$27+($B$45-$B$27)/3,$B$45)+$B$33</x:f>
        <x:v>0.08580382451005288</x:v>
      </x:c>
      <x:c r="G125" s="1" t="n">
        <x:f>IF($B$45&gt;$B$27,$B$27,$B$45)+$B$33</x:f>
        <x:v>0.05</x:v>
      </x:c>
    </x:row>
    <x:row r="126">
      <x:c r="A126" t="str">
        <x:v>EBIT margin</x:v>
      </x:c>
      <x:c r="C126" s="1" t="n">
        <x:f>$B$47+$B$34</x:f>
        <x:v>0.4517504660304294</x:v>
      </x:c>
      <x:c r="D126" s="1" t="n">
        <x:f>$B$47+$B$34</x:f>
        <x:v>0.4517504660304294</x:v>
      </x:c>
      <x:c r="E126" s="1" t="n">
        <x:f>$B$47+$B$34</x:f>
        <x:v>0.4517504660304294</x:v>
      </x:c>
      <x:c r="F126" s="1" t="n">
        <x:f>$B$47+$B$34</x:f>
        <x:v>0.4517504660304294</x:v>
      </x:c>
      <x:c r="G126" s="1" t="n">
        <x:f>$B$47+$B$34</x:f>
        <x:v>0.4517504660304294</x:v>
      </x:c>
    </x:row>
    <x:row r="127">
      <x:c r="A127" t="str">
        <x:v>Revenue USD</x:v>
      </x:c>
      <x:c r="C127" s="2" t="n">
        <x:f>$B$10*(1+C125)</x:f>
        <x:v>384074265964.7743</x:v>
      </x:c>
      <x:c r="D127" s="2" t="n">
        <x:f>C127*(1+D125)</x:f>
        <x:v>444531962115.30347</x:v>
      </x:c>
      <x:c r="E127" s="2" t="n">
        <x:f>D127*(1+E125)</x:f>
        <x:v>498590448942.4402</x:v>
      </x:c>
      <x:c r="F127" s="2" t="n">
        <x:f>E127*(1+F125)</x:f>
        <x:v>541371416325.88586</x:v>
      </x:c>
      <x:c r="G127" s="2" t="n">
        <x:f>F127*(1+G125)</x:f>
        <x:v>568439987142.1802</x:v>
      </x:c>
    </x:row>
    <x:row r="128">
      <x:c r="A128" t="str">
        <x:v>EBIT USD</x:v>
      </x:c>
      <x:c r="C128" s="2" t="n">
        <x:f>C127*C126</x:f>
        <x:v>173505728639.88187</x:v>
      </x:c>
      <x:c r="D128" s="2" t="n">
        <x:f>D127*D126</x:f>
        <x:v>200817521051.00952</x:v>
      </x:c>
      <x:c r="E128" s="2" t="n">
        <x:f>E127*E126</x:f>
        <x:v>225238467668.06836</x:v>
      </x:c>
      <x:c r="F128" s="2" t="n">
        <x:f>F127*F126</x:f>
        <x:v>244564789620.77255</x:v>
      </x:c>
      <x:c r="G128" s="2" t="n">
        <x:f>G127*G126</x:f>
        <x:v>256793029101.8112</x:v>
      </x:c>
    </x:row>
    <x:row r="129">
      <x:c r="A129" t="str">
        <x:v>NOPAT USD</x:v>
      </x:c>
      <x:c r="C129" s="2" t="n">
        <x:f>C128*(1-$B$49)</x:f>
        <x:v>139852096013.20743</x:v>
      </x:c>
      <x:c r="D129" s="2" t="n">
        <x:f>D128*(1-$B$49)</x:f>
        <x:v>161866420522.9276</x:v>
      </x:c>
      <x:c r="E129" s="2" t="n">
        <x:f>E128*(1-$B$49)</x:f>
        <x:v>181550615378.02063</x:v>
      </x:c>
      <x:c r="F129" s="2" t="n">
        <x:f>F128*(1-$B$49)</x:f>
        <x:v>197128352519.60843</x:v>
      </x:c>
      <x:c r="G129" s="2" t="n">
        <x:f>G128*(1-$B$49)</x:f>
        <x:v>206984770145.58887</x:v>
      </x:c>
    </x:row>
    <x:row r="130">
      <x:c r="A130" t="str">
        <x:v>D&amp;A USD</x:v>
      </x:c>
      <x:c r="C130" s="2" t="n">
        <x:f>C127*$B$24</x:f>
        <x:v>11522227978.943228</x:v>
      </x:c>
      <x:c r="D130" s="2" t="n">
        <x:f>D127*$B$24</x:f>
        <x:v>13335958863.459103</x:v>
      </x:c>
      <x:c r="E130" s="2" t="n">
        <x:f>E127*$B$24</x:f>
        <x:v>14957713468.273205</x:v>
      </x:c>
      <x:c r="F130" s="2" t="n">
        <x:f>F127*$B$24</x:f>
        <x:v>16241142489.776575</x:v>
      </x:c>
      <x:c r="G130" s="2" t="n">
        <x:f>G127*$B$24</x:f>
        <x:v>17053199614.265404</x:v>
      </x:c>
    </x:row>
    <x:row r="131">
      <x:c r="A131" t="str">
        <x:v>CapEx USD</x:v>
      </x:c>
      <x:c r="C131" s="2" t="n">
        <x:f>C127*$B$25</x:f>
        <x:v>15362970638.590973</x:v>
      </x:c>
      <x:c r="D131" s="2" t="n">
        <x:f>D127*$B$25</x:f>
        <x:v>17781278484.61214</x:v>
      </x:c>
      <x:c r="E131" s="2" t="n">
        <x:f>E127*$B$25</x:f>
        <x:v>19943617957.69761</x:v>
      </x:c>
      <x:c r="F131" s="2" t="n">
        <x:f>F127*$B$25</x:f>
        <x:v>21654856653.035435</x:v>
      </x:c>
      <x:c r="G131" s="2" t="n">
        <x:f>G127*$B$25</x:f>
        <x:v>22737599485.687206</x:v>
      </x:c>
    </x:row>
    <x:row r="132">
      <x:c r="A132" t="str">
        <x:v>Increase in NWC USD</x:v>
      </x:c>
      <x:c r="C132" s="2" t="n">
        <x:f>(C127-$B$10)*$B$26</x:f>
        <x:v>522352659.6477429</x:v>
      </x:c>
      <x:c r="D132" s="2" t="n">
        <x:f>(D127-C127)*$B$26</x:f>
        <x:v>604576961.5052918</x:v>
      </x:c>
      <x:c r="E132" s="2" t="n">
        <x:f>(E127-D127)*$B$26</x:f>
        <x:v>540584868.2713672</x:v>
      </x:c>
      <x:c r="F132" s="2" t="n">
        <x:f>(F127-E127)*$B$26</x:f>
        <x:v>427809673.8344568</x:v>
      </x:c>
      <x:c r="G132" s="2" t="n">
        <x:f>(G127-F127)*$B$26</x:f>
        <x:v>270685708.1629431</x:v>
      </x:c>
    </x:row>
    <x:row r="133">
      <x:c r="A133" t="str">
        <x:v>FCF USD</x:v>
      </x:c>
      <x:c r="C133" s="2" t="n">
        <x:f>C129+C130-C131-C132</x:f>
        <x:v>135489000693.91196</x:v>
      </x:c>
      <x:c r="D133" s="2" t="n">
        <x:f>D129+D130-D131-D132</x:f>
        <x:v>156816523940.2693</x:v>
      </x:c>
      <x:c r="E133" s="2" t="n">
        <x:f>E129+E130-E131-E132</x:f>
        <x:v>176024126020.32486</x:v>
      </x:c>
      <x:c r="F133" s="2" t="n">
        <x:f>F129+F130-F131-F132</x:f>
        <x:v>191286828682.51514</x:v>
      </x:c>
      <x:c r="G133" s="2" t="n">
        <x:f>G129+G130-G131-G132</x:f>
        <x:v>201029684566.00415</x:v>
      </x:c>
    </x:row>
    <x:row r="134">
      <x:c r="A134" t="str">
        <x:v>PV of FCF USD</x:v>
      </x:c>
      <x:c r="C134" s="2" t="n">
        <x:f>C133/(1+$B$137)^1</x:f>
        <x:v>124301354728.9507</x:v>
      </x:c>
      <x:c r="D134" s="2" t="n">
        <x:f>D133/(1+$B$137)^2</x:f>
        <x:v>131988309809.18227</x:v>
      </x:c>
      <x:c r="E134" s="2" t="n">
        <x:f>E133/(1+$B$137)^3</x:f>
        <x:v>135921345058.1979</x:v>
      </x:c>
      <x:c r="F134" s="2" t="n">
        <x:f>F133/(1+$B$137)^4</x:f>
        <x:v>135510315475.94603</x:v>
      </x:c>
      <x:c r="G134" s="2" t="n">
        <x:f>G133/(1+$B$137)^5</x:f>
        <x:v>130652974874.01648</x:v>
      </x:c>
    </x:row>
    <x:row r="137">
      <x:c r="A137" t="str">
        <x:v>WACC</x:v>
      </x:c>
      <x:c r="B137" s="1" t="n">
        <x:f>MAX(5%,MIN(20%,$B$60+$B$35))</x:f>
        <x:v>0.09000421587807181</x:v>
      </x:c>
    </x:row>
    <x:row r="138">
      <x:c r="A138" t="str">
        <x:v>Terminal growth</x:v>
      </x:c>
      <x:c r="B138" s="1" t="n">
        <x:f>MAX(0%,MIN(5%,$B$23+$B$36))</x:f>
        <x:v>0.030000000000000002</x:v>
      </x:c>
    </x:row>
    <x:row r="139">
      <x:c r="A139" t="str">
        <x:v>Terminal FCF</x:v>
      </x:c>
      <x:c r="B139" s="2" t="n">
        <x:f>G133</x:f>
        <x:v>201029684566.00415</x:v>
      </x:c>
    </x:row>
    <x:row r="140">
      <x:c r="A140" t="str">
        <x:v>Undiscounted terminal value</x:v>
      </x:c>
      <x:c r="B140" s="2" t="n">
        <x:f>B139*(1+B138)/(B137-B138)</x:f>
        <x:v>3450767118159.332</x:v>
      </x:c>
    </x:row>
    <x:row r="141">
      <x:c r="A141" t="str">
        <x:v>PV terminal value</x:v>
      </x:c>
      <x:c r="B141" s="2" t="n">
        <x:f>B140/(1+B137)^5</x:f>
        <x:v>2242718484875.9224</x:v>
      </x:c>
    </x:row>
    <x:row r="142">
      <x:c r="A142" t="str">
        <x:v>PV annual FCF</x:v>
      </x:c>
      <x:c r="B142" s="2" t="n">
        <x:f>SUM(C134:G134)</x:f>
        <x:v>658374299946.2935</x:v>
      </x:c>
    </x:row>
    <x:row r="143">
      <x:c r="A143" t="str">
        <x:v>Enterprise value</x:v>
      </x:c>
      <x:c r="B143" s="2" t="n">
        <x:f>B141+B142</x:f>
        <x:v>2901092784822.216</x:v>
      </x:c>
    </x:row>
    <x:row r="144">
      <x:c r="A144" t="str">
        <x:v>Equity value</x:v>
      </x:c>
      <x:c r="B144" s="2" t="n">
        <x:f>B143-$B$16+$B$17</x:f>
        <x:v>2881733784822.216</x:v>
      </x:c>
    </x:row>
    <x:row r="145">
      <x:c r="A145" t="str">
        <x:v>Per-share value</x:v>
      </x:c>
      <x:c r="B145" s="5" t="n">
        <x:f>B144/$B$14</x:f>
        <x:v>388.0837829779603</x:v>
      </x:c>
    </x:row>
    <x:row r="146">
      <x:c r="A146" t="str">
        <x:v>PV terminal / EV</x:v>
      </x:c>
      <x:c r="B146" s="1" t="n">
        <x:f>IF(B143&gt;0,B141/B143,"N/A: EV&lt;=0")</x:f>
        <x:v>0.7730598954329412</x:v>
      </x:c>
    </x:row>
    <x:row r="150">
      <x:c r="A150" s="8" t="str">
        <x:v>Quality flags (1 = triggered, 0 = clear)</x:v>
      </x:c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t="str">
        <x:v>Nonpositive Base terminal FCF</x:v>
      </x:c>
      <x:c r="B151" t="b">
        <x:f>B79&lt;=0</x:f>
        <x:v>0</x:v>
      </x:c>
    </x:row>
    <x:row r="152">
      <x:c r="A152" t="str">
        <x:v>Nonpositive Base enterprise value</x:v>
      </x:c>
      <x:c r="B152" t="b">
        <x:f>B83&lt;=0</x:f>
        <x:v>0</x:v>
      </x:c>
    </x:row>
    <x:row r="153">
      <x:c r="A153" t="str">
        <x:v>Reversed Bear / Base / Bull</x:v>
      </x:c>
      <x:c r="B153" t="b">
        <x:f>NOT(AND(ISNUMBER(B115),ISNUMBER(B85),ISNUMBER(B145),B115&lt;=B85,B85&lt;=B145))</x:f>
        <x:v>0</x:v>
      </x:c>
    </x:row>
    <x:row r="154">
      <x:c r="A154" t="str">
        <x:v>Extreme observed tax &gt;= 60%</x:v>
      </x:c>
      <x:c r="B154" t="b">
        <x:f>AND(B50="OBSERVED",B48&gt;=60%)</x:f>
        <x:v>0</x:v>
      </x:c>
    </x:row>
    <x:row r="155">
      <x:c r="A155" t="str">
        <x:v>PV terminal / EV &gt;= 80%</x:v>
      </x:c>
      <x:c r="B155" t="b">
        <x:f>IF(AND(B83&gt;0,B81&gt;=0),B86&gt;=80%,FALSE)</x:f>
        <x:v>0</x:v>
      </x:c>
    </x:row>
    <x:row r="156">
      <x:c r="A156" t="str">
        <x:v>Quality classification</x:v>
      </x:c>
      <x:c r="B156" t="str">
        <x:f>IF(OR(B151,B152,B153),"DIAGNOSTIC ONLY",IF(OR(B154,B155),"CAUTION","ORDINARY"))</x:f>
        <x:v>ORDINARY</x:v>
      </x:c>
    </x:row>
    <x:row r="157">
      <x:c r="A157" t="str">
        <x:v>Mathematically computable</x:v>
      </x:c>
      <x:c r="B157" t="b">
        <x:f>AND(ISNUMBER(B85),ISNUMBER(B115),ISNUMBER(B145))</x:f>
        <x:v>1</x:v>
      </x:c>
    </x:row>
    <x:row r="158">
      <x:c r="A158" t="str">
        <x:v>Market comparison allowed</x:v>
      </x:c>
      <x:c r="B158" t="b">
        <x:f>AND(B157,B156="ORDINARY")</x:f>
        <x:v>1</x:v>
      </x:c>
    </x:row>
    <x:row r="160">
      <x:c r="A160" t="str">
        <x:v>Interpretation</x:v>
      </x:c>
      <x:c r="B160" t="str">
        <x:v>Values remain visible for diagnosis. Flagged cases are not actionable price targets.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29" hidden="0" customWidth="1"/>
    <x:col min="12" max="12" width="29" hidden="0" customWidth="1"/>
  </x:cols>
  <x:sheetData>
    <x:row r="1">
      <x:c r="A1" s="8" t="str">
        <x:v>CAT | independent staged DCF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>
      <x:c r="A2" t="str">
        <x:v>Frozen evidence only • USD actual • scenarios are diagnostic, not price targets</x:v>
      </x:c>
    </x:row>
    <x:row r="5">
      <x:c r="A5" s="8" t="str">
        <x:v>Fiscal end</x:v>
      </x:c>
      <x:c r="B5" s="8" t="str">
        <x:v>Revenue USD</x:v>
      </x:c>
      <x:c r="C5" s="8" t="str">
        <x:v>EBIT USD</x:v>
      </x:c>
      <x:c r="D5" s="8" t="str">
        <x:v>EBIT margin</x:v>
      </x:c>
      <x:c r="E5" s="8" t="str">
        <x:v>Revenue filed</x:v>
      </x:c>
      <x:c r="F5" s="8" t="str">
        <x:v>EBIT filed</x:v>
      </x:c>
      <x:c r="G5" s="8" t="str">
        <x:v>Revenue tag</x:v>
      </x:c>
      <x:c r="H5" s="8" t="str">
        <x:v>EBIT tag</x:v>
      </x:c>
      <x:c r="I5" s="8" t="str">
        <x:v>Revenue source</x:v>
      </x:c>
      <x:c r="J5" s="8" t="str">
        <x:v>EBIT source</x:v>
      </x:c>
      <x:c r="K5" s="8" t="str">
        <x:v>Revenue status</x:v>
      </x:c>
      <x:c r="L5" s="8" t="str">
        <x:v>EBIT status / derivation</x:v>
      </x:c>
    </x:row>
    <x:row r="6">
      <x:c r="A6" t="str">
        <x:v>2021-12-31</x:v>
      </x:c>
      <x:c r="B6" s="2" t="n">
        <x:v>50971000000</x:v>
      </x:c>
      <x:c r="C6" s="2" t="n">
        <x:v>6878000000</x:v>
      </x:c>
      <x:c r="D6" s="1" t="n">
        <x:f>C6/B6</x:f>
        <x:v>0.13493947538796572</x:v>
      </x:c>
      <x:c r="E6" t="str">
        <x:v>2022-02-16</x:v>
      </x:c>
      <x:c r="F6" t="str">
        <x:v>2022-02-16</x:v>
      </x:c>
      <x:c r="G6" t="str">
        <x:v>Revenues</x:v>
      </x:c>
      <x:c r="H6" t="str">
        <x:v>OperatingIncomeLoss</x:v>
      </x:c>
      <x:c r="I6" t="str">
        <x:v>https://www.sec.gov/Archives/edgar/data/18230/000001823022000050/0000018230-22-000050-index.htm</x:v>
      </x:c>
      <x:c r="J6" t="str">
        <x:v>https://www.sec.gov/Archives/edgar/data/18230/000001823022000050/0000018230-22-000050-index.htm</x:v>
      </x:c>
      <x:c r="K6" t="str">
        <x:v>Frozen SEC; no fallback</x:v>
      </x:c>
      <x:c r="L6" t="str">
        <x:v>Directly reported (OperatingIncomeLoss XBRL tag).</x:v>
      </x:c>
    </x:row>
    <x:row r="7">
      <x:c r="A7" t="str">
        <x:v>2022-12-31</x:v>
      </x:c>
      <x:c r="B7" s="2" t="n">
        <x:v>59427000000</x:v>
      </x:c>
      <x:c r="C7" s="2" t="n">
        <x:v>7904000000</x:v>
      </x:c>
      <x:c r="D7" s="1" t="n">
        <x:f>C7/B7</x:f>
        <x:v>0.13300351691991855</x:v>
      </x:c>
      <x:c r="E7" t="str">
        <x:v>2023-02-15</x:v>
      </x:c>
      <x:c r="F7" t="str">
        <x:v>2023-02-15</x:v>
      </x:c>
      <x:c r="G7" t="str">
        <x:v>Revenues</x:v>
      </x:c>
      <x:c r="H7" t="str">
        <x:v>OperatingIncomeLoss</x:v>
      </x:c>
      <x:c r="I7" t="str">
        <x:v>https://www.sec.gov/Archives/edgar/data/18230/000001823023000011/0000018230-23-000011-index.htm</x:v>
      </x:c>
      <x:c r="J7" t="str">
        <x:v>https://www.sec.gov/Archives/edgar/data/18230/000001823023000011/0000018230-23-000011-index.htm</x:v>
      </x:c>
      <x:c r="K7" t="str">
        <x:v>Frozen SEC; no fallback</x:v>
      </x:c>
      <x:c r="L7" t="str">
        <x:v>Directly reported (OperatingIncomeLoss XBRL tag).</x:v>
      </x:c>
    </x:row>
    <x:row r="8">
      <x:c r="A8" t="str">
        <x:v>2023-12-31</x:v>
      </x:c>
      <x:c r="B8" s="2" t="n">
        <x:v>67060000000</x:v>
      </x:c>
      <x:c r="C8" s="2" t="n">
        <x:v>12966000000</x:v>
      </x:c>
      <x:c r="D8" s="1" t="n">
        <x:f>C8/B8</x:f>
        <x:v>0.19334923948702654</x:v>
      </x:c>
      <x:c r="E8" t="str">
        <x:v>2024-02-16</x:v>
      </x:c>
      <x:c r="F8" t="str">
        <x:v>2024-02-16</x:v>
      </x:c>
      <x:c r="G8" t="str">
        <x:v>Revenues</x:v>
      </x:c>
      <x:c r="H8" t="str">
        <x:v>OperatingIncomeLoss</x:v>
      </x:c>
      <x:c r="I8" t="str">
        <x:v>https://www.sec.gov/Archives/edgar/data/18230/000001823024000009/0000018230-24-000009-index.htm</x:v>
      </x:c>
      <x:c r="J8" t="str">
        <x:v>https://www.sec.gov/Archives/edgar/data/18230/000001823024000009/0000018230-24-000009-index.htm</x:v>
      </x:c>
      <x:c r="K8" t="str">
        <x:v>Frozen SEC; no fallback</x:v>
      </x:c>
      <x:c r="L8" t="str">
        <x:v>Directly reported (OperatingIncomeLoss XBRL tag).</x:v>
      </x:c>
    </x:row>
    <x:row r="9">
      <x:c r="A9" t="str">
        <x:v>2024-12-31</x:v>
      </x:c>
      <x:c r="B9" s="2" t="n">
        <x:v>64809000000</x:v>
      </x:c>
      <x:c r="C9" s="2" t="n">
        <x:v>13072000000</x:v>
      </x:c>
      <x:c r="D9" s="1" t="n">
        <x:f>C9/B9</x:f>
        <x:v>0.20170038111990618</x:v>
      </x:c>
      <x:c r="E9" t="str">
        <x:v>2025-02-14</x:v>
      </x:c>
      <x:c r="F9" t="str">
        <x:v>2025-02-14</x:v>
      </x:c>
      <x:c r="G9" t="str">
        <x:v>Revenues</x:v>
      </x:c>
      <x:c r="H9" t="str">
        <x:v>OperatingIncomeLoss</x:v>
      </x:c>
      <x:c r="I9" t="str">
        <x:v>https://www.sec.gov/Archives/edgar/data/18230/000001823025000008/0000018230-25-000008-index.htm</x:v>
      </x:c>
      <x:c r="J9" t="str">
        <x:v>https://www.sec.gov/Archives/edgar/data/18230/000001823025000008/0000018230-25-000008-index.htm</x:v>
      </x:c>
      <x:c r="K9" t="str">
        <x:v>Frozen SEC; no fallback</x:v>
      </x:c>
      <x:c r="L9" t="str">
        <x:v>Directly reported (OperatingIncomeLoss XBRL tag).</x:v>
      </x:c>
    </x:row>
    <x:row r="10">
      <x:c r="A10" t="str">
        <x:v>2025-12-31</x:v>
      </x:c>
      <x:c r="B10" s="2" t="n">
        <x:v>67589000000</x:v>
      </x:c>
      <x:c r="C10" s="2" t="n">
        <x:v>11151000000</x:v>
      </x:c>
      <x:c r="D10" s="1" t="n">
        <x:f>C10/B10</x:f>
        <x:v>0.16498246756128956</x:v>
      </x:c>
      <x:c r="E10" t="str">
        <x:v>2026-02-13</x:v>
      </x:c>
      <x:c r="F10" t="str">
        <x:v>2026-02-13</x:v>
      </x:c>
      <x:c r="G10" t="str">
        <x:v>Revenues</x:v>
      </x:c>
      <x:c r="H10" t="str">
        <x:v>OperatingIncomeLoss</x:v>
      </x:c>
      <x:c r="I10" t="str">
        <x:v>https://www.sec.gov/Archives/edgar/data/18230/000001823026000008/0000018230-26-000008-index.htm</x:v>
      </x:c>
      <x:c r="J10" t="str">
        <x:v>https://www.sec.gov/Archives/edgar/data/18230/000001823026000008/0000018230-26-000008-index.htm</x:v>
      </x:c>
      <x:c r="K10" t="str">
        <x:v>Frozen SEC; no fallback</x:v>
      </x:c>
      <x:c r="L10" t="str">
        <x:v>Directly reported (OperatingIncomeLoss XBRL tag).</x:v>
      </x:c>
    </x:row>
    <x:row r="12">
      <x:c r="A12" s="8" t="str">
        <x:v>Input</x:v>
      </x:c>
      <x:c r="B12" s="8" t="str">
        <x:v>Value</x:v>
      </x:c>
      <x:c r="C12" s="8" t="str">
        <x:v>Unit</x:v>
      </x:c>
      <x:c r="D12" s="8" t="str">
        <x:v>Source date</x:v>
      </x:c>
      <x:c r="E12" s="8" t="str">
        <x:v>Source</x:v>
      </x:c>
      <x:c r="F12" s="8" t="str">
        <x:v>Fallback / status</x:v>
      </x:c>
      <x:c r="G12" s="8" t="str">
        <x:v>Note</x:v>
      </x:c>
      <x:c r="H12" s="8"/>
      <x:c r="I12" s="8"/>
      <x:c r="J12" s="8"/>
      <x:c r="K12" s="8"/>
      <x:c r="L12" s="8"/>
    </x:row>
    <x:row r="13">
      <x:c r="A13" t="str">
        <x:v>Market price</x:v>
      </x:c>
      <x:c r="B13" s="9" t="n">
        <x:v>886</x:v>
      </x:c>
      <x:c r="C13" t="str">
        <x:v>USD/share</x:v>
      </x:c>
      <x:c r="D13" t="str">
        <x:v>2026-08-17</x:v>
      </x:c>
      <x:c r="E13" t="str">
        <x:v>yfinance Ticker.info</x:v>
      </x:c>
      <x:c r="F13" t="str">
        <x:v>Observed / frozen</x:v>
      </x:c>
      <x:c r="G13" t="str"/>
    </x:row>
    <x:row r="14">
      <x:c r="A14" t="str">
        <x:v>Shares outstanding</x:v>
      </x:c>
      <x:c r="B14" s="10" t="n">
        <x:v>459674889</x:v>
      </x:c>
      <x:c r="C14" t="str">
        <x:v>shares</x:v>
      </x:c>
      <x:c r="D14" t="str">
        <x:v>2026-08-17</x:v>
      </x:c>
      <x:c r="E14" t="str">
        <x:v>yfinance Ticker.info</x:v>
      </x:c>
      <x:c r="F14" t="str">
        <x:v>Observed / frozen</x:v>
      </x:c>
      <x:c r="G14" t="str"/>
    </x:row>
    <x:row r="15">
      <x:c r="A15" t="str">
        <x:v>Levered beta</x:v>
      </x:c>
      <x:c r="B15" s="11" t="n">
        <x:v>1.605</x:v>
      </x:c>
      <x:c r="C15" t="str">
        <x:v>ratio</x:v>
      </x:c>
      <x:c r="D15" t="str">
        <x:v>2026-08-17</x:v>
      </x:c>
      <x:c r="E15" t="str">
        <x:v>yfinance Ticker.info</x:v>
      </x:c>
      <x:c r="F15" t="str">
        <x:v>Observed / frozen</x:v>
      </x:c>
      <x:c r="G15" t="str"/>
    </x:row>
    <x:row r="16">
      <x:c r="A16" t="str">
        <x:v>Total debt</x:v>
      </x:c>
      <x:c r="B16" s="10" t="n">
        <x:v>36210000000</x:v>
      </x:c>
      <x:c r="C16" t="str">
        <x:v>USD</x:v>
      </x:c>
      <x:c r="D16" t="str">
        <x:v>2026-02-13</x:v>
      </x:c>
      <x:c r="E16" t="str">
        <x:v>https://www.sec.gov/Archives/edgar/data/18230/000001823026000008/0000018230-26-000008-index.htm</x:v>
      </x:c>
      <x:c r="F16" t="str">
        <x:v>SUM:LongTermDebtNoncurrent+ShortTermBorrowings</x:v>
      </x:c>
      <x:c r="G16" t="str">
        <x:v>Total Debt = LongTermDebtNoncurrent ($30,696,000,000) + ShortTermBorrowings ($5,514,000,000) = $36,210,000,000</x:v>
      </x:c>
    </x:row>
    <x:row r="17">
      <x:c r="A17" t="str">
        <x:v>Cash and equivalents</x:v>
      </x:c>
      <x:c r="B17" s="10" t="n">
        <x:v>9980000000</x:v>
      </x:c>
      <x:c r="C17" t="str">
        <x:v>USD</x:v>
      </x:c>
      <x:c r="D17" t="str">
        <x:v>2026-02-13</x:v>
      </x:c>
      <x:c r="E17" t="str">
        <x:v>https://www.sec.gov/Archives/edgar/data/18230/000001823026000008/0000018230-26-000008-index.htm</x:v>
      </x:c>
      <x:c r="F17" t="str">
        <x:v>Observed / frozen</x:v>
      </x:c>
      <x:c r="G17" t="str"/>
    </x:row>
    <x:row r="18">
      <x:c r="A18" t="str">
        <x:v>Interest expense</x:v>
      </x:c>
      <x:c r="B18" s="10" t="n">
        <x:v>1842000000</x:v>
      </x:c>
      <x:c r="C18" t="str">
        <x:v>USD</x:v>
      </x:c>
      <x:c r="D18" t="str">
        <x:v>2026-02-13</x:v>
      </x:c>
      <x:c r="E18" t="str">
        <x:v>https://www.sec.gov/Archives/edgar/data/18230/000001823026000008/0000018230-26-000008-index.htm</x:v>
      </x:c>
      <x:c r="F18" t="str">
        <x:v>proxy_cash_paid_interest</x:v>
      </x:c>
      <x:c r="G18" t="str"/>
    </x:row>
    <x:row r="19">
      <x:c r="A19" t="str">
        <x:v>Pretax income</x:v>
      </x:c>
      <x:c r="B19" s="10" t="n">
        <x:v>11541000000</x:v>
      </x:c>
      <x:c r="C19" t="str">
        <x:v>USD</x:v>
      </x:c>
      <x:c r="D19" t="str">
        <x:v>2026-02-13</x:v>
      </x:c>
      <x:c r="E19" t="str">
        <x:v>https://www.sec.gov/Archives/edgar/data/18230/000001823026000008/0000018230-26-000008-index.htm</x:v>
      </x:c>
      <x:c r="F19" t="str">
        <x:v>Observed / frozen</x:v>
      </x:c>
      <x:c r="G19" t="str"/>
    </x:row>
    <x:row r="20">
      <x:c r="A20" t="str">
        <x:v>Tax provision</x:v>
      </x:c>
      <x:c r="B20" s="10" t="n">
        <x:v>2768000000</x:v>
      </x:c>
      <x:c r="C20" t="str">
        <x:v>USD</x:v>
      </x:c>
      <x:c r="D20" t="str">
        <x:v>2026-02-13</x:v>
      </x:c>
      <x:c r="E20" t="str">
        <x:v>https://www.sec.gov/Archives/edgar/data/18230/000001823026000008/0000018230-26-000008-index.htm</x:v>
      </x:c>
      <x:c r="F20" t="str">
        <x:v>Observed / frozen</x:v>
      </x:c>
      <x:c r="G20" t="str"/>
    </x:row>
    <x:row r="21">
      <x:c r="A21" t="str">
        <x:v>Risk-free rate</x:v>
      </x:c>
      <x:c r="B21" s="12" t="n">
        <x:v>0.04</x:v>
      </x:c>
      <x:c r="C21" t="str">
        <x:v>rate</x:v>
      </x:c>
      <x:c r="D21" t="str">
        <x:v>2026-09-13</x:v>
      </x:c>
      <x:c r="E21" t="str">
        <x:v>Written WACC policy; static offline default</x:v>
      </x:c>
      <x:c r="F21" t="str">
        <x:v>POLICY FALLBACK</x:v>
      </x:c>
      <x:c r="G21" t="str"/>
    </x:row>
    <x:row r="22">
      <x:c r="A22" t="str">
        <x:v>Market risk premium</x:v>
      </x:c>
      <x:c r="B22" s="12" t="n">
        <x:v>0.055</x:v>
      </x:c>
      <x:c r="C22" t="str">
        <x:v>rate</x:v>
      </x:c>
      <x:c r="D22" t="str">
        <x:v>2026-09-13</x:v>
      </x:c>
      <x:c r="E22" t="str">
        <x:v>Written WACC policy</x:v>
      </x:c>
      <x:c r="F22" t="str">
        <x:v>POLICY DEFAULT</x:v>
      </x:c>
      <x:c r="G22" t="str"/>
    </x:row>
    <x:row r="23">
      <x:c r="A23" t="str">
        <x:v>Base terminal growth</x:v>
      </x:c>
      <x:c r="B23" s="12" t="n">
        <x:v>0.025</x:v>
      </x:c>
      <x:c r="C23" t="str">
        <x:v>rate</x:v>
      </x:c>
      <x:c r="D23" t="str">
        <x:v>2026-09-13</x:v>
      </x:c>
      <x:c r="E23" t="str">
        <x:v>Written DCF policy</x:v>
      </x:c>
      <x:c r="F23" t="str">
        <x:v>POLICY DEFAULT</x:v>
      </x:c>
      <x:c r="G23" t="str"/>
    </x:row>
    <x:row r="24">
      <x:c r="A24" t="str">
        <x:v>D&amp;A / revenue</x:v>
      </x:c>
      <x:c r="B24" s="12" t="n">
        <x:v>0.03</x:v>
      </x:c>
      <x:c r="C24" t="str">
        <x:v>rate</x:v>
      </x:c>
      <x:c r="D24" t="str">
        <x:v>2026-09-13</x:v>
      </x:c>
      <x:c r="E24" t="str">
        <x:v>Written DCF policy</x:v>
      </x:c>
      <x:c r="F24" t="str">
        <x:v>POLICY DEFAULT</x:v>
      </x:c>
      <x:c r="G24" t="str"/>
    </x:row>
    <x:row r="25">
      <x:c r="A25" t="str">
        <x:v>CapEx / revenue</x:v>
      </x:c>
      <x:c r="B25" s="12" t="n">
        <x:v>0.04</x:v>
      </x:c>
      <x:c r="C25" t="str">
        <x:v>rate</x:v>
      </x:c>
      <x:c r="D25" t="str">
        <x:v>2026-09-13</x:v>
      </x:c>
      <x:c r="E25" t="str">
        <x:v>Written DCF policy</x:v>
      </x:c>
      <x:c r="F25" t="str">
        <x:v>POLICY DEFAULT</x:v>
      </x:c>
      <x:c r="G25" t="str"/>
    </x:row>
    <x:row r="26">
      <x:c r="A26" t="str">
        <x:v>Incremental NWC / revenue change</x:v>
      </x:c>
      <x:c r="B26" s="12" t="n">
        <x:v>0.01</x:v>
      </x:c>
      <x:c r="C26" t="str">
        <x:v>rate</x:v>
      </x:c>
      <x:c r="D26" t="str">
        <x:v>2026-09-13</x:v>
      </x:c>
      <x:c r="E26" t="str">
        <x:v>Written DCF policy</x:v>
      </x:c>
      <x:c r="F26" t="str">
        <x:v>POLICY DEFAULT</x:v>
      </x:c>
      <x:c r="G26" t="str"/>
    </x:row>
    <x:row r="27">
      <x:c r="A27" t="str">
        <x:v>Mature growth ceiling</x:v>
      </x:c>
      <x:c r="B27" s="12" t="n">
        <x:v>0.03</x:v>
      </x:c>
      <x:c r="C27" t="str">
        <x:v>rate</x:v>
      </x:c>
      <x:c r="D27" t="str">
        <x:v>2026-09-13</x:v>
      </x:c>
      <x:c r="E27" t="str">
        <x:v>Written DCF policy</x:v>
      </x:c>
      <x:c r="F27" t="str">
        <x:v>POLICY DEFAULT</x:v>
      </x:c>
      <x:c r="G27" t="str"/>
    </x:row>
    <x:row r="28">
      <x:c r="A28" t="str">
        <x:v>Years</x:v>
      </x:c>
      <x:c r="B28" s="13" t="n">
        <x:v>5</x:v>
      </x:c>
      <x:c r="C28" t="str">
        <x:v>years</x:v>
      </x:c>
      <x:c r="D28" t="str">
        <x:v>2026-09-13</x:v>
      </x:c>
      <x:c r="E28" t="str">
        <x:v>Written DCF policy</x:v>
      </x:c>
      <x:c r="F28" t="str">
        <x:v>POLICY DEFAULT</x:v>
      </x:c>
      <x:c r="G28" t="str"/>
    </x:row>
    <x:row r="29">
      <x:c r="A29" t="str">
        <x:v>Bear growth shift</x:v>
      </x:c>
      <x:c r="B29" s="12" t="n">
        <x:v>-0.02</x:v>
      </x:c>
      <x:c r="C29" t="str">
        <x:v>percentage points</x:v>
      </x:c>
      <x:c r="D29" t="str">
        <x:v>2026-09-13</x:v>
      </x:c>
      <x:c r="E29" t="str">
        <x:v>Validator scenario convention; absent from written spec</x:v>
      </x:c>
      <x:c r="F29" t="str">
        <x:v>SPEC GAP</x:v>
      </x:c>
      <x:c r="G29" t="str"/>
    </x:row>
    <x:row r="30">
      <x:c r="A30" t="str">
        <x:v>Bear margin shift</x:v>
      </x:c>
      <x:c r="B30" s="12" t="n">
        <x:v>-0.01</x:v>
      </x:c>
      <x:c r="C30" t="str">
        <x:v>percentage points</x:v>
      </x:c>
      <x:c r="D30" t="str">
        <x:v>2026-09-13</x:v>
      </x:c>
      <x:c r="E30" t="str">
        <x:v>Validator scenario convention; absent from written spec</x:v>
      </x:c>
      <x:c r="F30" t="str">
        <x:v>SPEC GAP</x:v>
      </x:c>
      <x:c r="G30" t="str"/>
    </x:row>
    <x:row r="31">
      <x:c r="A31" t="str">
        <x:v>Bear WACC shift</x:v>
      </x:c>
      <x:c r="B31" s="12" t="n">
        <x:v>0.01</x:v>
      </x:c>
      <x:c r="C31" t="str">
        <x:v>percentage points</x:v>
      </x:c>
      <x:c r="D31" t="str">
        <x:v>2026-09-13</x:v>
      </x:c>
      <x:c r="E31" t="str">
        <x:v>Validator scenario convention; absent from written spec</x:v>
      </x:c>
      <x:c r="F31" t="str">
        <x:v>SPEC GAP</x:v>
      </x:c>
      <x:c r="G31" t="str"/>
    </x:row>
    <x:row r="32">
      <x:c r="A32" t="str">
        <x:v>Bear terminal-g shift</x:v>
      </x:c>
      <x:c r="B32" s="12" t="n">
        <x:v>-0.005</x:v>
      </x:c>
      <x:c r="C32" t="str">
        <x:v>percentage points</x:v>
      </x:c>
      <x:c r="D32" t="str">
        <x:v>2026-09-13</x:v>
      </x:c>
      <x:c r="E32" t="str">
        <x:v>Validator scenario convention; absent from written spec</x:v>
      </x:c>
      <x:c r="F32" t="str">
        <x:v>SPEC GAP</x:v>
      </x:c>
      <x:c r="G32" t="str"/>
    </x:row>
    <x:row r="33">
      <x:c r="A33" t="str">
        <x:v>Bull growth shift</x:v>
      </x:c>
      <x:c r="B33" s="12" t="n">
        <x:v>0.02</x:v>
      </x:c>
      <x:c r="C33" t="str">
        <x:v>percentage points</x:v>
      </x:c>
      <x:c r="D33" t="str">
        <x:v>2026-09-13</x:v>
      </x:c>
      <x:c r="E33" t="str">
        <x:v>Validator scenario convention; absent from written spec</x:v>
      </x:c>
      <x:c r="F33" t="str">
        <x:v>SPEC GAP</x:v>
      </x:c>
      <x:c r="G33" t="str"/>
    </x:row>
    <x:row r="34">
      <x:c r="A34" t="str">
        <x:v>Bull margin shift</x:v>
      </x:c>
      <x:c r="B34" s="12" t="n">
        <x:v>0.01</x:v>
      </x:c>
      <x:c r="C34" t="str">
        <x:v>percentage points</x:v>
      </x:c>
      <x:c r="D34" t="str">
        <x:v>2026-09-13</x:v>
      </x:c>
      <x:c r="E34" t="str">
        <x:v>Validator scenario convention; absent from written spec</x:v>
      </x:c>
      <x:c r="F34" t="str">
        <x:v>SPEC GAP</x:v>
      </x:c>
      <x:c r="G34" t="str"/>
    </x:row>
    <x:row r="35">
      <x:c r="A35" t="str">
        <x:v>Bull WACC shift</x:v>
      </x:c>
      <x:c r="B35" s="12" t="n">
        <x:v>-0.01</x:v>
      </x:c>
      <x:c r="C35" t="str">
        <x:v>percentage points</x:v>
      </x:c>
      <x:c r="D35" t="str">
        <x:v>2026-09-13</x:v>
      </x:c>
      <x:c r="E35" t="str">
        <x:v>Validator scenario convention; absent from written spec</x:v>
      </x:c>
      <x:c r="F35" t="str">
        <x:v>SPEC GAP</x:v>
      </x:c>
      <x:c r="G35" t="str"/>
    </x:row>
    <x:row r="36">
      <x:c r="A36" t="str">
        <x:v>Bull terminal-g shift</x:v>
      </x:c>
      <x:c r="B36" s="12" t="n">
        <x:v>0.005</x:v>
      </x:c>
      <x:c r="C36" t="str">
        <x:v>percentage points</x:v>
      </x:c>
      <x:c r="D36" t="str">
        <x:v>2026-09-13</x:v>
      </x:c>
      <x:c r="E36" t="str">
        <x:v>Validator scenario convention; absent from written spec</x:v>
      </x:c>
      <x:c r="F36" t="str">
        <x:v>SPEC GAP</x:v>
      </x:c>
      <x:c r="G36" t="str"/>
    </x:row>
    <x:row r="37">
      <x:c r="A37" t="str">
        <x:v>Tax fallback</x:v>
      </x:c>
      <x:c r="B37" s="12" t="n">
        <x:v>0.21</x:v>
      </x:c>
      <x:c r="C37" t="str">
        <x:v>rate</x:v>
      </x:c>
      <x:c r="D37" t="str">
        <x:v>2026-09-13</x:v>
      </x:c>
      <x:c r="E37" t="str">
        <x:v>Written WACC policy</x:v>
      </x:c>
      <x:c r="F37" t="str">
        <x:v>POLICY FALLBACK</x:v>
      </x:c>
      <x:c r="G37" t="str"/>
    </x:row>
    <x:row r="38">
      <x:c r="A38" t="str">
        <x:v>Cost-debt fallback</x:v>
      </x:c>
      <x:c r="B38" s="12" t="n">
        <x:v>0.05</x:v>
      </x:c>
      <x:c r="C38" t="str">
        <x:v>rate</x:v>
      </x:c>
      <x:c r="D38" t="str">
        <x:v>2026-09-13</x:v>
      </x:c>
      <x:c r="E38" t="str">
        <x:v>Written WACC policy</x:v>
      </x:c>
      <x:c r="F38" t="str">
        <x:v>POLICY FALLBACK</x:v>
      </x:c>
      <x:c r="G38" t="str"/>
    </x:row>
    <x:row r="39">
      <x:c r="A39" t="str">
        <x:v>Growth fallback</x:v>
      </x:c>
      <x:c r="B39" s="12" t="n">
        <x:v>0.08</x:v>
      </x:c>
      <x:c r="C39" t="str">
        <x:v>rate</x:v>
      </x:c>
      <x:c r="D39" t="str">
        <x:v>2026-09-13</x:v>
      </x:c>
      <x:c r="E39" t="str">
        <x:v>Written DCF policy</x:v>
      </x:c>
      <x:c r="F39" t="str">
        <x:v>POLICY FALLBACK</x:v>
      </x:c>
      <x:c r="G39" t="str"/>
    </x:row>
    <x:row r="40">
      <x:c r="A40" t="str">
        <x:v>Margin fallback</x:v>
      </x:c>
      <x:c r="B40" s="12" t="n">
        <x:v>0.15</x:v>
      </x:c>
      <x:c r="C40" t="str">
        <x:v>rate</x:v>
      </x:c>
      <x:c r="D40" t="str">
        <x:v>2026-09-13</x:v>
      </x:c>
      <x:c r="E40" t="str">
        <x:v>Written DCF policy</x:v>
      </x:c>
      <x:c r="F40" t="str">
        <x:v>POLICY FALLBACK</x:v>
      </x:c>
      <x:c r="G40" t="str"/>
    </x:row>
    <x:row r="43">
      <x:c r="A43" t="str">
        <x:v>Elapsed fiscal years</x:v>
      </x:c>
      <x:c r="B43" s="14" t="n">
        <x:f>(DATE(2025,12,31)-DATE(2021,12,31))/365.25</x:f>
        <x:v>4</x:v>
      </x:c>
      <x:c r="H43" t="str">
        <x:v>CAGR date basis</x:v>
      </x:c>
      <x:c r="I43" t="str">
        <x:v>2021-12-31 to 2025-12-31; actual days / 365.25</x:v>
      </x:c>
    </x:row>
    <x:row r="44">
      <x:c r="A44" t="str">
        <x:v>Historical revenue CAGR</x:v>
      </x:c>
      <x:c r="B44" s="15" t="n">
        <x:f>IF(AND(B6&gt;0,B10&gt;0,B43&gt;0),(B10/B6)^(1/B43)-1,NA())</x:f>
        <x:v>0.073095112192894</x:v>
      </x:c>
    </x:row>
    <x:row r="45">
      <x:c r="A45" t="str">
        <x:v>Resolved growth</x:v>
      </x:c>
      <x:c r="B45" s="15" t="n">
        <x:f>IF(ISNUMBER(B44),MIN(25%,B44),B39)</x:f>
        <x:v>0.073095112192894</x:v>
      </x:c>
    </x:row>
    <x:row r="46">
      <x:c r="A46" t="str">
        <x:v>Average EBIT margin</x:v>
      </x:c>
      <x:c r="B46" s="15" t="n">
        <x:f>AVERAGE(D6:D10)</x:f>
        <x:v>0.1655950160952213</x:v>
      </x:c>
    </x:row>
    <x:row r="47">
      <x:c r="A47" t="str">
        <x:v>Resolved margin</x:v>
      </x:c>
      <x:c r="B47" s="15" t="n">
        <x:f>IF(ISNUMBER(B46),B46,B40)</x:f>
        <x:v>0.1655950160952213</x:v>
      </x:c>
    </x:row>
    <x:row r="48">
      <x:c r="A48" t="str">
        <x:v>Observed tax ratio</x:v>
      </x:c>
      <x:c r="B48" s="15" t="n">
        <x:f>IF(B19&gt;0,B20/B19,NA())</x:f>
        <x:v>0.23984056840828352</x:v>
      </x:c>
    </x:row>
    <x:row r="49">
      <x:c r="A49" t="str">
        <x:v>Resolved tax</x:v>
      </x:c>
      <x:c r="B49" s="15" t="n">
        <x:f>IF(ISNUMBER(B48),B48,B37)</x:f>
        <x:v>0.23984056840828352</x:v>
      </x:c>
    </x:row>
    <x:row r="50">
      <x:c r="A50" t="str">
        <x:v>Tax provenance</x:v>
      </x:c>
      <x:c r="B50" s="16" t="str">
        <x:f>IF(ISNUMBER(B48),"OBSERVED","FALLBACK")</x:f>
        <x:v>OBSERVED</x:v>
      </x:c>
    </x:row>
    <x:row r="51">
      <x:c r="A51" t="str">
        <x:v>Cost of debt</x:v>
      </x:c>
      <x:c r="B51" s="15" t="n">
        <x:f>IF(B16&gt;0,ABS(B18)/B16,B38)</x:f>
        <x:v>0.050869925434962715</x:v>
      </x:c>
    </x:row>
    <x:row r="52">
      <x:c r="A52" t="str">
        <x:v>Debt-cost provenance</x:v>
      </x:c>
      <x:c r="B52" s="16" t="str">
        <x:f>IF(B16&gt;0,"OBSERVED","FALLBACK")</x:f>
        <x:v>OBSERVED</x:v>
      </x:c>
    </x:row>
    <x:row r="53">
      <x:c r="A53" t="str">
        <x:v>Market capitalization</x:v>
      </x:c>
      <x:c r="B53" s="17" t="n">
        <x:f>B13*B14</x:f>
        <x:v>407271951654</x:v>
      </x:c>
    </x:row>
    <x:row r="54">
      <x:c r="A54" t="str">
        <x:v>Total capital</x:v>
      </x:c>
      <x:c r="B54" s="17" t="n">
        <x:f>B53+B16</x:f>
        <x:v>443481951654</x:v>
      </x:c>
    </x:row>
    <x:row r="55">
      <x:c r="A55" t="str">
        <x:v>Cost of equity</x:v>
      </x:c>
      <x:c r="B55" s="15" t="n">
        <x:f>B21+B15*B22</x:f>
        <x:v>0.128275</x:v>
      </x:c>
    </x:row>
    <x:row r="56">
      <x:c r="A56" t="str">
        <x:v>After-tax debt cost</x:v>
      </x:c>
      <x:c r="B56" s="15" t="n">
        <x:f>B51*(1-B49)</x:f>
        <x:v>0.03866925360375426</x:v>
      </x:c>
    </x:row>
    <x:row r="57">
      <x:c r="A57" t="str">
        <x:v>Equity weight</x:v>
      </x:c>
      <x:c r="B57" s="15" t="n">
        <x:f>B53/B54</x:f>
        <x:v>0.9183506795147987</x:v>
      </x:c>
    </x:row>
    <x:row r="58">
      <x:c r="A58" t="str">
        <x:v>Debt weight</x:v>
      </x:c>
      <x:c r="B58" s="15" t="n">
        <x:f>B16/B54</x:f>
        <x:v>0.08164932048520131</x:v>
      </x:c>
    </x:row>
    <x:row r="59">
      <x:c r="A59" t="str">
        <x:v>Raw WACC</x:v>
      </x:c>
      <x:c r="B59" s="15" t="n">
        <x:f>B57*B55+B58*B56</x:f>
        <x:v>0.12095875169517725</x:v>
      </x:c>
    </x:row>
    <x:row r="60">
      <x:c r="A60" t="str">
        <x:v>Bounded WACC</x:v>
      </x:c>
      <x:c r="B60" s="15" t="n">
        <x:f>MAX(5%,MIN(20%,B59))</x:f>
        <x:v>0.12095875169517725</x:v>
      </x:c>
    </x:row>
    <x:row r="64">
      <x:c r="A64" s="8" t="str">
        <x:v>Base • 5 annual forecast years</x:v>
      </x:c>
      <x:c r="B64" s="8"/>
      <x:c r="C64" s="8" t="str">
        <x:v>Year 1</x:v>
      </x:c>
      <x:c r="D64" s="8" t="str">
        <x:v>Year 2</x:v>
      </x:c>
      <x:c r="E64" s="8" t="str">
        <x:v>Year 3</x:v>
      </x:c>
      <x:c r="F64" s="8" t="str">
        <x:v>Year 4</x:v>
      </x:c>
      <x:c r="G64" s="8" t="str">
        <x:v>Year 5</x:v>
      </x:c>
      <x:c r="H64" s="8"/>
      <x:c r="I64" s="8"/>
      <x:c r="J64" s="8"/>
      <x:c r="K64" s="8"/>
      <x:c r="L64" s="8"/>
    </x:row>
    <x:row r="65">
      <x:c r="A65" t="str">
        <x:v>Growth</x:v>
      </x:c>
      <x:c r="C65" s="1" t="n">
        <x:f>$B$45</x:f>
        <x:v>0.073095112192894</x:v>
      </x:c>
      <x:c r="D65" s="1" t="n">
        <x:f>$B$45</x:f>
        <x:v>0.073095112192894</x:v>
      </x:c>
      <x:c r="E65" s="1" t="n">
        <x:f>IF($B$45&gt;$B$27,$B$27+($B$45-$B$27)*2/3,$B$45)</x:f>
        <x:v>0.05873007479526267</x:v>
      </x:c>
      <x:c r="F65" s="1" t="n">
        <x:f>IF($B$45&gt;$B$27,$B$27+($B$45-$B$27)/3,$B$45)</x:f>
        <x:v>0.044365037397631334</x:v>
      </x:c>
      <x:c r="G65" s="1" t="n">
        <x:f>IF($B$45&gt;$B$27,$B$27,$B$45)</x:f>
        <x:v>0.03</x:v>
      </x:c>
    </x:row>
    <x:row r="66">
      <x:c r="A66" t="str">
        <x:v>EBIT margin</x:v>
      </x:c>
      <x:c r="C66" s="1" t="n">
        <x:f>$B$47</x:f>
        <x:v>0.1655950160952213</x:v>
      </x:c>
      <x:c r="D66" s="1" t="n">
        <x:f>$B$47</x:f>
        <x:v>0.1655950160952213</x:v>
      </x:c>
      <x:c r="E66" s="1" t="n">
        <x:f>$B$47</x:f>
        <x:v>0.1655950160952213</x:v>
      </x:c>
      <x:c r="F66" s="1" t="n">
        <x:f>$B$47</x:f>
        <x:v>0.1655950160952213</x:v>
      </x:c>
      <x:c r="G66" s="1" t="n">
        <x:f>$B$47</x:f>
        <x:v>0.1655950160952213</x:v>
      </x:c>
    </x:row>
    <x:row r="67">
      <x:c r="A67" t="str">
        <x:v>Revenue USD</x:v>
      </x:c>
      <x:c r="C67" s="2" t="n">
        <x:f>$B$10*(1+C65)</x:f>
        <x:v>72529425538.00551</x:v>
      </x:c>
      <x:c r="D67" s="2" t="n">
        <x:f>C67*(1+D65)</x:f>
        <x:v>77830972034.99217</x:v>
      </x:c>
      <x:c r="E67" s="2" t="n">
        <x:f>D67*(1+E65)</x:f>
        <x:v>82401990843.99525</x:v>
      </x:c>
      <x:c r="F67" s="2" t="n">
        <x:f>E67*(1+F65)</x:f>
        <x:v>86057758249.42839</x:v>
      </x:c>
      <x:c r="G67" s="2" t="n">
        <x:f>F67*(1+G65)</x:f>
        <x:v>88639490996.91124</x:v>
      </x:c>
    </x:row>
    <x:row r="68">
      <x:c r="A68" t="str">
        <x:v>EBIT USD</x:v>
      </x:c>
      <x:c r="C68" s="2" t="n">
        <x:f>C67*C66</x:f>
        <x:v>12010511389.343176</x:v>
      </x:c>
      <x:c r="D68" s="2" t="n">
        <x:f>D67*D66</x:f>
        <x:v>12888421066.841248</x:v>
      </x:c>
      <x:c r="E68" s="2" t="n">
        <x:f>E67*E66</x:f>
        <x:v>13645359000.089672</x:v>
      </x:c>
      <x:c r="F68" s="2" t="n">
        <x:f>F67*F66</x:f>
        <x:v>14250735862.432756</x:v>
      </x:c>
      <x:c r="G68" s="2" t="n">
        <x:f>G67*G66</x:f>
        <x:v>14678257938.305738</x:v>
      </x:c>
    </x:row>
    <x:row r="69">
      <x:c r="A69" t="str">
        <x:v>NOPAT USD</x:v>
      </x:c>
      <x:c r="C69" s="2" t="n">
        <x:f>C68*(1-$B$49)</x:f>
        <x:v>9129903510.848946</x:v>
      </x:c>
      <x:c r="D69" s="2" t="n">
        <x:f>D68*(1-$B$49)</x:f>
        <x:v>9797254832.284748</x:v>
      </x:c>
      <x:c r="E69" s="2" t="n">
        <x:f>E68*(1-$B$49)</x:f>
        <x:v>10372648341.373077</x:v>
      </x:c>
      <x:c r="F69" s="2" t="n">
        <x:f>F68*(1-$B$49)</x:f>
        <x:v>10832831272.950575</x:v>
      </x:c>
      <x:c r="G69" s="2" t="n">
        <x:f>G68*(1-$B$49)</x:f>
        <x:v>11157816211.139091</x:v>
      </x:c>
    </x:row>
    <x:row r="70">
      <x:c r="A70" t="str">
        <x:v>D&amp;A USD</x:v>
      </x:c>
      <x:c r="C70" s="2" t="n">
        <x:f>C67*$B$24</x:f>
        <x:v>2175882766.1401653</x:v>
      </x:c>
      <x:c r="D70" s="2" t="n">
        <x:f>D67*$B$24</x:f>
        <x:v>2334929161.049765</x:v>
      </x:c>
      <x:c r="E70" s="2" t="n">
        <x:f>E67*$B$24</x:f>
        <x:v>2472059725.3198576</x:v>
      </x:c>
      <x:c r="F70" s="2" t="n">
        <x:f>F67*$B$24</x:f>
        <x:v>2581732747.4828515</x:v>
      </x:c>
      <x:c r="G70" s="2" t="n">
        <x:f>G67*$B$24</x:f>
        <x:v>2659184729.907337</x:v>
      </x:c>
    </x:row>
    <x:row r="71">
      <x:c r="A71" t="str">
        <x:v>CapEx USD</x:v>
      </x:c>
      <x:c r="C71" s="2" t="n">
        <x:f>C67*$B$25</x:f>
        <x:v>2901177021.5202203</x:v>
      </x:c>
      <x:c r="D71" s="2" t="n">
        <x:f>D67*$B$25</x:f>
        <x:v>3113238881.399687</x:v>
      </x:c>
      <x:c r="E71" s="2" t="n">
        <x:f>E67*$B$25</x:f>
        <x:v>3296079633.7598104</x:v>
      </x:c>
      <x:c r="F71" s="2" t="n">
        <x:f>F67*$B$25</x:f>
        <x:v>3442310329.9771357</x:v>
      </x:c>
      <x:c r="G71" s="2" t="n">
        <x:f>G67*$B$25</x:f>
        <x:v>3545579639.8764496</x:v>
      </x:c>
    </x:row>
    <x:row r="72">
      <x:c r="A72" t="str">
        <x:v>Increase in NWC USD</x:v>
      </x:c>
      <x:c r="C72" s="2" t="n">
        <x:f>(C67-$B$10)*$B$26</x:f>
        <x:v>49404255.380055085</x:v>
      </x:c>
      <x:c r="D72" s="2" t="n">
        <x:f>(D67-C67)*$B$26</x:f>
        <x:v>53015464.96986664</x:v>
      </x:c>
      <x:c r="E72" s="2" t="n">
        <x:f>(E67-D67)*$B$26</x:f>
        <x:v>45710188.09003083</x:v>
      </x:c>
      <x:c r="F72" s="2" t="n">
        <x:f>(F67-E67)*$B$26</x:f>
        <x:v>36557674.05433136</x:v>
      </x:c>
      <x:c r="G72" s="2" t="n">
        <x:f>(G67-F67)*$B$26</x:f>
        <x:v>25817327.474828493</x:v>
      </x:c>
    </x:row>
    <x:row r="73">
      <x:c r="A73" t="str">
        <x:v>FCF USD</x:v>
      </x:c>
      <x:c r="C73" s="2" t="n">
        <x:f>C69+C70-C71-C72</x:f>
        <x:v>8355205000.088836</x:v>
      </x:c>
      <x:c r="D73" s="2" t="n">
        <x:f>D69+D70-D71-D72</x:f>
        <x:v>8965929646.96496</x:v>
      </x:c>
      <x:c r="E73" s="2" t="n">
        <x:f>E69+E70-E71-E72</x:f>
        <x:v>9502918244.843094</x:v>
      </x:c>
      <x:c r="F73" s="2" t="n">
        <x:f>F69+F70-F71-F72</x:f>
        <x:v>9935696016.40196</x:v>
      </x:c>
      <x:c r="G73" s="2" t="n">
        <x:f>G69+G70-G71-G72</x:f>
        <x:v>10245603973.69515</x:v>
      </x:c>
    </x:row>
    <x:row r="74">
      <x:c r="A74" t="str">
        <x:v>PV of FCF USD</x:v>
      </x:c>
      <x:c r="C74" s="2" t="n">
        <x:f>C73/(1+$B$77)^1</x:f>
        <x:v>7453623951.33061</x:v>
      </x:c>
      <x:c r="D74" s="2" t="n">
        <x:f>D73/(1+$B$77)^2</x:f>
        <x:v>7135362847.384937</x:v>
      </x:c>
      <x:c r="E74" s="2" t="n">
        <x:f>E73/(1+$B$77)^3</x:f>
        <x:v>6746648700.875724</x:v>
      </x:c>
      <x:c r="F74" s="2" t="n">
        <x:f>F73/(1+$B$77)^4</x:f>
        <x:v>6292739703.769449</x:v>
      </x:c>
      <x:c r="G74" s="2" t="n">
        <x:f>G73/(1+$B$77)^5</x:f>
        <x:v>5788811459.75052</x:v>
      </x:c>
    </x:row>
    <x:row r="77">
      <x:c r="A77" t="str">
        <x:v>WACC</x:v>
      </x:c>
      <x:c r="B77" s="1" t="n">
        <x:f>MAX(5%,MIN(20%,$B$60))</x:f>
        <x:v>0.12095875169517725</x:v>
      </x:c>
    </x:row>
    <x:row r="78">
      <x:c r="A78" t="str">
        <x:v>Terminal growth</x:v>
      </x:c>
      <x:c r="B78" s="1" t="n">
        <x:f>MAX(0%,MIN(5%,$B$23))</x:f>
        <x:v>0.025</x:v>
      </x:c>
    </x:row>
    <x:row r="79">
      <x:c r="A79" t="str">
        <x:v>Terminal FCF</x:v>
      </x:c>
      <x:c r="B79" s="2" t="n">
        <x:f>G73</x:f>
        <x:v>10245603973.69515</x:v>
      </x:c>
    </x:row>
    <x:row r="80">
      <x:c r="A80" t="str">
        <x:v>Undiscounted terminal value</x:v>
      </x:c>
      <x:c r="B80" s="2" t="n">
        <x:f>B79*(1+B78)/(B77-B78)</x:f>
        <x:v>109440190576.85732</x:v>
      </x:c>
    </x:row>
    <x:row r="81">
      <x:c r="A81" t="str">
        <x:v>PV terminal value</x:v>
      </x:c>
      <x:c r="B81" s="2" t="n">
        <x:f>B80/(1+B77)^5</x:f>
        <x:v>61834190643.629364</x:v>
      </x:c>
    </x:row>
    <x:row r="82">
      <x:c r="A82" t="str">
        <x:v>PV annual FCF</x:v>
      </x:c>
      <x:c r="B82" s="2" t="n">
        <x:f>SUM(C74:G74)</x:f>
        <x:v>33417186663.111237</x:v>
      </x:c>
    </x:row>
    <x:row r="83">
      <x:c r="A83" t="str">
        <x:v>Enterprise value</x:v>
      </x:c>
      <x:c r="B83" s="2" t="n">
        <x:f>B81+B82</x:f>
        <x:v>95251377306.7406</x:v>
      </x:c>
    </x:row>
    <x:row r="84">
      <x:c r="A84" t="str">
        <x:v>Equity value</x:v>
      </x:c>
      <x:c r="B84" s="2" t="n">
        <x:f>B83-$B$16+$B$17</x:f>
        <x:v>69021377306.7406</x:v>
      </x:c>
    </x:row>
    <x:row r="85">
      <x:c r="A85" t="str">
        <x:v>Per-share value</x:v>
      </x:c>
      <x:c r="B85" s="5" t="n">
        <x:f>B84/$B$14</x:f>
        <x:v>150.15259471078178</x:v>
      </x:c>
    </x:row>
    <x:row r="86">
      <x:c r="A86" t="str">
        <x:v>PV terminal / EV</x:v>
      </x:c>
      <x:c r="B86" s="1" t="n">
        <x:f>IF(B83&gt;0,B81/B83,"N/A: EV&lt;=0")</x:f>
        <x:v>0.6491684676065422</x:v>
      </x:c>
    </x:row>
    <x:row r="94">
      <x:c r="A94" s="8" t="str">
        <x:v>Bear • 5 annual forecast years</x:v>
      </x:c>
      <x:c r="B94" s="8"/>
      <x:c r="C94" s="8" t="str">
        <x:v>Year 1</x:v>
      </x:c>
      <x:c r="D94" s="8" t="str">
        <x:v>Year 2</x:v>
      </x:c>
      <x:c r="E94" s="8" t="str">
        <x:v>Year 3</x:v>
      </x:c>
      <x:c r="F94" s="8" t="str">
        <x:v>Year 4</x:v>
      </x:c>
      <x:c r="G94" s="8" t="str">
        <x:v>Year 5</x:v>
      </x:c>
      <x:c r="H94" s="8"/>
      <x:c r="I94" s="8"/>
      <x:c r="J94" s="8"/>
      <x:c r="K94" s="8"/>
      <x:c r="L94" s="8"/>
    </x:row>
    <x:row r="95">
      <x:c r="A95" t="str">
        <x:v>Growth</x:v>
      </x:c>
      <x:c r="C95" s="1" t="n">
        <x:f>$B$45+$B$29</x:f>
        <x:v>0.05309511219289399</x:v>
      </x:c>
      <x:c r="D95" s="1" t="n">
        <x:f>$B$45+$B$29</x:f>
        <x:v>0.05309511219289399</x:v>
      </x:c>
      <x:c r="E95" s="1" t="n">
        <x:f>IF($B$45&gt;$B$27,$B$27+($B$45-$B$27)*2/3,$B$45)+$B$29</x:f>
        <x:v>0.038730074795262664</x:v>
      </x:c>
      <x:c r="F95" s="1" t="n">
        <x:f>IF($B$45&gt;$B$27,$B$27+($B$45-$B$27)/3,$B$45)+$B$29</x:f>
        <x:v>0.024365037397631333</x:v>
      </x:c>
      <x:c r="G95" s="1" t="n">
        <x:f>IF($B$45&gt;$B$27,$B$27,$B$45)+$B$29</x:f>
        <x:v>0.009999999999999998</x:v>
      </x:c>
    </x:row>
    <x:row r="96">
      <x:c r="A96" t="str">
        <x:v>EBIT margin</x:v>
      </x:c>
      <x:c r="C96" s="1" t="n">
        <x:f>$B$47+$B$30</x:f>
        <x:v>0.15559501609522128</x:v>
      </x:c>
      <x:c r="D96" s="1" t="n">
        <x:f>$B$47+$B$30</x:f>
        <x:v>0.15559501609522128</x:v>
      </x:c>
      <x:c r="E96" s="1" t="n">
        <x:f>$B$47+$B$30</x:f>
        <x:v>0.15559501609522128</x:v>
      </x:c>
      <x:c r="F96" s="1" t="n">
        <x:f>$B$47+$B$30</x:f>
        <x:v>0.15559501609522128</x:v>
      </x:c>
      <x:c r="G96" s="1" t="n">
        <x:f>$B$47+$B$30</x:f>
        <x:v>0.15559501609522128</x:v>
      </x:c>
    </x:row>
    <x:row r="97">
      <x:c r="A97" t="str">
        <x:v>Revenue USD</x:v>
      </x:c>
      <x:c r="C97" s="2" t="n">
        <x:f>$B$10*(1+C95)</x:f>
        <x:v>71177645538.00551</x:v>
      </x:c>
      <x:c r="D97" s="2" t="n">
        <x:f>C97*(1+D95)</x:f>
        <x:v>74956830613.47195</x:v>
      </x:c>
      <x:c r="E97" s="2" t="n">
        <x:f>D97*(1+E95)</x:f>
        <x:v>77859914269.54755</x:v>
      </x:c>
      <x:c r="F97" s="2" t="n">
        <x:f>E97*(1+F95)</x:f>
        <x:v>79756973992.50145</x:v>
      </x:c>
      <x:c r="G97" s="2" t="n">
        <x:f>F97*(1+G95)</x:f>
        <x:v>80554543732.42647</x:v>
      </x:c>
    </x:row>
    <x:row r="98">
      <x:c r="A98" t="str">
        <x:v>EBIT USD</x:v>
      </x:c>
      <x:c r="C98" s="2" t="n">
        <x:f>C97*C96</x:f>
        <x:v>11074886903.105923</x:v>
      </x:c>
      <x:c r="D98" s="2" t="n">
        <x:f>D97*D96</x:f>
        <x:v>11662909265.749945</x:v>
      </x:c>
      <x:c r="E98" s="2" t="n">
        <x:f>E97*E96</x:f>
        <x:v>12114614613.942799</x:v>
      </x:c>
      <x:c r="F98" s="2" t="n">
        <x:f>F97*F96</x:f>
        <x:v>12409787652.069408</x:v>
      </x:c>
      <x:c r="G98" s="2" t="n">
        <x:f>G97*G96</x:f>
        <x:v>12533885528.590103</x:v>
      </x:c>
    </x:row>
    <x:row r="99">
      <x:c r="A99" t="str">
        <x:v>NOPAT USD</x:v>
      </x:c>
      <x:c r="C99" s="2" t="n">
        <x:f>C98*(1-$B$49)</x:f>
        <x:v>8418679733.207543</x:v>
      </x:c>
      <x:c r="D99" s="2" t="n">
        <x:f>D98*(1-$B$49)</x:f>
        <x:v>8865670478.158241</x:v>
      </x:c>
      <x:c r="E99" s="2" t="n">
        <x:f>E98*(1-$B$49)</x:f>
        <x:v>9209038558.88746</x:v>
      </x:c>
      <x:c r="F99" s="2" t="n">
        <x:f>F98*(1-$B$49)</x:f>
        <x:v>9433417127.770983</x:v>
      </x:c>
      <x:c r="G99" s="2" t="n">
        <x:f>G98*(1-$B$49)</x:f>
        <x:v>9527751299.048695</x:v>
      </x:c>
    </x:row>
    <x:row r="100">
      <x:c r="A100" t="str">
        <x:v>D&amp;A USD</x:v>
      </x:c>
      <x:c r="C100" s="2" t="n">
        <x:f>C97*$B$24</x:f>
        <x:v>2135329366.140165</x:v>
      </x:c>
      <x:c r="D100" s="2" t="n">
        <x:f>D97*$B$24</x:f>
        <x:v>2248704918.4041586</x:v>
      </x:c>
      <x:c r="E100" s="2" t="n">
        <x:f>E97*$B$24</x:f>
        <x:v>2335797428.0864263</x:v>
      </x:c>
      <x:c r="F100" s="2" t="n">
        <x:f>F97*$B$24</x:f>
        <x:v>2392709219.7750435</x:v>
      </x:c>
      <x:c r="G100" s="2" t="n">
        <x:f>G97*$B$24</x:f>
        <x:v>2416636311.972794</x:v>
      </x:c>
    </x:row>
    <x:row r="101">
      <x:c r="A101" t="str">
        <x:v>CapEx USD</x:v>
      </x:c>
      <x:c r="C101" s="2" t="n">
        <x:f>C97*$B$25</x:f>
        <x:v>2847105821.5202203</x:v>
      </x:c>
      <x:c r="D101" s="2" t="n">
        <x:f>D97*$B$25</x:f>
        <x:v>2998273224.5388784</x:v>
      </x:c>
      <x:c r="E101" s="2" t="n">
        <x:f>E97*$B$25</x:f>
        <x:v>3114396570.781902</x:v>
      </x:c>
      <x:c r="F101" s="2" t="n">
        <x:f>F97*$B$25</x:f>
        <x:v>3190278959.700058</x:v>
      </x:c>
      <x:c r="G101" s="2" t="n">
        <x:f>G97*$B$25</x:f>
        <x:v>3222181749.2970586</x:v>
      </x:c>
    </x:row>
    <x:row r="102">
      <x:c r="A102" t="str">
        <x:v>Increase in NWC USD</x:v>
      </x:c>
      <x:c r="C102" s="2" t="n">
        <x:f>(C97-$B$10)*$B$26</x:f>
        <x:v>35886455.380055085</x:v>
      </x:c>
      <x:c r="D102" s="2" t="n">
        <x:f>(D97-C97)*$B$26</x:f>
        <x:v>37791850.75466446</x:v>
      </x:c>
      <x:c r="E102" s="2" t="n">
        <x:f>(E97-D97)*$B$26</x:f>
        <x:v>29030836.56075592</x:v>
      </x:c>
      <x:c r="F102" s="2" t="n">
        <x:f>(F97-E97)*$B$26</x:f>
        <x:v>18970597.229539033</x:v>
      </x:c>
      <x:c r="G102" s="2" t="n">
        <x:f>(G97-F97)*$B$26</x:f>
        <x:v>7975697.399250183</x:v>
      </x:c>
    </x:row>
    <x:row r="103">
      <x:c r="A103" t="str">
        <x:v>FCF USD</x:v>
      </x:c>
      <x:c r="C103" s="2" t="n">
        <x:f>C99+C100-C101-C102</x:f>
        <x:v>7671016822.4474325</x:v>
      </x:c>
      <x:c r="D103" s="2" t="n">
        <x:f>D99+D100-D101-D102</x:f>
        <x:v>8078310321.268858</x:v>
      </x:c>
      <x:c r="E103" s="2" t="n">
        <x:f>E99+E100-E101-E102</x:f>
        <x:v>8401408579.631228</x:v>
      </x:c>
      <x:c r="F103" s="2" t="n">
        <x:f>F99+F100-F101-F102</x:f>
        <x:v>8616876790.616428</x:v>
      </x:c>
      <x:c r="G103" s="2" t="n">
        <x:f>G99+G100-G101-G102</x:f>
        <x:v>8714230164.32518</x:v>
      </x:c>
    </x:row>
    <x:row r="104">
      <x:c r="A104" t="str">
        <x:v>PV of FCF USD</x:v>
      </x:c>
      <x:c r="C104" s="2" t="n">
        <x:f>C103/(1+$B$107)^1</x:f>
        <x:v>6782755614.163168</x:v>
      </x:c>
      <x:c r="D104" s="2" t="n">
        <x:f>D103/(1+$B$107)^2</x:f>
        <x:v>6315780105.833017</x:v>
      </x:c>
      <x:c r="E104" s="2" t="n">
        <x:f>E103/(1+$B$107)^3</x:f>
        <x:v>5807802094.972847</x:v>
      </x:c>
      <x:c r="F104" s="2" t="n">
        <x:f>F103/(1+$B$107)^4</x:f>
        <x:v>5266993963.858872</x:v>
      </x:c>
      <x:c r="G104" s="2" t="n">
        <x:f>G103/(1+$B$107)^5</x:f>
        <x:v>4709721192.208416</x:v>
      </x:c>
    </x:row>
    <x:row r="107">
      <x:c r="A107" t="str">
        <x:v>WACC</x:v>
      </x:c>
      <x:c r="B107" s="1" t="n">
        <x:f>MAX(5%,MIN(20%,$B$60+$B$31))</x:f>
        <x:v>0.13095875169517726</x:v>
      </x:c>
    </x:row>
    <x:row r="108">
      <x:c r="A108" t="str">
        <x:v>Terminal growth</x:v>
      </x:c>
      <x:c r="B108" s="1" t="n">
        <x:f>MAX(0%,MIN(5%,$B$23+$B$32))</x:f>
        <x:v>0.02</x:v>
      </x:c>
    </x:row>
    <x:row r="109">
      <x:c r="A109" t="str">
        <x:v>Terminal FCF</x:v>
      </x:c>
      <x:c r="B109" s="2" t="n">
        <x:f>G103</x:f>
        <x:v>8714230164.32518</x:v>
      </x:c>
    </x:row>
    <x:row r="110">
      <x:c r="A110" t="str">
        <x:v>Undiscounted terminal value</x:v>
      </x:c>
      <x:c r="B110" s="2" t="n">
        <x:f>B109*(1+B108)/(B107-B108)</x:f>
        <x:v>80106477693.89078</x:v>
      </x:c>
    </x:row>
    <x:row r="111">
      <x:c r="A111" t="str">
        <x:v>PV terminal value</x:v>
      </x:c>
      <x:c r="B111" s="2" t="n">
        <x:f>B110/(1+B107)^5</x:f>
        <x:v>43294607614.63651</x:v>
      </x:c>
    </x:row>
    <x:row r="112">
      <x:c r="A112" t="str">
        <x:v>PV annual FCF</x:v>
      </x:c>
      <x:c r="B112" s="2" t="n">
        <x:f>SUM(C104:G104)</x:f>
        <x:v>28883052971.03632</x:v>
      </x:c>
    </x:row>
    <x:row r="113">
      <x:c r="A113" t="str">
        <x:v>Enterprise value</x:v>
      </x:c>
      <x:c r="B113" s="2" t="n">
        <x:f>B111+B112</x:f>
        <x:v>72177660585.67284</x:v>
      </x:c>
    </x:row>
    <x:row r="114">
      <x:c r="A114" t="str">
        <x:v>Equity value</x:v>
      </x:c>
      <x:c r="B114" s="2" t="n">
        <x:f>B113-$B$16+$B$17</x:f>
        <x:v>45947660585.67284</x:v>
      </x:c>
    </x:row>
    <x:row r="115">
      <x:c r="A115" t="str">
        <x:v>Per-share value</x:v>
      </x:c>
      <x:c r="B115" s="5" t="n">
        <x:f>B114/$B$14</x:f>
        <x:v>99.9568644822642</x:v>
      </x:c>
    </x:row>
    <x:row r="116">
      <x:c r="A116" t="str">
        <x:v>PV terminal / EV</x:v>
      </x:c>
      <x:c r="B116" s="1" t="n">
        <x:f>IF(B113&gt;0,B111/B113,"N/A: EV&lt;=0")</x:f>
        <x:v>0.5998338996211583</x:v>
      </x:c>
    </x:row>
    <x:row r="124">
      <x:c r="A124" s="8" t="str">
        <x:v>Bull • 5 annual forecast years</x:v>
      </x:c>
      <x:c r="B124" s="8"/>
      <x:c r="C124" s="8" t="str">
        <x:v>Year 1</x:v>
      </x:c>
      <x:c r="D124" s="8" t="str">
        <x:v>Year 2</x:v>
      </x:c>
      <x:c r="E124" s="8" t="str">
        <x:v>Year 3</x:v>
      </x:c>
      <x:c r="F124" s="8" t="str">
        <x:v>Year 4</x:v>
      </x:c>
      <x:c r="G124" s="8" t="str">
        <x:v>Year 5</x:v>
      </x:c>
      <x:c r="H124" s="8"/>
      <x:c r="I124" s="8"/>
      <x:c r="J124" s="8"/>
      <x:c r="K124" s="8"/>
      <x:c r="L124" s="8"/>
    </x:row>
    <x:row r="125">
      <x:c r="A125" t="str">
        <x:v>Growth</x:v>
      </x:c>
      <x:c r="C125" s="1" t="n">
        <x:f>$B$45+$B$33</x:f>
        <x:v>0.093095112192894</x:v>
      </x:c>
      <x:c r="D125" s="1" t="n">
        <x:f>$B$45+$B$33</x:f>
        <x:v>0.093095112192894</x:v>
      </x:c>
      <x:c r="E125" s="1" t="n">
        <x:f>IF($B$45&gt;$B$27,$B$27+($B$45-$B$27)*2/3,$B$45)+$B$33</x:f>
        <x:v>0.07873007479526267</x:v>
      </x:c>
      <x:c r="F125" s="1" t="n">
        <x:f>IF($B$45&gt;$B$27,$B$27+($B$45-$B$27)/3,$B$45)+$B$33</x:f>
        <x:v>0.06436503739763133</x:v>
      </x:c>
      <x:c r="G125" s="1" t="n">
        <x:f>IF($B$45&gt;$B$27,$B$27,$B$45)+$B$33</x:f>
        <x:v>0.05</x:v>
      </x:c>
    </x:row>
    <x:row r="126">
      <x:c r="A126" t="str">
        <x:v>EBIT margin</x:v>
      </x:c>
      <x:c r="C126" s="1" t="n">
        <x:f>$B$47+$B$34</x:f>
        <x:v>0.1755950160952213</x:v>
      </x:c>
      <x:c r="D126" s="1" t="n">
        <x:f>$B$47+$B$34</x:f>
        <x:v>0.1755950160952213</x:v>
      </x:c>
      <x:c r="E126" s="1" t="n">
        <x:f>$B$47+$B$34</x:f>
        <x:v>0.1755950160952213</x:v>
      </x:c>
      <x:c r="F126" s="1" t="n">
        <x:f>$B$47+$B$34</x:f>
        <x:v>0.1755950160952213</x:v>
      </x:c>
      <x:c r="G126" s="1" t="n">
        <x:f>$B$47+$B$34</x:f>
        <x:v>0.1755950160952213</x:v>
      </x:c>
    </x:row>
    <x:row r="127">
      <x:c r="A127" t="str">
        <x:v>Revenue USD</x:v>
      </x:c>
      <x:c r="C127" s="2" t="n">
        <x:f>$B$10*(1+C125)</x:f>
        <x:v>73881205538.00551</x:v>
      </x:c>
      <x:c r="D127" s="2" t="n">
        <x:f>C127*(1+D125)</x:f>
        <x:v>80759184656.51239</x:v>
      </x:c>
      <x:c r="E127" s="2" t="n">
        <x:f>D127*(1+E125)</x:f>
        <x:v>87117361304.92404</x:v>
      </x:c>
      <x:c r="F127" s="2" t="n">
        <x:f>E127*(1+F125)</x:f>
        <x:v>92724673523.29843</x:v>
      </x:c>
      <x:c r="G127" s="2" t="n">
        <x:f>F127*(1+G125)</x:f>
        <x:v>97360907199.46336</x:v>
      </x:c>
    </x:row>
    <x:row r="128">
      <x:c r="A128" t="str">
        <x:v>EBIT USD</x:v>
      </x:c>
      <x:c r="C128" s="2" t="n">
        <x:f>C127*C126</x:f>
        <x:v>12973171475.58043</x:v>
      </x:c>
      <x:c r="D128" s="2" t="n">
        <x:f>D127*D126</x:f>
        <x:v>14180910329.597242</x:v>
      </x:c>
      <x:c r="E128" s="2" t="n">
        <x:f>E127*E126</x:f>
        <x:v>15297374460.511347</x:v>
      </x:c>
      <x:c r="F128" s="2" t="n">
        <x:f>F127*F126</x:f>
        <x:v>16281990539.747728</x:v>
      </x:c>
      <x:c r="G128" s="2" t="n">
        <x:f>G127*G126</x:f>
        <x:v>17096090066.735117</x:v>
      </x:c>
    </x:row>
    <x:row r="129">
      <x:c r="A129" t="str">
        <x:v>NOPAT USD</x:v>
      </x:c>
      <x:c r="C129" s="2" t="n">
        <x:f>C128*(1-$B$49)</x:f>
        <x:v>9861678654.81909</x:v>
      </x:c>
      <x:c r="D129" s="2" t="n">
        <x:f>D128*(1-$B$49)</x:f>
        <x:v>10779752735.599741</x:v>
      </x:c>
      <x:c r="E129" s="2" t="n">
        <x:f>E128*(1-$B$49)</x:f>
        <x:v>11628443474.747946</x:v>
      </x:c>
      <x:c r="F129" s="2" t="n">
        <x:f>F128*(1-$B$49)</x:f>
        <x:v>12376908673.876339</x:v>
      </x:c>
      <x:c r="G129" s="2" t="n">
        <x:f>G128*(1-$B$49)</x:f>
        <x:v>12995754107.570158</x:v>
      </x:c>
    </x:row>
    <x:row r="130">
      <x:c r="A130" t="str">
        <x:v>D&amp;A USD</x:v>
      </x:c>
      <x:c r="C130" s="2" t="n">
        <x:f>C127*$B$24</x:f>
        <x:v>2216436166.1401653</x:v>
      </x:c>
      <x:c r="D130" s="2" t="n">
        <x:f>D127*$B$24</x:f>
        <x:v>2422775539.6953716</x:v>
      </x:c>
      <x:c r="E130" s="2" t="n">
        <x:f>E127*$B$24</x:f>
        <x:v>2613520839.1477213</x:v>
      </x:c>
      <x:c r="F130" s="2" t="n">
        <x:f>F127*$B$24</x:f>
        <x:v>2781740205.6989527</x:v>
      </x:c>
      <x:c r="G130" s="2" t="n">
        <x:f>G127*$B$24</x:f>
        <x:v>2920827215.983901</x:v>
      </x:c>
    </x:row>
    <x:row r="131">
      <x:c r="A131" t="str">
        <x:v>CapEx USD</x:v>
      </x:c>
      <x:c r="C131" s="2" t="n">
        <x:f>C127*$B$25</x:f>
        <x:v>2955248221.5202203</x:v>
      </x:c>
      <x:c r="D131" s="2" t="n">
        <x:f>D127*$B$25</x:f>
        <x:v>3230367386.2604957</x:v>
      </x:c>
      <x:c r="E131" s="2" t="n">
        <x:f>E127*$B$25</x:f>
        <x:v>3484694452.196962</x:v>
      </x:c>
      <x:c r="F131" s="2" t="n">
        <x:f>F127*$B$25</x:f>
        <x:v>3708986940.931937</x:v>
      </x:c>
      <x:c r="G131" s="2" t="n">
        <x:f>G127*$B$25</x:f>
        <x:v>3894436287.9785347</x:v>
      </x:c>
    </x:row>
    <x:row r="132">
      <x:c r="A132" t="str">
        <x:v>Increase in NWC USD</x:v>
      </x:c>
      <x:c r="C132" s="2" t="n">
        <x:f>(C127-$B$10)*$B$26</x:f>
        <x:v>62922055.380055085</x:v>
      </x:c>
      <x:c r="D132" s="2" t="n">
        <x:f>(D127-C127)*$B$26</x:f>
        <x:v>68779791.18506882</x:v>
      </x:c>
      <x:c r="E132" s="2" t="n">
        <x:f>(E127-D127)*$B$26</x:f>
        <x:v>63581766.48411652</x:v>
      </x:c>
      <x:c r="F132" s="2" t="n">
        <x:f>(F127-E127)*$B$26</x:f>
        <x:v>56073122.183743894</x:v>
      </x:c>
      <x:c r="G132" s="2" t="n">
        <x:f>(G127-F127)*$B$26</x:f>
        <x:v>46362336.761649325</x:v>
      </x:c>
    </x:row>
    <x:row r="133">
      <x:c r="A133" t="str">
        <x:v>FCF USD</x:v>
      </x:c>
      <x:c r="C133" s="2" t="n">
        <x:f>C129+C130-C131-C132</x:f>
        <x:v>9059944544.05898</x:v>
      </x:c>
      <x:c r="D133" s="2" t="n">
        <x:f>D129+D130-D131-D132</x:f>
        <x:v>9903381097.849548</x:v>
      </x:c>
      <x:c r="E133" s="2" t="n">
        <x:f>E129+E130-E131-E132</x:f>
        <x:v>10693688095.21459</x:v>
      </x:c>
      <x:c r="F133" s="2" t="n">
        <x:f>F129+F130-F131-F132</x:f>
        <x:v>11393588816.459608</x:v>
      </x:c>
      <x:c r="G133" s="2" t="n">
        <x:f>G129+G130-G131-G132</x:f>
        <x:v>11975782698.813873</x:v>
      </x:c>
    </x:row>
    <x:row r="134">
      <x:c r="A134" t="str">
        <x:v>PV of FCF USD</x:v>
      </x:c>
      <x:c r="C134" s="2" t="n">
        <x:f>C133/(1+$B$137)^1</x:f>
        <x:v>8155068340.957479</x:v>
      </x:c>
      <x:c r="D134" s="2" t="n">
        <x:f>D133/(1+$B$137)^2</x:f>
        <x:v>8023939079.194104</x:v>
      </x:c>
      <x:c r="E134" s="2" t="n">
        <x:f>E133/(1+$B$137)^3</x:f>
        <x:v>7798906420.940091</x:v>
      </x:c>
      <x:c r="F134" s="2" t="n">
        <x:f>F133/(1+$B$137)^4</x:f>
        <x:v>7479435203.312948</x:v>
      </x:c>
      <x:c r="G134" s="2" t="n">
        <x:f>G133/(1+$B$137)^5</x:f>
        <x:v>7076430318.991002</x:v>
      </x:c>
    </x:row>
    <x:row r="137">
      <x:c r="A137" t="str">
        <x:v>WACC</x:v>
      </x:c>
      <x:c r="B137" s="1" t="n">
        <x:f>MAX(5%,MIN(20%,$B$60+$B$35))</x:f>
        <x:v>0.11095875169517726</x:v>
      </x:c>
    </x:row>
    <x:row r="138">
      <x:c r="A138" t="str">
        <x:v>Terminal growth</x:v>
      </x:c>
      <x:c r="B138" s="1" t="n">
        <x:f>MAX(0%,MIN(5%,$B$23+$B$36))</x:f>
        <x:v>0.030000000000000002</x:v>
      </x:c>
    </x:row>
    <x:row r="139">
      <x:c r="A139" t="str">
        <x:v>Terminal FCF</x:v>
      </x:c>
      <x:c r="B139" s="2" t="n">
        <x:f>G133</x:f>
        <x:v>11975782698.813873</x:v>
      </x:c>
    </x:row>
    <x:row r="140">
      <x:c r="A140" t="str">
        <x:v>Undiscounted terminal value</x:v>
      </x:c>
      <x:c r="B140" s="2" t="n">
        <x:f>B139*(1+B138)/(B137-B138)</x:f>
        <x:v>152362232883.99707</x:v>
      </x:c>
    </x:row>
    <x:row r="141">
      <x:c r="A141" t="str">
        <x:v>PV terminal value</x:v>
      </x:c>
      <x:c r="B141" s="2" t="n">
        <x:f>B140/(1+B137)^5</x:f>
        <x:v>90030084159.44887</x:v>
      </x:c>
    </x:row>
    <x:row r="142">
      <x:c r="A142" t="str">
        <x:v>PV annual FCF</x:v>
      </x:c>
      <x:c r="B142" s="2" t="n">
        <x:f>SUM(C134:G134)</x:f>
        <x:v>38533779363.39563</x:v>
      </x:c>
    </x:row>
    <x:row r="143">
      <x:c r="A143" t="str">
        <x:v>Enterprise value</x:v>
      </x:c>
      <x:c r="B143" s="2" t="n">
        <x:f>B141+B142</x:f>
        <x:v>128563863522.8445</x:v>
      </x:c>
    </x:row>
    <x:row r="144">
      <x:c r="A144" t="str">
        <x:v>Equity value</x:v>
      </x:c>
      <x:c r="B144" s="2" t="n">
        <x:f>B143-$B$16+$B$17</x:f>
        <x:v>102333863522.8445</x:v>
      </x:c>
    </x:row>
    <x:row r="145">
      <x:c r="A145" t="str">
        <x:v>Per-share value</x:v>
      </x:c>
      <x:c r="B145" s="5" t="n">
        <x:f>B144/$B$14</x:f>
        <x:v>222.62226188919468</x:v>
      </x:c>
    </x:row>
    <x:row r="146">
      <x:c r="A146" t="str">
        <x:v>PV terminal / EV</x:v>
      </x:c>
      <x:c r="B146" s="1" t="n">
        <x:f>IF(B143&gt;0,B141/B143,"N/A: EV&lt;=0")</x:f>
        <x:v>0.7002751915856311</x:v>
      </x:c>
    </x:row>
    <x:row r="150">
      <x:c r="A150" s="8" t="str">
        <x:v>Quality flags (1 = triggered, 0 = clear)</x:v>
      </x:c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t="str">
        <x:v>Nonpositive Base terminal FCF</x:v>
      </x:c>
      <x:c r="B151" t="b">
        <x:f>B79&lt;=0</x:f>
        <x:v>0</x:v>
      </x:c>
    </x:row>
    <x:row r="152">
      <x:c r="A152" t="str">
        <x:v>Nonpositive Base enterprise value</x:v>
      </x:c>
      <x:c r="B152" t="b">
        <x:f>B83&lt;=0</x:f>
        <x:v>0</x:v>
      </x:c>
    </x:row>
    <x:row r="153">
      <x:c r="A153" t="str">
        <x:v>Reversed Bear / Base / Bull</x:v>
      </x:c>
      <x:c r="B153" t="b">
        <x:f>NOT(AND(ISNUMBER(B115),ISNUMBER(B85),ISNUMBER(B145),B115&lt;=B85,B85&lt;=B145))</x:f>
        <x:v>0</x:v>
      </x:c>
    </x:row>
    <x:row r="154">
      <x:c r="A154" t="str">
        <x:v>Extreme observed tax &gt;= 60%</x:v>
      </x:c>
      <x:c r="B154" t="b">
        <x:f>AND(B50="OBSERVED",B48&gt;=60%)</x:f>
        <x:v>0</x:v>
      </x:c>
    </x:row>
    <x:row r="155">
      <x:c r="A155" t="str">
        <x:v>PV terminal / EV &gt;= 80%</x:v>
      </x:c>
      <x:c r="B155" t="b">
        <x:f>IF(AND(B83&gt;0,B81&gt;=0),B86&gt;=80%,FALSE)</x:f>
        <x:v>0</x:v>
      </x:c>
    </x:row>
    <x:row r="156">
      <x:c r="A156" t="str">
        <x:v>Quality classification</x:v>
      </x:c>
      <x:c r="B156" t="str">
        <x:f>IF(OR(B151,B152,B153),"DIAGNOSTIC ONLY",IF(OR(B154,B155),"CAUTION","ORDINARY"))</x:f>
        <x:v>ORDINARY</x:v>
      </x:c>
    </x:row>
    <x:row r="157">
      <x:c r="A157" t="str">
        <x:v>Mathematically computable</x:v>
      </x:c>
      <x:c r="B157" t="b">
        <x:f>AND(ISNUMBER(B85),ISNUMBER(B115),ISNUMBER(B145))</x:f>
        <x:v>1</x:v>
      </x:c>
    </x:row>
    <x:row r="158">
      <x:c r="A158" t="str">
        <x:v>Market comparison allowed</x:v>
      </x:c>
      <x:c r="B158" t="b">
        <x:f>AND(B157,B156="ORDINARY")</x:f>
        <x:v>1</x:v>
      </x:c>
    </x:row>
    <x:row r="160">
      <x:c r="A160" t="str">
        <x:v>Interpretation</x:v>
      </x:c>
      <x:c r="B160" t="str">
        <x:v>Values remain visible for diagnosis. Flagged cases are not actionable price targets.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29" hidden="0" customWidth="1"/>
    <x:col min="12" max="12" width="29" hidden="0" customWidth="1"/>
  </x:cols>
  <x:sheetData>
    <x:row r="1">
      <x:c r="A1" s="8" t="str">
        <x:v>INTC | independent staged DCF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>
      <x:c r="A2" t="str">
        <x:v>Frozen evidence only • USD actual • scenarios are diagnostic, not price targets</x:v>
      </x:c>
    </x:row>
    <x:row r="5">
      <x:c r="A5" s="8" t="str">
        <x:v>Fiscal end</x:v>
      </x:c>
      <x:c r="B5" s="8" t="str">
        <x:v>Revenue USD</x:v>
      </x:c>
      <x:c r="C5" s="8" t="str">
        <x:v>EBIT USD</x:v>
      </x:c>
      <x:c r="D5" s="8" t="str">
        <x:v>EBIT margin</x:v>
      </x:c>
      <x:c r="E5" s="8" t="str">
        <x:v>Revenue filed</x:v>
      </x:c>
      <x:c r="F5" s="8" t="str">
        <x:v>EBIT filed</x:v>
      </x:c>
      <x:c r="G5" s="8" t="str">
        <x:v>Revenue tag</x:v>
      </x:c>
      <x:c r="H5" s="8" t="str">
        <x:v>EBIT tag</x:v>
      </x:c>
      <x:c r="I5" s="8" t="str">
        <x:v>Revenue source</x:v>
      </x:c>
      <x:c r="J5" s="8" t="str">
        <x:v>EBIT source</x:v>
      </x:c>
      <x:c r="K5" s="8" t="str">
        <x:v>Revenue status</x:v>
      </x:c>
      <x:c r="L5" s="8" t="str">
        <x:v>EBIT status / derivation</x:v>
      </x:c>
    </x:row>
    <x:row r="6">
      <x:c r="A6" t="str">
        <x:v>2021-12-25</x:v>
      </x:c>
      <x:c r="B6" s="2" t="n">
        <x:v>79024000000</x:v>
      </x:c>
      <x:c r="C6" s="2" t="n">
        <x:v>19456000000</x:v>
      </x:c>
      <x:c r="D6" s="1" t="n">
        <x:f>C6/B6</x:f>
        <x:v>0.2462036849564689</x:v>
      </x:c>
      <x:c r="E6" t="str">
        <x:v>2022-01-27</x:v>
      </x:c>
      <x:c r="F6" t="str">
        <x:v>2022-01-27</x:v>
      </x:c>
      <x:c r="G6" t="str">
        <x:v>RevenueFromContractWithCustomerExcludingAssessedTax</x:v>
      </x:c>
      <x:c r="H6" t="str">
        <x:v>OperatingIncomeLoss</x:v>
      </x:c>
      <x:c r="I6" t="str">
        <x:v>https://www.sec.gov/Archives/edgar/data/50863/000005086322000007/0000050863-22-000007-index.htm</x:v>
      </x:c>
      <x:c r="J6" t="str">
        <x:v>https://www.sec.gov/Archives/edgar/data/50863/000005086322000007/0000050863-22-000007-index.htm</x:v>
      </x:c>
      <x:c r="K6" t="str">
        <x:v>Frozen SEC; no fallback</x:v>
      </x:c>
      <x:c r="L6" t="str">
        <x:v>Directly reported (OperatingIncomeLoss XBRL tag).</x:v>
      </x:c>
    </x:row>
    <x:row r="7">
      <x:c r="A7" t="str">
        <x:v>2022-12-31</x:v>
      </x:c>
      <x:c r="B7" s="2" t="n">
        <x:v>63054000000</x:v>
      </x:c>
      <x:c r="C7" s="2" t="n">
        <x:v>2334000000</x:v>
      </x:c>
      <x:c r="D7" s="1" t="n">
        <x:f>C7/B7</x:f>
        <x:v>0.03701589114092683</x:v>
      </x:c>
      <x:c r="E7" t="str">
        <x:v>2023-01-27</x:v>
      </x:c>
      <x:c r="F7" t="str">
        <x:v>2023-01-27</x:v>
      </x:c>
      <x:c r="G7" t="str">
        <x:v>RevenueFromContractWithCustomerExcludingAssessedTax</x:v>
      </x:c>
      <x:c r="H7" t="str">
        <x:v>OperatingIncomeLoss</x:v>
      </x:c>
      <x:c r="I7" t="str">
        <x:v>https://www.sec.gov/Archives/edgar/data/50863/000005086323000006/0000050863-23-000006-index.htm</x:v>
      </x:c>
      <x:c r="J7" t="str">
        <x:v>https://www.sec.gov/Archives/edgar/data/50863/000005086323000006/0000050863-23-000006-index.htm</x:v>
      </x:c>
      <x:c r="K7" t="str">
        <x:v>Frozen SEC; no fallback</x:v>
      </x:c>
      <x:c r="L7" t="str">
        <x:v>Directly reported (OperatingIncomeLoss XBRL tag).</x:v>
      </x:c>
    </x:row>
    <x:row r="8">
      <x:c r="A8" t="str">
        <x:v>2023-12-30</x:v>
      </x:c>
      <x:c r="B8" s="2" t="n">
        <x:v>54228000000</x:v>
      </x:c>
      <x:c r="C8" s="2" t="n">
        <x:v>93000000</x:v>
      </x:c>
      <x:c r="D8" s="1" t="n">
        <x:f>C8/B8</x:f>
        <x:v>0.001714981190528878</x:v>
      </x:c>
      <x:c r="E8" t="str">
        <x:v>2024-01-26</x:v>
      </x:c>
      <x:c r="F8" t="str">
        <x:v>2024-01-26</x:v>
      </x:c>
      <x:c r="G8" t="str">
        <x:v>RevenueFromContractWithCustomerExcludingAssessedTax</x:v>
      </x:c>
      <x:c r="H8" t="str">
        <x:v>OperatingIncomeLoss</x:v>
      </x:c>
      <x:c r="I8" t="str">
        <x:v>https://www.sec.gov/Archives/edgar/data/50863/000005086324000010/0000050863-24-000010-index.htm</x:v>
      </x:c>
      <x:c r="J8" t="str">
        <x:v>https://www.sec.gov/Archives/edgar/data/50863/000005086324000010/0000050863-24-000010-index.htm</x:v>
      </x:c>
      <x:c r="K8" t="str">
        <x:v>Frozen SEC; no fallback</x:v>
      </x:c>
      <x:c r="L8" t="str">
        <x:v>Directly reported (OperatingIncomeLoss XBRL tag).</x:v>
      </x:c>
    </x:row>
    <x:row r="9">
      <x:c r="A9" t="str">
        <x:v>2024-12-28</x:v>
      </x:c>
      <x:c r="B9" s="2" t="n">
        <x:v>53101000000</x:v>
      </x:c>
      <x:c r="C9" s="2" t="n">
        <x:v>-11678000000</x:v>
      </x:c>
      <x:c r="D9" s="1" t="n">
        <x:f>C9/B9</x:f>
        <x:v>-0.2199205288036007</x:v>
      </x:c>
      <x:c r="E9" t="str">
        <x:v>2025-01-31</x:v>
      </x:c>
      <x:c r="F9" t="str">
        <x:v>2025-01-31</x:v>
      </x:c>
      <x:c r="G9" t="str">
        <x:v>RevenueFromContractWithCustomerExcludingAssessedTax</x:v>
      </x:c>
      <x:c r="H9" t="str">
        <x:v>OperatingIncomeLoss</x:v>
      </x:c>
      <x:c r="I9" t="str">
        <x:v>https://www.sec.gov/Archives/edgar/data/50863/000005086325000009/0000050863-25-000009-index.htm</x:v>
      </x:c>
      <x:c r="J9" t="str">
        <x:v>https://www.sec.gov/Archives/edgar/data/50863/000005086325000009/0000050863-25-000009-index.htm</x:v>
      </x:c>
      <x:c r="K9" t="str">
        <x:v>Frozen SEC; no fallback</x:v>
      </x:c>
      <x:c r="L9" t="str">
        <x:v>Directly reported (OperatingIncomeLoss XBRL tag).</x:v>
      </x:c>
    </x:row>
    <x:row r="10">
      <x:c r="A10" t="str">
        <x:v>2025-12-27</x:v>
      </x:c>
      <x:c r="B10" s="2" t="n">
        <x:v>52853000000</x:v>
      </x:c>
      <x:c r="C10" s="2" t="n">
        <x:v>-2214000000</x:v>
      </x:c>
      <x:c r="D10" s="1" t="n">
        <x:f>C10/B10</x:f>
        <x:v>-0.04188976973870925</x:v>
      </x:c>
      <x:c r="E10" t="str">
        <x:v>2026-01-23</x:v>
      </x:c>
      <x:c r="F10" t="str">
        <x:v>2026-01-23</x:v>
      </x:c>
      <x:c r="G10" t="str">
        <x:v>RevenueFromContractWithCustomerExcludingAssessedTax</x:v>
      </x:c>
      <x:c r="H10" t="str">
        <x:v>OperatingIncomeLoss</x:v>
      </x:c>
      <x:c r="I10" t="str">
        <x:v>https://www.sec.gov/Archives/edgar/data/50863/000005086326000011/0000050863-26-000011-index.htm</x:v>
      </x:c>
      <x:c r="J10" t="str">
        <x:v>https://www.sec.gov/Archives/edgar/data/50863/000005086326000011/0000050863-26-000011-index.htm</x:v>
      </x:c>
      <x:c r="K10" t="str">
        <x:v>Frozen SEC; no fallback</x:v>
      </x:c>
      <x:c r="L10" t="str">
        <x:v>Directly reported (OperatingIncomeLoss XBRL tag).</x:v>
      </x:c>
    </x:row>
    <x:row r="12">
      <x:c r="A12" s="8" t="str">
        <x:v>Input</x:v>
      </x:c>
      <x:c r="B12" s="8" t="str">
        <x:v>Value</x:v>
      </x:c>
      <x:c r="C12" s="8" t="str">
        <x:v>Unit</x:v>
      </x:c>
      <x:c r="D12" s="8" t="str">
        <x:v>Source date</x:v>
      </x:c>
      <x:c r="E12" s="8" t="str">
        <x:v>Source</x:v>
      </x:c>
      <x:c r="F12" s="8" t="str">
        <x:v>Fallback / status</x:v>
      </x:c>
      <x:c r="G12" s="8" t="str">
        <x:v>Note</x:v>
      </x:c>
      <x:c r="H12" s="8"/>
      <x:c r="I12" s="8"/>
      <x:c r="J12" s="8"/>
      <x:c r="K12" s="8"/>
      <x:c r="L12" s="8"/>
    </x:row>
    <x:row r="13">
      <x:c r="A13" t="str">
        <x:v>Market price</x:v>
      </x:c>
      <x:c r="B13" s="9" t="n">
        <x:v>104.125</x:v>
      </x:c>
      <x:c r="C13" t="str">
        <x:v>USD/share</x:v>
      </x:c>
      <x:c r="D13" t="str">
        <x:v>2026-08-17</x:v>
      </x:c>
      <x:c r="E13" t="str">
        <x:v>yfinance Ticker.info</x:v>
      </x:c>
      <x:c r="F13" t="str">
        <x:v>Observed / frozen</x:v>
      </x:c>
      <x:c r="G13" t="str"/>
    </x:row>
    <x:row r="14">
      <x:c r="A14" t="str">
        <x:v>Shares outstanding</x:v>
      </x:c>
      <x:c r="B14" s="10" t="n">
        <x:v>5286105262</x:v>
      </x:c>
      <x:c r="C14" t="str">
        <x:v>shares</x:v>
      </x:c>
      <x:c r="D14" t="str">
        <x:v>2026-08-17</x:v>
      </x:c>
      <x:c r="E14" t="str">
        <x:v>yfinance Ticker.info</x:v>
      </x:c>
      <x:c r="F14" t="str">
        <x:v>Observed / frozen</x:v>
      </x:c>
      <x:c r="G14" t="str"/>
    </x:row>
    <x:row r="15">
      <x:c r="A15" t="str">
        <x:v>Levered beta</x:v>
      </x:c>
      <x:c r="B15" s="11" t="n">
        <x:v>2.241</x:v>
      </x:c>
      <x:c r="C15" t="str">
        <x:v>ratio</x:v>
      </x:c>
      <x:c r="D15" t="str">
        <x:v>2026-08-17</x:v>
      </x:c>
      <x:c r="E15" t="str">
        <x:v>yfinance Ticker.info</x:v>
      </x:c>
      <x:c r="F15" t="str">
        <x:v>Observed / frozen</x:v>
      </x:c>
      <x:c r="G15" t="str"/>
    </x:row>
    <x:row r="16">
      <x:c r="A16" t="str">
        <x:v>Total debt</x:v>
      </x:c>
      <x:c r="B16" s="10" t="n">
        <x:v>46585000000</x:v>
      </x:c>
      <x:c r="C16" t="str">
        <x:v>USD</x:v>
      </x:c>
      <x:c r="D16" t="str">
        <x:v>2026-01-23</x:v>
      </x:c>
      <x:c r="E16" t="str">
        <x:v>https://www.sec.gov/Archives/edgar/data/50863/000005086326000011/0000050863-26-000011-index.htm</x:v>
      </x:c>
      <x:c r="F16" t="str">
        <x:v>SUM:LongTermDebtNoncurrent+LongTermDebtCurrent</x:v>
      </x:c>
      <x:c r="G16" t="str">
        <x:v>Total Debt = LongTermDebtNoncurrent ($44,086,000,000) + LongTermDebtCurrent ($2,499,000,000) = $46,585,000,000</x:v>
      </x:c>
    </x:row>
    <x:row r="17">
      <x:c r="A17" t="str">
        <x:v>Cash and equivalents</x:v>
      </x:c>
      <x:c r="B17" s="10" t="n">
        <x:v>14265000000</x:v>
      </x:c>
      <x:c r="C17" t="str">
        <x:v>USD</x:v>
      </x:c>
      <x:c r="D17" t="str">
        <x:v>2026-01-23</x:v>
      </x:c>
      <x:c r="E17" t="str">
        <x:v>https://www.sec.gov/Archives/edgar/data/50863/000005086326000011/0000050863-26-000011-index.htm</x:v>
      </x:c>
      <x:c r="F17" t="str">
        <x:v>Observed / frozen</x:v>
      </x:c>
      <x:c r="G17" t="str"/>
    </x:row>
    <x:row r="18">
      <x:c r="A18" t="str">
        <x:v>Interest expense</x:v>
      </x:c>
      <x:c r="B18" s="10" t="n">
        <x:v>1091000000</x:v>
      </x:c>
      <x:c r="C18" t="str">
        <x:v>USD</x:v>
      </x:c>
      <x:c r="D18" t="str">
        <x:v>2026-01-23</x:v>
      </x:c>
      <x:c r="E18" t="str">
        <x:v>https://www.sec.gov/Archives/edgar/data/50863/000005086326000011/0000050863-26-000011-index.htm</x:v>
      </x:c>
      <x:c r="F18" t="str">
        <x:v>reported</x:v>
      </x:c>
      <x:c r="G18" t="str"/>
    </x:row>
    <x:row r="19">
      <x:c r="A19" t="str">
        <x:v>Pretax income</x:v>
      </x:c>
      <x:c r="B19" s="10" t="n">
        <x:v>1557000000</x:v>
      </x:c>
      <x:c r="C19" t="str">
        <x:v>USD</x:v>
      </x:c>
      <x:c r="D19" t="str">
        <x:v>2026-01-23</x:v>
      </x:c>
      <x:c r="E19" t="str">
        <x:v>https://www.sec.gov/Archives/edgar/data/50863/000005086326000011/0000050863-26-000011-index.htm</x:v>
      </x:c>
      <x:c r="F19" t="str">
        <x:v>Observed / frozen</x:v>
      </x:c>
      <x:c r="G19" t="str"/>
    </x:row>
    <x:row r="20">
      <x:c r="A20" t="str">
        <x:v>Tax provision</x:v>
      </x:c>
      <x:c r="B20" s="10" t="n">
        <x:v>1531000000</x:v>
      </x:c>
      <x:c r="C20" t="str">
        <x:v>USD</x:v>
      </x:c>
      <x:c r="D20" t="str">
        <x:v>2026-01-23</x:v>
      </x:c>
      <x:c r="E20" t="str">
        <x:v>https://www.sec.gov/Archives/edgar/data/50863/000005086326000011/0000050863-26-000011-index.htm</x:v>
      </x:c>
      <x:c r="F20" t="str">
        <x:v>Observed / frozen</x:v>
      </x:c>
      <x:c r="G20" t="str"/>
    </x:row>
    <x:row r="21">
      <x:c r="A21" t="str">
        <x:v>Risk-free rate</x:v>
      </x:c>
      <x:c r="B21" s="12" t="n">
        <x:v>0.04</x:v>
      </x:c>
      <x:c r="C21" t="str">
        <x:v>rate</x:v>
      </x:c>
      <x:c r="D21" t="str">
        <x:v>2026-09-13</x:v>
      </x:c>
      <x:c r="E21" t="str">
        <x:v>Written WACC policy; static offline default</x:v>
      </x:c>
      <x:c r="F21" t="str">
        <x:v>POLICY FALLBACK</x:v>
      </x:c>
      <x:c r="G21" t="str"/>
    </x:row>
    <x:row r="22">
      <x:c r="A22" t="str">
        <x:v>Market risk premium</x:v>
      </x:c>
      <x:c r="B22" s="12" t="n">
        <x:v>0.055</x:v>
      </x:c>
      <x:c r="C22" t="str">
        <x:v>rate</x:v>
      </x:c>
      <x:c r="D22" t="str">
        <x:v>2026-09-13</x:v>
      </x:c>
      <x:c r="E22" t="str">
        <x:v>Written WACC policy</x:v>
      </x:c>
      <x:c r="F22" t="str">
        <x:v>POLICY DEFAULT</x:v>
      </x:c>
      <x:c r="G22" t="str"/>
    </x:row>
    <x:row r="23">
      <x:c r="A23" t="str">
        <x:v>Base terminal growth</x:v>
      </x:c>
      <x:c r="B23" s="12" t="n">
        <x:v>0.025</x:v>
      </x:c>
      <x:c r="C23" t="str">
        <x:v>rate</x:v>
      </x:c>
      <x:c r="D23" t="str">
        <x:v>2026-09-13</x:v>
      </x:c>
      <x:c r="E23" t="str">
        <x:v>Written DCF policy</x:v>
      </x:c>
      <x:c r="F23" t="str">
        <x:v>POLICY DEFAULT</x:v>
      </x:c>
      <x:c r="G23" t="str"/>
    </x:row>
    <x:row r="24">
      <x:c r="A24" t="str">
        <x:v>D&amp;A / revenue</x:v>
      </x:c>
      <x:c r="B24" s="12" t="n">
        <x:v>0.03</x:v>
      </x:c>
      <x:c r="C24" t="str">
        <x:v>rate</x:v>
      </x:c>
      <x:c r="D24" t="str">
        <x:v>2026-09-13</x:v>
      </x:c>
      <x:c r="E24" t="str">
        <x:v>Written DCF policy</x:v>
      </x:c>
      <x:c r="F24" t="str">
        <x:v>POLICY DEFAULT</x:v>
      </x:c>
      <x:c r="G24" t="str"/>
    </x:row>
    <x:row r="25">
      <x:c r="A25" t="str">
        <x:v>CapEx / revenue</x:v>
      </x:c>
      <x:c r="B25" s="12" t="n">
        <x:v>0.04</x:v>
      </x:c>
      <x:c r="C25" t="str">
        <x:v>rate</x:v>
      </x:c>
      <x:c r="D25" t="str">
        <x:v>2026-09-13</x:v>
      </x:c>
      <x:c r="E25" t="str">
        <x:v>Written DCF policy</x:v>
      </x:c>
      <x:c r="F25" t="str">
        <x:v>POLICY DEFAULT</x:v>
      </x:c>
      <x:c r="G25" t="str"/>
    </x:row>
    <x:row r="26">
      <x:c r="A26" t="str">
        <x:v>Incremental NWC / revenue change</x:v>
      </x:c>
      <x:c r="B26" s="12" t="n">
        <x:v>0.01</x:v>
      </x:c>
      <x:c r="C26" t="str">
        <x:v>rate</x:v>
      </x:c>
      <x:c r="D26" t="str">
        <x:v>2026-09-13</x:v>
      </x:c>
      <x:c r="E26" t="str">
        <x:v>Written DCF policy</x:v>
      </x:c>
      <x:c r="F26" t="str">
        <x:v>POLICY DEFAULT</x:v>
      </x:c>
      <x:c r="G26" t="str"/>
    </x:row>
    <x:row r="27">
      <x:c r="A27" t="str">
        <x:v>Mature growth ceiling</x:v>
      </x:c>
      <x:c r="B27" s="12" t="n">
        <x:v>0.03</x:v>
      </x:c>
      <x:c r="C27" t="str">
        <x:v>rate</x:v>
      </x:c>
      <x:c r="D27" t="str">
        <x:v>2026-09-13</x:v>
      </x:c>
      <x:c r="E27" t="str">
        <x:v>Written DCF policy</x:v>
      </x:c>
      <x:c r="F27" t="str">
        <x:v>POLICY DEFAULT</x:v>
      </x:c>
      <x:c r="G27" t="str"/>
    </x:row>
    <x:row r="28">
      <x:c r="A28" t="str">
        <x:v>Years</x:v>
      </x:c>
      <x:c r="B28" s="13" t="n">
        <x:v>5</x:v>
      </x:c>
      <x:c r="C28" t="str">
        <x:v>years</x:v>
      </x:c>
      <x:c r="D28" t="str">
        <x:v>2026-09-13</x:v>
      </x:c>
      <x:c r="E28" t="str">
        <x:v>Written DCF policy</x:v>
      </x:c>
      <x:c r="F28" t="str">
        <x:v>POLICY DEFAULT</x:v>
      </x:c>
      <x:c r="G28" t="str"/>
    </x:row>
    <x:row r="29">
      <x:c r="A29" t="str">
        <x:v>Bear growth shift</x:v>
      </x:c>
      <x:c r="B29" s="12" t="n">
        <x:v>-0.02</x:v>
      </x:c>
      <x:c r="C29" t="str">
        <x:v>percentage points</x:v>
      </x:c>
      <x:c r="D29" t="str">
        <x:v>2026-09-13</x:v>
      </x:c>
      <x:c r="E29" t="str">
        <x:v>Validator scenario convention; absent from written spec</x:v>
      </x:c>
      <x:c r="F29" t="str">
        <x:v>SPEC GAP</x:v>
      </x:c>
      <x:c r="G29" t="str"/>
    </x:row>
    <x:row r="30">
      <x:c r="A30" t="str">
        <x:v>Bear margin shift</x:v>
      </x:c>
      <x:c r="B30" s="12" t="n">
        <x:v>-0.01</x:v>
      </x:c>
      <x:c r="C30" t="str">
        <x:v>percentage points</x:v>
      </x:c>
      <x:c r="D30" t="str">
        <x:v>2026-09-13</x:v>
      </x:c>
      <x:c r="E30" t="str">
        <x:v>Validator scenario convention; absent from written spec</x:v>
      </x:c>
      <x:c r="F30" t="str">
        <x:v>SPEC GAP</x:v>
      </x:c>
      <x:c r="G30" t="str"/>
    </x:row>
    <x:row r="31">
      <x:c r="A31" t="str">
        <x:v>Bear WACC shift</x:v>
      </x:c>
      <x:c r="B31" s="12" t="n">
        <x:v>0.01</x:v>
      </x:c>
      <x:c r="C31" t="str">
        <x:v>percentage points</x:v>
      </x:c>
      <x:c r="D31" t="str">
        <x:v>2026-09-13</x:v>
      </x:c>
      <x:c r="E31" t="str">
        <x:v>Validator scenario convention; absent from written spec</x:v>
      </x:c>
      <x:c r="F31" t="str">
        <x:v>SPEC GAP</x:v>
      </x:c>
      <x:c r="G31" t="str"/>
    </x:row>
    <x:row r="32">
      <x:c r="A32" t="str">
        <x:v>Bear terminal-g shift</x:v>
      </x:c>
      <x:c r="B32" s="12" t="n">
        <x:v>-0.005</x:v>
      </x:c>
      <x:c r="C32" t="str">
        <x:v>percentage points</x:v>
      </x:c>
      <x:c r="D32" t="str">
        <x:v>2026-09-13</x:v>
      </x:c>
      <x:c r="E32" t="str">
        <x:v>Validator scenario convention; absent from written spec</x:v>
      </x:c>
      <x:c r="F32" t="str">
        <x:v>SPEC GAP</x:v>
      </x:c>
      <x:c r="G32" t="str"/>
    </x:row>
    <x:row r="33">
      <x:c r="A33" t="str">
        <x:v>Bull growth shift</x:v>
      </x:c>
      <x:c r="B33" s="12" t="n">
        <x:v>0.02</x:v>
      </x:c>
      <x:c r="C33" t="str">
        <x:v>percentage points</x:v>
      </x:c>
      <x:c r="D33" t="str">
        <x:v>2026-09-13</x:v>
      </x:c>
      <x:c r="E33" t="str">
        <x:v>Validator scenario convention; absent from written spec</x:v>
      </x:c>
      <x:c r="F33" t="str">
        <x:v>SPEC GAP</x:v>
      </x:c>
      <x:c r="G33" t="str"/>
    </x:row>
    <x:row r="34">
      <x:c r="A34" t="str">
        <x:v>Bull margin shift</x:v>
      </x:c>
      <x:c r="B34" s="12" t="n">
        <x:v>0.01</x:v>
      </x:c>
      <x:c r="C34" t="str">
        <x:v>percentage points</x:v>
      </x:c>
      <x:c r="D34" t="str">
        <x:v>2026-09-13</x:v>
      </x:c>
      <x:c r="E34" t="str">
        <x:v>Validator scenario convention; absent from written spec</x:v>
      </x:c>
      <x:c r="F34" t="str">
        <x:v>SPEC GAP</x:v>
      </x:c>
      <x:c r="G34" t="str"/>
    </x:row>
    <x:row r="35">
      <x:c r="A35" t="str">
        <x:v>Bull WACC shift</x:v>
      </x:c>
      <x:c r="B35" s="12" t="n">
        <x:v>-0.01</x:v>
      </x:c>
      <x:c r="C35" t="str">
        <x:v>percentage points</x:v>
      </x:c>
      <x:c r="D35" t="str">
        <x:v>2026-09-13</x:v>
      </x:c>
      <x:c r="E35" t="str">
        <x:v>Validator scenario convention; absent from written spec</x:v>
      </x:c>
      <x:c r="F35" t="str">
        <x:v>SPEC GAP</x:v>
      </x:c>
      <x:c r="G35" t="str"/>
    </x:row>
    <x:row r="36">
      <x:c r="A36" t="str">
        <x:v>Bull terminal-g shift</x:v>
      </x:c>
      <x:c r="B36" s="12" t="n">
        <x:v>0.005</x:v>
      </x:c>
      <x:c r="C36" t="str">
        <x:v>percentage points</x:v>
      </x:c>
      <x:c r="D36" t="str">
        <x:v>2026-09-13</x:v>
      </x:c>
      <x:c r="E36" t="str">
        <x:v>Validator scenario convention; absent from written spec</x:v>
      </x:c>
      <x:c r="F36" t="str">
        <x:v>SPEC GAP</x:v>
      </x:c>
      <x:c r="G36" t="str"/>
    </x:row>
    <x:row r="37">
      <x:c r="A37" t="str">
        <x:v>Tax fallback</x:v>
      </x:c>
      <x:c r="B37" s="12" t="n">
        <x:v>0.21</x:v>
      </x:c>
      <x:c r="C37" t="str">
        <x:v>rate</x:v>
      </x:c>
      <x:c r="D37" t="str">
        <x:v>2026-09-13</x:v>
      </x:c>
      <x:c r="E37" t="str">
        <x:v>Written WACC policy</x:v>
      </x:c>
      <x:c r="F37" t="str">
        <x:v>POLICY FALLBACK</x:v>
      </x:c>
      <x:c r="G37" t="str"/>
    </x:row>
    <x:row r="38">
      <x:c r="A38" t="str">
        <x:v>Cost-debt fallback</x:v>
      </x:c>
      <x:c r="B38" s="12" t="n">
        <x:v>0.05</x:v>
      </x:c>
      <x:c r="C38" t="str">
        <x:v>rate</x:v>
      </x:c>
      <x:c r="D38" t="str">
        <x:v>2026-09-13</x:v>
      </x:c>
      <x:c r="E38" t="str">
        <x:v>Written WACC policy</x:v>
      </x:c>
      <x:c r="F38" t="str">
        <x:v>POLICY FALLBACK</x:v>
      </x:c>
      <x:c r="G38" t="str"/>
    </x:row>
    <x:row r="39">
      <x:c r="A39" t="str">
        <x:v>Growth fallback</x:v>
      </x:c>
      <x:c r="B39" s="12" t="n">
        <x:v>0.08</x:v>
      </x:c>
      <x:c r="C39" t="str">
        <x:v>rate</x:v>
      </x:c>
      <x:c r="D39" t="str">
        <x:v>2026-09-13</x:v>
      </x:c>
      <x:c r="E39" t="str">
        <x:v>Written DCF policy</x:v>
      </x:c>
      <x:c r="F39" t="str">
        <x:v>POLICY FALLBACK</x:v>
      </x:c>
      <x:c r="G39" t="str"/>
    </x:row>
    <x:row r="40">
      <x:c r="A40" t="str">
        <x:v>Margin fallback</x:v>
      </x:c>
      <x:c r="B40" s="12" t="n">
        <x:v>0.15</x:v>
      </x:c>
      <x:c r="C40" t="str">
        <x:v>rate</x:v>
      </x:c>
      <x:c r="D40" t="str">
        <x:v>2026-09-13</x:v>
      </x:c>
      <x:c r="E40" t="str">
        <x:v>Written DCF policy</x:v>
      </x:c>
      <x:c r="F40" t="str">
        <x:v>POLICY FALLBACK</x:v>
      </x:c>
      <x:c r="G40" t="str"/>
    </x:row>
    <x:row r="43">
      <x:c r="A43" t="str">
        <x:v>Elapsed fiscal years</x:v>
      </x:c>
      <x:c r="B43" s="14" t="n">
        <x:f>(DATE(2025,12,27)-DATE(2021,12,25))/365.25</x:f>
        <x:v>4.005475701574264</x:v>
      </x:c>
      <x:c r="H43" t="str">
        <x:v>CAGR date basis</x:v>
      </x:c>
      <x:c r="I43" t="str">
        <x:v>2021-12-25 to 2025-12-27; actual days / 365.25</x:v>
      </x:c>
    </x:row>
    <x:row r="44">
      <x:c r="A44" t="str">
        <x:v>Historical revenue CAGR</x:v>
      </x:c>
      <x:c r="B44" s="15" t="n">
        <x:f>IF(AND(B6&gt;0,B10&gt;0,B43&gt;0),(B10/B6)^(1/B43)-1,NA())</x:f>
        <x:v>-0.09554417293826767</x:v>
      </x:c>
    </x:row>
    <x:row r="45">
      <x:c r="A45" t="str">
        <x:v>Resolved growth</x:v>
      </x:c>
      <x:c r="B45" s="15" t="n">
        <x:f>IF(ISNUMBER(B44),MIN(25%,B44),B39)</x:f>
        <x:v>-0.09554417293826767</x:v>
      </x:c>
    </x:row>
    <x:row r="46">
      <x:c r="A46" t="str">
        <x:v>Average EBIT margin</x:v>
      </x:c>
      <x:c r="B46" s="15" t="n">
        <x:f>AVERAGE(D6:D10)</x:f>
        <x:v>0.004624851749122934</x:v>
      </x:c>
    </x:row>
    <x:row r="47">
      <x:c r="A47" t="str">
        <x:v>Resolved margin</x:v>
      </x:c>
      <x:c r="B47" s="15" t="n">
        <x:f>IF(ISNUMBER(B46),B46,B40)</x:f>
        <x:v>0.004624851749122934</x:v>
      </x:c>
    </x:row>
    <x:row r="48">
      <x:c r="A48" t="str">
        <x:v>Observed tax ratio</x:v>
      </x:c>
      <x:c r="B48" s="15" t="n">
        <x:f>IF(B19&gt;0,B20/B19,NA())</x:f>
        <x:v>0.98330122029544</x:v>
      </x:c>
    </x:row>
    <x:row r="49">
      <x:c r="A49" t="str">
        <x:v>Resolved tax</x:v>
      </x:c>
      <x:c r="B49" s="15" t="n">
        <x:f>IF(ISNUMBER(B48),B48,B37)</x:f>
        <x:v>0.98330122029544</x:v>
      </x:c>
    </x:row>
    <x:row r="50">
      <x:c r="A50" t="str">
        <x:v>Tax provenance</x:v>
      </x:c>
      <x:c r="B50" s="16" t="str">
        <x:f>IF(ISNUMBER(B48),"OBSERVED","FALLBACK")</x:f>
        <x:v>OBSERVED</x:v>
      </x:c>
    </x:row>
    <x:row r="51">
      <x:c r="A51" t="str">
        <x:v>Cost of debt</x:v>
      </x:c>
      <x:c r="B51" s="15" t="n">
        <x:f>IF(B16&gt;0,ABS(B18)/B16,B38)</x:f>
        <x:v>0.02341955565096061</x:v>
      </x:c>
    </x:row>
    <x:row r="52">
      <x:c r="A52" t="str">
        <x:v>Debt-cost provenance</x:v>
      </x:c>
      <x:c r="B52" s="16" t="str">
        <x:f>IF(B16&gt;0,"OBSERVED","FALLBACK")</x:f>
        <x:v>OBSERVED</x:v>
      </x:c>
    </x:row>
    <x:row r="53">
      <x:c r="A53" t="str">
        <x:v>Market capitalization</x:v>
      </x:c>
      <x:c r="B53" s="17" t="n">
        <x:f>B13*B14</x:f>
        <x:v>550415710405.75</x:v>
      </x:c>
    </x:row>
    <x:row r="54">
      <x:c r="A54" t="str">
        <x:v>Total capital</x:v>
      </x:c>
      <x:c r="B54" s="17" t="n">
        <x:f>B53+B16</x:f>
        <x:v>597000710405.75</x:v>
      </x:c>
    </x:row>
    <x:row r="55">
      <x:c r="A55" t="str">
        <x:v>Cost of equity</x:v>
      </x:c>
      <x:c r="B55" s="15" t="n">
        <x:f>B21+B15*B22</x:f>
        <x:v>0.163255</x:v>
      </x:c>
    </x:row>
    <x:row r="56">
      <x:c r="A56" t="str">
        <x:v>After-tax debt cost</x:v>
      </x:c>
      <x:c r="B56" s="15" t="n">
        <x:f>B51*(1-B49)</x:f>
        <x:v>0.0003910780005940749</x:v>
      </x:c>
    </x:row>
    <x:row r="57">
      <x:c r="A57" t="str">
        <x:v>Equity weight</x:v>
      </x:c>
      <x:c r="B57" s="15" t="n">
        <x:f>B53/B54</x:f>
        <x:v>0.9219682670589476</x:v>
      </x:c>
    </x:row>
    <x:row r="58">
      <x:c r="A58" t="str">
        <x:v>Debt weight</x:v>
      </x:c>
      <x:c r="B58" s="15" t="n">
        <x:f>B16/B54</x:f>
        <x:v>0.07803173294105233</x:v>
      </x:c>
    </x:row>
    <x:row r="59">
      <x:c r="A59" t="str">
        <x:v>Raw WACC</x:v>
      </x:c>
      <x:c r="B59" s="15" t="n">
        <x:f>B57*B55+B58*B56</x:f>
        <x:v>0.15054644593281</x:v>
      </x:c>
    </x:row>
    <x:row r="60">
      <x:c r="A60" t="str">
        <x:v>Bounded WACC</x:v>
      </x:c>
      <x:c r="B60" s="15" t="n">
        <x:f>MAX(5%,MIN(20%,B59))</x:f>
        <x:v>0.15054644593281</x:v>
      </x:c>
    </x:row>
    <x:row r="64">
      <x:c r="A64" s="8" t="str">
        <x:v>Base • 5 annual forecast years</x:v>
      </x:c>
      <x:c r="B64" s="8"/>
      <x:c r="C64" s="8" t="str">
        <x:v>Year 1</x:v>
      </x:c>
      <x:c r="D64" s="8" t="str">
        <x:v>Year 2</x:v>
      </x:c>
      <x:c r="E64" s="8" t="str">
        <x:v>Year 3</x:v>
      </x:c>
      <x:c r="F64" s="8" t="str">
        <x:v>Year 4</x:v>
      </x:c>
      <x:c r="G64" s="8" t="str">
        <x:v>Year 5</x:v>
      </x:c>
      <x:c r="H64" s="8"/>
      <x:c r="I64" s="8"/>
      <x:c r="J64" s="8"/>
      <x:c r="K64" s="8"/>
      <x:c r="L64" s="8"/>
    </x:row>
    <x:row r="65">
      <x:c r="A65" t="str">
        <x:v>Growth</x:v>
      </x:c>
      <x:c r="C65" s="1" t="n">
        <x:f>$B$45</x:f>
        <x:v>-0.09554417293826767</x:v>
      </x:c>
      <x:c r="D65" s="1" t="n">
        <x:f>$B$45</x:f>
        <x:v>-0.09554417293826767</x:v>
      </x:c>
      <x:c r="E65" s="1" t="n">
        <x:f>IF($B$45&gt;$B$27,$B$27+($B$45-$B$27)*2/3,$B$45)</x:f>
        <x:v>-0.09554417293826767</x:v>
      </x:c>
      <x:c r="F65" s="1" t="n">
        <x:f>IF($B$45&gt;$B$27,$B$27+($B$45-$B$27)/3,$B$45)</x:f>
        <x:v>-0.09554417293826767</x:v>
      </x:c>
      <x:c r="G65" s="1" t="n">
        <x:f>IF($B$45&gt;$B$27,$B$27,$B$45)</x:f>
        <x:v>-0.09554417293826767</x:v>
      </x:c>
    </x:row>
    <x:row r="66">
      <x:c r="A66" t="str">
        <x:v>EBIT margin</x:v>
      </x:c>
      <x:c r="C66" s="1" t="n">
        <x:f>$B$47</x:f>
        <x:v>0.004624851749122934</x:v>
      </x:c>
      <x:c r="D66" s="1" t="n">
        <x:f>$B$47</x:f>
        <x:v>0.004624851749122934</x:v>
      </x:c>
      <x:c r="E66" s="1" t="n">
        <x:f>$B$47</x:f>
        <x:v>0.004624851749122934</x:v>
      </x:c>
      <x:c r="F66" s="1" t="n">
        <x:f>$B$47</x:f>
        <x:v>0.004624851749122934</x:v>
      </x:c>
      <x:c r="G66" s="1" t="n">
        <x:f>$B$47</x:f>
        <x:v>0.004624851749122934</x:v>
      </x:c>
    </x:row>
    <x:row r="67">
      <x:c r="A67" t="str">
        <x:v>Revenue USD</x:v>
      </x:c>
      <x:c r="C67" s="2" t="n">
        <x:f>$B$10*(1+C65)</x:f>
        <x:v>47803203827.69374</x:v>
      </x:c>
      <x:c r="D67" s="2" t="n">
        <x:f>C67*(1+D65)</x:f>
        <x:v>43235886254.177315</x:v>
      </x:c>
      <x:c r="E67" s="2" t="n">
        <x:f>D67*(1+E65)</x:f>
        <x:v>39104949260.76893</x:v>
      </x:c>
      <x:c r="F67" s="2" t="n">
        <x:f>E67*(1+F65)</x:f>
        <x:v>35368699225.85584</x:v>
      </x:c>
      <x:c r="G67" s="2" t="n">
        <x:f>F67*(1+G65)</x:f>
        <x:v>31989426110.419098</x:v>
      </x:c>
    </x:row>
    <x:row r="68">
      <x:c r="A68" t="str">
        <x:v>EBIT USD</x:v>
      </x:c>
      <x:c r="C68" s="2" t="n">
        <x:f>C67*C66</x:f>
        <x:v>221082730.83618954</x:v>
      </x:c>
      <x:c r="D68" s="2" t="n">
        <x:f>D67*D66</x:f>
        <x:v>199959564.16751218</x:v>
      </x:c>
      <x:c r="E68" s="2" t="n">
        <x:f>E67*E66</x:f>
        <x:v>180854592.98803076</x:v>
      </x:c>
      <x:c r="F68" s="2" t="n">
        <x:f>F67*F66</x:f>
        <x:v>163574990.47890234</x:v>
      </x:c>
      <x:c r="G68" s="2" t="n">
        <x:f>G67*G66</x:f>
        <x:v>147946353.30021062</x:v>
      </x:c>
    </x:row>
    <x:row r="69">
      <x:c r="A69" t="str">
        <x:v>NOPAT USD</x:v>
      </x:c>
      <x:c r="C69" s="2" t="n">
        <x:f>C68*(1-$B$49)</x:f>
        <x:v>3691811.8187160674</x:v>
      </x:c>
      <x:c r="D69" s="2" t="n">
        <x:f>D68*(1-$B$49)</x:f>
        <x:v>3339080.711853119</x:v>
      </x:c>
      <x:c r="E69" s="2" t="n">
        <x:f>E68*(1-$B$49)</x:f>
        <x:v>3020051.0068649906</x:v>
      </x:c>
      <x:c r="F69" s="2" t="n">
        <x:f>F68*(1-$B$49)</x:f>
        <x:v>2731502.7311826926</x:v>
      </x:c>
      <x:c r="G69" s="2" t="n">
        <x:f>G68*(1-$B$49)</x:f>
        <x:v>2470523.5618532235</x:v>
      </x:c>
    </x:row>
    <x:row r="70">
      <x:c r="A70" t="str">
        <x:v>D&amp;A USD</x:v>
      </x:c>
      <x:c r="C70" s="2" t="n">
        <x:f>C67*$B$24</x:f>
        <x:v>1434096114.8308122</x:v>
      </x:c>
      <x:c r="D70" s="2" t="n">
        <x:f>D67*$B$24</x:f>
        <x:v>1297076587.6253195</x:v>
      </x:c>
      <x:c r="E70" s="2" t="n">
        <x:f>E67*$B$24</x:f>
        <x:v>1173148477.823068</x:v>
      </x:c>
      <x:c r="F70" s="2" t="n">
        <x:f>F67*$B$24</x:f>
        <x:v>1061060976.7756753</x:v>
      </x:c>
      <x:c r="G70" s="2" t="n">
        <x:f>G67*$B$24</x:f>
        <x:v>959682783.312573</x:v>
      </x:c>
    </x:row>
    <x:row r="71">
      <x:c r="A71" t="str">
        <x:v>CapEx USD</x:v>
      </x:c>
      <x:c r="C71" s="2" t="n">
        <x:f>C67*$B$25</x:f>
        <x:v>1912128153.1077497</x:v>
      </x:c>
      <x:c r="D71" s="2" t="n">
        <x:f>D67*$B$25</x:f>
        <x:v>1729435450.1670926</x:v>
      </x:c>
      <x:c r="E71" s="2" t="n">
        <x:f>E67*$B$25</x:f>
        <x:v>1564197970.4307573</x:v>
      </x:c>
      <x:c r="F71" s="2" t="n">
        <x:f>F67*$B$25</x:f>
        <x:v>1414747969.0342338</x:v>
      </x:c>
      <x:c r="G71" s="2" t="n">
        <x:f>G67*$B$25</x:f>
        <x:v>1279577044.416764</x:v>
      </x:c>
    </x:row>
    <x:row r="72">
      <x:c r="A72" t="str">
        <x:v>Increase in NWC USD</x:v>
      </x:c>
      <x:c r="C72" s="2" t="n">
        <x:f>(C67-$B$10)*$B$26</x:f>
        <x:v>-50497961.72306259</x:v>
      </x:c>
      <x:c r="D72" s="2" t="n">
        <x:f>(D67-C67)*$B$26</x:f>
        <x:v>-45673175.73516426</x:v>
      </x:c>
      <x:c r="E72" s="2" t="n">
        <x:f>(E67-D67)*$B$26</x:f>
        <x:v>-41309369.934083864</x:v>
      </x:c>
      <x:c r="F72" s="2" t="n">
        <x:f>(F67-E67)*$B$26</x:f>
        <x:v>-37362500.34913086</x:v>
      </x:c>
      <x:c r="G72" s="2" t="n">
        <x:f>(G67-F67)*$B$26</x:f>
        <x:v>-33792731.15436745</x:v>
      </x:c>
    </x:row>
    <x:row r="73">
      <x:c r="A73" t="str">
        <x:v>FCF USD</x:v>
      </x:c>
      <x:c r="C73" s="2" t="n">
        <x:f>C69+C70-C71-C72</x:f>
        <x:v>-423842264.73515886</x:v>
      </x:c>
      <x:c r="D73" s="2" t="n">
        <x:f>D69+D70-D71-D72</x:f>
        <x:v>-383346606.09475577</x:v>
      </x:c>
      <x:c r="E73" s="2" t="n">
        <x:f>E69+E70-E71-E72</x:f>
        <x:v>-346720071.6667405</x:v>
      </x:c>
      <x:c r="F73" s="2" t="n">
        <x:f>F69+F70-F71-F72</x:f>
        <x:v>-313592989.17824495</x:v>
      </x:c>
      <x:c r="G73" s="2" t="n">
        <x:f>G69+G70-G71-G72</x:f>
        <x:v>-283631006.38797045</x:v>
      </x:c>
    </x:row>
    <x:row r="74">
      <x:c r="A74" t="str">
        <x:v>PV of FCF USD</x:v>
      </x:c>
      <x:c r="C74" s="2" t="n">
        <x:f>C73/(1+$B$77)^1</x:f>
        <x:v>-368383446.1732895</x:v>
      </x:c>
      <x:c r="D74" s="2" t="n">
        <x:f>D73/(1+$B$77)^2</x:f>
        <x:v>-289589834.1716934</x:v>
      </x:c>
      <x:c r="E74" s="2" t="n">
        <x:f>E73/(1+$B$77)^3</x:f>
        <x:v>-227649404.24641025</x:v>
      </x:c>
      <x:c r="F74" s="2" t="n">
        <x:f>F73/(1+$B$77)^4</x:f>
        <x:v>-178957425.77420625</x:v>
      </x:c>
      <x:c r="G74" s="2" t="n">
        <x:f>G73/(1+$B$77)^5</x:f>
        <x:v>-140680184.71537706</x:v>
      </x:c>
    </x:row>
    <x:row r="77">
      <x:c r="A77" t="str">
        <x:v>WACC</x:v>
      </x:c>
      <x:c r="B77" s="1" t="n">
        <x:f>MAX(5%,MIN(20%,$B$60))</x:f>
        <x:v>0.15054644593281</x:v>
      </x:c>
    </x:row>
    <x:row r="78">
      <x:c r="A78" t="str">
        <x:v>Terminal growth</x:v>
      </x:c>
      <x:c r="B78" s="1" t="n">
        <x:f>MAX(0%,MIN(5%,$B$23))</x:f>
        <x:v>0.025</x:v>
      </x:c>
    </x:row>
    <x:row r="79">
      <x:c r="A79" t="str">
        <x:v>Terminal FCF</x:v>
      </x:c>
      <x:c r="B79" s="2" t="n">
        <x:f>G73</x:f>
        <x:v>-283631006.38797045</x:v>
      </x:c>
    </x:row>
    <x:row r="80">
      <x:c r="A80" t="str">
        <x:v>Undiscounted terminal value</x:v>
      </x:c>
      <x:c r="B80" s="2" t="n">
        <x:f>B79*(1+B78)/(B77-B78)</x:f>
        <x:v>-2315651226.8237233</x:v>
      </x:c>
    </x:row>
    <x:row r="81">
      <x:c r="A81" t="str">
        <x:v>PV terminal value</x:v>
      </x:c>
      <x:c r="B81" s="2" t="n">
        <x:f>B80/(1+B77)^5</x:f>
        <x:v>-1148556522.3441927</x:v>
      </x:c>
    </x:row>
    <x:row r="82">
      <x:c r="A82" t="str">
        <x:v>PV annual FCF</x:v>
      </x:c>
      <x:c r="B82" s="2" t="n">
        <x:f>SUM(C74:G74)</x:f>
        <x:v>-1205260295.0809765</x:v>
      </x:c>
    </x:row>
    <x:row r="83">
      <x:c r="A83" t="str">
        <x:v>Enterprise value</x:v>
      </x:c>
      <x:c r="B83" s="2" t="n">
        <x:f>B81+B82</x:f>
        <x:v>-2353816817.425169</x:v>
      </x:c>
    </x:row>
    <x:row r="84">
      <x:c r="A84" t="str">
        <x:v>Equity value</x:v>
      </x:c>
      <x:c r="B84" s="2" t="n">
        <x:f>B83-$B$16+$B$17</x:f>
        <x:v>-34673816817.42517</x:v>
      </x:c>
    </x:row>
    <x:row r="85">
      <x:c r="A85" t="str">
        <x:v>Per-share value</x:v>
      </x:c>
      <x:c r="B85" s="5" t="n">
        <x:f>B84/$B$14</x:f>
        <x:v>-6.55942609896238</x:v>
      </x:c>
    </x:row>
    <x:row r="86">
      <x:c r="A86" t="str">
        <x:v>PV terminal / EV</x:v>
      </x:c>
      <x:c r="B86" s="1" t="str">
        <x:f>IF(B83&gt;0,B81/B83,"N/A: EV&lt;=0")</x:f>
        <x:v>N/A: EV&lt;=0</x:v>
      </x:c>
    </x:row>
    <x:row r="94">
      <x:c r="A94" s="8" t="str">
        <x:v>Bear • 5 annual forecast years</x:v>
      </x:c>
      <x:c r="B94" s="8"/>
      <x:c r="C94" s="8" t="str">
        <x:v>Year 1</x:v>
      </x:c>
      <x:c r="D94" s="8" t="str">
        <x:v>Year 2</x:v>
      </x:c>
      <x:c r="E94" s="8" t="str">
        <x:v>Year 3</x:v>
      </x:c>
      <x:c r="F94" s="8" t="str">
        <x:v>Year 4</x:v>
      </x:c>
      <x:c r="G94" s="8" t="str">
        <x:v>Year 5</x:v>
      </x:c>
      <x:c r="H94" s="8"/>
      <x:c r="I94" s="8"/>
      <x:c r="J94" s="8"/>
      <x:c r="K94" s="8"/>
      <x:c r="L94" s="8"/>
    </x:row>
    <x:row r="95">
      <x:c r="A95" t="str">
        <x:v>Growth</x:v>
      </x:c>
      <x:c r="C95" s="1" t="n">
        <x:f>$B$45+$B$29</x:f>
        <x:v>-0.11554417293826767</x:v>
      </x:c>
      <x:c r="D95" s="1" t="n">
        <x:f>$B$45+$B$29</x:f>
        <x:v>-0.11554417293826767</x:v>
      </x:c>
      <x:c r="E95" s="1" t="n">
        <x:f>IF($B$45&gt;$B$27,$B$27+($B$45-$B$27)*2/3,$B$45)+$B$29</x:f>
        <x:v>-0.11554417293826767</x:v>
      </x:c>
      <x:c r="F95" s="1" t="n">
        <x:f>IF($B$45&gt;$B$27,$B$27+($B$45-$B$27)/3,$B$45)+$B$29</x:f>
        <x:v>-0.11554417293826767</x:v>
      </x:c>
      <x:c r="G95" s="1" t="n">
        <x:f>IF($B$45&gt;$B$27,$B$27,$B$45)+$B$29</x:f>
        <x:v>-0.11554417293826767</x:v>
      </x:c>
    </x:row>
    <x:row r="96">
      <x:c r="A96" t="str">
        <x:v>EBIT margin</x:v>
      </x:c>
      <x:c r="C96" s="1" t="n">
        <x:f>$B$47+$B$30</x:f>
        <x:v>-0.005375148250877066</x:v>
      </x:c>
      <x:c r="D96" s="1" t="n">
        <x:f>$B$47+$B$30</x:f>
        <x:v>-0.005375148250877066</x:v>
      </x:c>
      <x:c r="E96" s="1" t="n">
        <x:f>$B$47+$B$30</x:f>
        <x:v>-0.005375148250877066</x:v>
      </x:c>
      <x:c r="F96" s="1" t="n">
        <x:f>$B$47+$B$30</x:f>
        <x:v>-0.005375148250877066</x:v>
      </x:c>
      <x:c r="G96" s="1" t="n">
        <x:f>$B$47+$B$30</x:f>
        <x:v>-0.005375148250877066</x:v>
      </x:c>
    </x:row>
    <x:row r="97">
      <x:c r="A97" t="str">
        <x:v>Revenue USD</x:v>
      </x:c>
      <x:c r="C97" s="2" t="n">
        <x:f>$B$10*(1+C95)</x:f>
        <x:v>46746143827.69374</x:v>
      </x:c>
      <x:c r="D97" s="2" t="n">
        <x:f>C97*(1+D95)</x:f>
        <x:v>41344899301.06956</x:v>
      </x:c>
      <x:c r="E97" s="2" t="n">
        <x:f>D97*(1+E95)</x:f>
        <x:v>36567737106.11151</x:v>
      </x:c>
      <x:c r="F97" s="2" t="n">
        <x:f>E97*(1+F95)</x:f>
        <x:v>32342548165.961853</x:v>
      </x:c>
      <x:c r="G97" s="2" t="n">
        <x:f>F97*(1+G95)</x:f>
        <x:v>28605555187.409706</x:v>
      </x:c>
    </x:row>
    <x:row r="98">
      <x:c r="A98" t="str">
        <x:v>EBIT USD</x:v>
      </x:c>
      <x:c r="C98" s="2" t="n">
        <x:f>C97*C96</x:f>
        <x:v>-251267453.2306758</x:v>
      </x:c>
      <x:c r="D98" s="2" t="n">
        <x:f>D97*D96</x:f>
        <x:v>-222234963.16083246</x:v>
      </x:c>
      <x:c r="E98" s="2" t="n">
        <x:f>E97*E96</x:f>
        <x:v>-196557008.14444768</x:v>
      </x:c>
      <x:c r="F98" s="2" t="n">
        <x:f>F97*F96</x:f>
        <x:v>-173845991.20317712</x:v>
      </x:c>
      <x:c r="G98" s="2" t="n">
        <x:f>G97*G96</x:f>
        <x:v>-153759099.93097267</x:v>
      </x:c>
    </x:row>
    <x:row r="99">
      <x:c r="A99" t="str">
        <x:v>NOPAT USD</x:v>
      </x:c>
      <x:c r="C99" s="2" t="n">
        <x:f>C98*(1-$B$49)</x:f>
        <x:v>-4195859.848424893</x:v>
      </x:c>
      <x:c r="D99" s="2" t="n">
        <x:f>D98*(1-$B$49)</x:f>
        <x:v>-3711052.6924737524</x:v>
      </x:c>
      <x:c r="E99" s="2" t="n">
        <x:f>E98*(1-$B$49)</x:f>
        <x:v>-3282262.1783915414</x:v>
      </x:c>
      <x:c r="F99" s="2" t="n">
        <x:f>F98*(1-$B$49)</x:f>
        <x:v>-2903015.9096227335</x:v>
      </x:c>
      <x:c r="G99" s="2" t="n">
        <x:f>G98*(1-$B$49)</x:f>
        <x:v>-2567589.337318742</x:v>
      </x:c>
    </x:row>
    <x:row r="100">
      <x:c r="A100" t="str">
        <x:v>D&amp;A USD</x:v>
      </x:c>
      <x:c r="C100" s="2" t="n">
        <x:f>C97*$B$24</x:f>
        <x:v>1402384314.8308122</x:v>
      </x:c>
      <x:c r="D100" s="2" t="n">
        <x:f>D97*$B$24</x:f>
        <x:v>1240346979.0320866</x:v>
      </x:c>
      <x:c r="E100" s="2" t="n">
        <x:f>E97*$B$24</x:f>
        <x:v>1097032113.1833453</x:v>
      </x:c>
      <x:c r="F100" s="2" t="n">
        <x:f>F97*$B$24</x:f>
        <x:v>970276444.9788556</x:v>
      </x:c>
      <x:c r="G100" s="2" t="n">
        <x:f>G97*$B$24</x:f>
        <x:v>858166655.6222912</x:v>
      </x:c>
    </x:row>
    <x:row r="101">
      <x:c r="A101" t="str">
        <x:v>CapEx USD</x:v>
      </x:c>
      <x:c r="C101" s="2" t="n">
        <x:f>C97*$B$25</x:f>
        <x:v>1869845753.1077497</x:v>
      </x:c>
      <x:c r="D101" s="2" t="n">
        <x:f>D97*$B$25</x:f>
        <x:v>1653795972.0427823</x:v>
      </x:c>
      <x:c r="E101" s="2" t="n">
        <x:f>E97*$B$25</x:f>
        <x:v>1462709484.2444606</x:v>
      </x:c>
      <x:c r="F101" s="2" t="n">
        <x:f>F97*$B$25</x:f>
        <x:v>1293701926.6384742</x:v>
      </x:c>
      <x:c r="G101" s="2" t="n">
        <x:f>G97*$B$25</x:f>
        <x:v>1144222207.4963882</x:v>
      </x:c>
    </x:row>
    <x:row r="102">
      <x:c r="A102" t="str">
        <x:v>Increase in NWC USD</x:v>
      </x:c>
      <x:c r="C102" s="2" t="n">
        <x:f>(C97-$B$10)*$B$26</x:f>
        <x:v>-61068561.72306259</x:v>
      </x:c>
      <x:c r="D102" s="2" t="n">
        <x:f>(D97-C97)*$B$26</x:f>
        <x:v>-54012445.26624184</x:v>
      </x:c>
      <x:c r="E102" s="2" t="n">
        <x:f>(E97-D97)*$B$26</x:f>
        <x:v>-47771621.94958046</x:v>
      </x:c>
      <x:c r="F102" s="2" t="n">
        <x:f>(F97-E97)*$B$26</x:f>
        <x:v>-42251889.40149658</x:v>
      </x:c>
      <x:c r="G102" s="2" t="n">
        <x:f>(G97-F97)*$B$26</x:f>
        <x:v>-37369929.78552147</x:v>
      </x:c>
    </x:row>
    <x:row r="103">
      <x:c r="A103" t="str">
        <x:v>FCF USD</x:v>
      </x:c>
      <x:c r="C103" s="2" t="n">
        <x:f>C99+C100-C101-C102</x:f>
        <x:v>-410588736.4022998</x:v>
      </x:c>
      <x:c r="D103" s="2" t="n">
        <x:f>D99+D100-D101-D102</x:f>
        <x:v>-363147600.4369275</x:v>
      </x:c>
      <x:c r="E103" s="2" t="n">
        <x:f>E99+E100-E101-E102</x:f>
        <x:v>-321188011.2899263</x:v>
      </x:c>
      <x:c r="F103" s="2" t="n">
        <x:f>F99+F100-F101-F102</x:f>
        <x:v>-284076608.1677448</x:v>
      </x:c>
      <x:c r="G103" s="2" t="n">
        <x:f>G99+G100-G101-G102</x:f>
        <x:v>-251253211.4258943</x:v>
      </x:c>
    </x:row>
    <x:row r="104">
      <x:c r="A104" t="str">
        <x:v>PV of FCF USD</x:v>
      </x:c>
      <x:c r="C104" s="2" t="n">
        <x:f>C103/(1+$B$107)^1</x:f>
        <x:v>-353789146.3467296</x:v>
      </x:c>
      <x:c r="D104" s="2" t="n">
        <x:f>D103/(1+$B$107)^2</x:f>
        <x:v>-269623739.0017192</x:v>
      </x:c>
      <x:c r="E104" s="2" t="n">
        <x:f>E103/(1+$B$107)^3</x:f>
        <x:v>-205481036.8942774</x:v>
      </x:c>
      <x:c r="F104" s="2" t="n">
        <x:f>F103/(1+$B$107)^4</x:f>
        <x:v>-156597696.7735699</x:v>
      </x:c>
      <x:c r="G104" s="2" t="n">
        <x:f>G103/(1+$B$107)^5</x:f>
        <x:v>-119343560.87274493</x:v>
      </x:c>
    </x:row>
    <x:row r="107">
      <x:c r="A107" t="str">
        <x:v>WACC</x:v>
      </x:c>
      <x:c r="B107" s="1" t="n">
        <x:f>MAX(5%,MIN(20%,$B$60+$B$31))</x:f>
        <x:v>0.16054644593281</x:v>
      </x:c>
    </x:row>
    <x:row r="108">
      <x:c r="A108" t="str">
        <x:v>Terminal growth</x:v>
      </x:c>
      <x:c r="B108" s="1" t="n">
        <x:f>MAX(0%,MIN(5%,$B$23+$B$32))</x:f>
        <x:v>0.02</x:v>
      </x:c>
    </x:row>
    <x:row r="109">
      <x:c r="A109" t="str">
        <x:v>Terminal FCF</x:v>
      </x:c>
      <x:c r="B109" s="2" t="n">
        <x:f>G103</x:f>
        <x:v>-251253211.4258943</x:v>
      </x:c>
    </x:row>
    <x:row r="110">
      <x:c r="A110" t="str">
        <x:v>Undiscounted terminal value</x:v>
      </x:c>
      <x:c r="B110" s="2" t="n">
        <x:f>B109*(1+B108)/(B107-B108)</x:f>
        <x:v>-1823441880.3939674</x:v>
      </x:c>
    </x:row>
    <x:row r="111">
      <x:c r="A111" t="str">
        <x:v>PV terminal value</x:v>
      </x:c>
      <x:c r="B111" s="2" t="n">
        <x:f>B110/(1+B107)^5</x:f>
        <x:v>-866122450.0005826</x:v>
      </x:c>
    </x:row>
    <x:row r="112">
      <x:c r="A112" t="str">
        <x:v>PV annual FCF</x:v>
      </x:c>
      <x:c r="B112" s="2" t="n">
        <x:f>SUM(C104:G104)</x:f>
        <x:v>-1104835179.889041</x:v>
      </x:c>
    </x:row>
    <x:row r="113">
      <x:c r="A113" t="str">
        <x:v>Enterprise value</x:v>
      </x:c>
      <x:c r="B113" s="2" t="n">
        <x:f>B111+B112</x:f>
        <x:v>-1970957629.8896236</x:v>
      </x:c>
    </x:row>
    <x:row r="114">
      <x:c r="A114" t="str">
        <x:v>Equity value</x:v>
      </x:c>
      <x:c r="B114" s="2" t="n">
        <x:f>B113-$B$16+$B$17</x:f>
        <x:v>-34290957629.889626</x:v>
      </x:c>
    </x:row>
    <x:row r="115">
      <x:c r="A115" t="str">
        <x:v>Per-share value</x:v>
      </x:c>
      <x:c r="B115" s="5" t="n">
        <x:f>B114/$B$14</x:f>
        <x:v>-6.486998637048637</x:v>
      </x:c>
    </x:row>
    <x:row r="116">
      <x:c r="A116" t="str">
        <x:v>PV terminal / EV</x:v>
      </x:c>
      <x:c r="B116" s="1" t="str">
        <x:f>IF(B113&gt;0,B111/B113,"N/A: EV&lt;=0")</x:f>
        <x:v>N/A: EV&lt;=0</x:v>
      </x:c>
    </x:row>
    <x:row r="124">
      <x:c r="A124" s="8" t="str">
        <x:v>Bull • 5 annual forecast years</x:v>
      </x:c>
      <x:c r="B124" s="8"/>
      <x:c r="C124" s="8" t="str">
        <x:v>Year 1</x:v>
      </x:c>
      <x:c r="D124" s="8" t="str">
        <x:v>Year 2</x:v>
      </x:c>
      <x:c r="E124" s="8" t="str">
        <x:v>Year 3</x:v>
      </x:c>
      <x:c r="F124" s="8" t="str">
        <x:v>Year 4</x:v>
      </x:c>
      <x:c r="G124" s="8" t="str">
        <x:v>Year 5</x:v>
      </x:c>
      <x:c r="H124" s="8"/>
      <x:c r="I124" s="8"/>
      <x:c r="J124" s="8"/>
      <x:c r="K124" s="8"/>
      <x:c r="L124" s="8"/>
    </x:row>
    <x:row r="125">
      <x:c r="A125" t="str">
        <x:v>Growth</x:v>
      </x:c>
      <x:c r="C125" s="1" t="n">
        <x:f>$B$45+$B$33</x:f>
        <x:v>-0.07554417293826766</x:v>
      </x:c>
      <x:c r="D125" s="1" t="n">
        <x:f>$B$45+$B$33</x:f>
        <x:v>-0.07554417293826766</x:v>
      </x:c>
      <x:c r="E125" s="1" t="n">
        <x:f>IF($B$45&gt;$B$27,$B$27+($B$45-$B$27)*2/3,$B$45)+$B$33</x:f>
        <x:v>-0.07554417293826766</x:v>
      </x:c>
      <x:c r="F125" s="1" t="n">
        <x:f>IF($B$45&gt;$B$27,$B$27+($B$45-$B$27)/3,$B$45)+$B$33</x:f>
        <x:v>-0.07554417293826766</x:v>
      </x:c>
      <x:c r="G125" s="1" t="n">
        <x:f>IF($B$45&gt;$B$27,$B$27,$B$45)+$B$33</x:f>
        <x:v>-0.07554417293826766</x:v>
      </x:c>
    </x:row>
    <x:row r="126">
      <x:c r="A126" t="str">
        <x:v>EBIT margin</x:v>
      </x:c>
      <x:c r="C126" s="1" t="n">
        <x:f>$B$47+$B$34</x:f>
        <x:v>0.014624851749122935</x:v>
      </x:c>
      <x:c r="D126" s="1" t="n">
        <x:f>$B$47+$B$34</x:f>
        <x:v>0.014624851749122935</x:v>
      </x:c>
      <x:c r="E126" s="1" t="n">
        <x:f>$B$47+$B$34</x:f>
        <x:v>0.014624851749122935</x:v>
      </x:c>
      <x:c r="F126" s="1" t="n">
        <x:f>$B$47+$B$34</x:f>
        <x:v>0.014624851749122935</x:v>
      </x:c>
      <x:c r="G126" s="1" t="n">
        <x:f>$B$47+$B$34</x:f>
        <x:v>0.014624851749122935</x:v>
      </x:c>
    </x:row>
    <x:row r="127">
      <x:c r="A127" t="str">
        <x:v>Revenue USD</x:v>
      </x:c>
      <x:c r="C127" s="2" t="n">
        <x:f>$B$10*(1+C125)</x:f>
        <x:v>48860263827.69374</x:v>
      </x:c>
      <x:c r="D127" s="2" t="n">
        <x:f>C127*(1+D125)</x:f>
        <x:v>45169155607.285065</x:v>
      </x:c>
      <x:c r="E127" s="2" t="n">
        <x:f>D127*(1+E125)</x:f>
        <x:v>41756889104.6128</x:v>
      </x:c>
      <x:c r="F127" s="2" t="n">
        <x:f>E127*(1+F125)</x:f>
        <x:v>38602399452.729866</x:v>
      </x:c>
      <x:c r="G127" s="2" t="n">
        <x:f>F127*(1+G125)</x:f>
        <x:v>35686213112.640755</x:v>
      </x:c>
    </x:row>
    <x:row r="128">
      <x:c r="A128" t="str">
        <x:v>EBIT USD</x:v>
      </x:c>
      <x:c r="C128" s="2" t="n">
        <x:f>C127*C126</x:f>
        <x:v>714574114.9030548</x:v>
      </x:c>
      <x:c r="D128" s="2" t="n">
        <x:f>D127*D126</x:f>
        <x:v>660592204.389609</x:v>
      </x:c>
      <x:c r="E128" s="2" t="n">
        <x:f>E127*E126</x:f>
        <x:v>610688312.659529</x:v>
      </x:c>
      <x:c r="F128" s="2" t="n">
        <x:f>F127*F126</x:f>
        <x:v>564554369.1565986</x:v>
      </x:c>
      <x:c r="G128" s="2" t="n">
        <x:f>G127*G126</x:f>
        <x:v>521905576.25997794</x:v>
      </x:c>
    </x:row>
    <x:row r="129">
      <x:c r="A129" t="str">
        <x:v>NOPAT USD</x:v>
      </x:c>
      <x:c r="C129" s="2" t="n">
        <x:f>C128*(1-$B$49)</x:f>
        <x:v>11932515.72734707</x:v>
      </x:c>
      <x:c r="D129" s="2" t="n">
        <x:f>D128*(1-$B$49)</x:f>
        <x:v>11031083.695651766</x:v>
      </x:c>
      <x:c r="E129" s="2" t="n">
        <x:f>E128*(1-$B$49)</x:f>
        <x:v>10197749.601250945</x:v>
      </x:c>
      <x:c r="F129" s="2" t="n">
        <x:f>F128*(1-$B$49)</x:f>
        <x:v>9427369.041792892</x:v>
      </x:c>
      <x:c r="G129" s="2" t="n">
        <x:f>G128*(1-$B$49)</x:f>
        <x:v>8715186.244546821</x:v>
      </x:c>
    </x:row>
    <x:row r="130">
      <x:c r="A130" t="str">
        <x:v>D&amp;A USD</x:v>
      </x:c>
      <x:c r="C130" s="2" t="n">
        <x:f>C127*$B$24</x:f>
        <x:v>1465807914.8308122</x:v>
      </x:c>
      <x:c r="D130" s="2" t="n">
        <x:f>D127*$B$24</x:f>
        <x:v>1355074668.2185519</x:v>
      </x:c>
      <x:c r="E130" s="2" t="n">
        <x:f>E127*$B$24</x:f>
        <x:v>1252706673.1383839</x:v>
      </x:c>
      <x:c r="F130" s="2" t="n">
        <x:f>F127*$B$24</x:f>
        <x:v>1158071983.5818958</x:v>
      </x:c>
      <x:c r="G130" s="2" t="n">
        <x:f>G127*$B$24</x:f>
        <x:v>1070586393.3792226</x:v>
      </x:c>
    </x:row>
    <x:row r="131">
      <x:c r="A131" t="str">
        <x:v>CapEx USD</x:v>
      </x:c>
      <x:c r="C131" s="2" t="n">
        <x:f>C127*$B$25</x:f>
        <x:v>1954410553.1077497</x:v>
      </x:c>
      <x:c r="D131" s="2" t="n">
        <x:f>D127*$B$25</x:f>
        <x:v>1806766224.2914026</x:v>
      </x:c>
      <x:c r="E131" s="2" t="n">
        <x:f>E127*$B$25</x:f>
        <x:v>1670275564.1845121</x:v>
      </x:c>
      <x:c r="F131" s="2" t="n">
        <x:f>F127*$B$25</x:f>
        <x:v>1544095978.1091948</x:v>
      </x:c>
      <x:c r="G131" s="2" t="n">
        <x:f>G127*$B$25</x:f>
        <x:v>1427448524.5056303</x:v>
      </x:c>
    </x:row>
    <x:row r="132">
      <x:c r="A132" t="str">
        <x:v>Increase in NWC USD</x:v>
      </x:c>
      <x:c r="C132" s="2" t="n">
        <x:f>(C127-$B$10)*$B$26</x:f>
        <x:v>-39927361.72306259</x:v>
      </x:c>
      <x:c r="D132" s="2" t="n">
        <x:f>(D127-C127)*$B$26</x:f>
        <x:v>-36911082.204086766</x:v>
      </x:c>
      <x:c r="E132" s="2" t="n">
        <x:f>(E127-D127)*$B$26</x:f>
        <x:v>-34122665.02672264</x:v>
      </x:c>
      <x:c r="F132" s="2" t="n">
        <x:f>(F127-E127)*$B$26</x:f>
        <x:v>-31544896.518829346</x:v>
      </x:c>
      <x:c r="G132" s="2" t="n">
        <x:f>(G127-F127)*$B$26</x:f>
        <x:v>-29161863.400891114</x:v>
      </x:c>
    </x:row>
    <x:row r="133">
      <x:c r="A133" t="str">
        <x:v>FCF USD</x:v>
      </x:c>
      <x:c r="C133" s="2" t="n">
        <x:f>C129+C130-C131-C132</x:f>
        <x:v>-436742760.8265278</x:v>
      </x:c>
      <x:c r="D133" s="2" t="n">
        <x:f>D129+D130-D131-D132</x:f>
        <x:v>-403749390.17311215</x:v>
      </x:c>
      <x:c r="E133" s="2" t="n">
        <x:f>E129+E130-E131-E132</x:f>
        <x:v>-373248476.4181547</x:v>
      </x:c>
      <x:c r="F133" s="2" t="n">
        <x:f>F129+F130-F131-F132</x:f>
        <x:v>-345051728.9666767</x:v>
      </x:c>
      <x:c r="G133" s="2" t="n">
        <x:f>G129+G130-G131-G132</x:f>
        <x:v>-318985081.4809696</x:v>
      </x:c>
    </x:row>
    <x:row r="134">
      <x:c r="A134" t="str">
        <x:v>PV of FCF USD</x:v>
      </x:c>
      <x:c r="C134" s="2" t="n">
        <x:f>C133/(1+$B$137)^1</x:f>
        <x:v>-382924134.6408583</x:v>
      </x:c>
      <x:c r="D134" s="2" t="n">
        <x:f>D133/(1+$B$137)^2</x:f>
        <x:v>-310374425.21842456</x:v>
      </x:c>
      <x:c r="E134" s="2" t="n">
        <x:f>E133/(1+$B$137)^3</x:f>
        <x:v>-251570154.80368403</x:v>
      </x:c>
      <x:c r="F134" s="2" t="n">
        <x:f>F133/(1+$B$137)^4</x:f>
        <x:v>-203907080.11270964</x:v>
      </x:c>
      <x:c r="G134" s="2" t="n">
        <x:f>G133/(1+$B$137)^5</x:f>
        <x:v>-165274363.9345333</x:v>
      </x:c>
    </x:row>
    <x:row r="137">
      <x:c r="A137" t="str">
        <x:v>WACC</x:v>
      </x:c>
      <x:c r="B137" s="1" t="n">
        <x:f>MAX(5%,MIN(20%,$B$60+$B$35))</x:f>
        <x:v>0.14054644593281</x:v>
      </x:c>
    </x:row>
    <x:row r="138">
      <x:c r="A138" t="str">
        <x:v>Terminal growth</x:v>
      </x:c>
      <x:c r="B138" s="1" t="n">
        <x:f>MAX(0%,MIN(5%,$B$23+$B$36))</x:f>
        <x:v>0.030000000000000002</x:v>
      </x:c>
    </x:row>
    <x:row r="139">
      <x:c r="A139" t="str">
        <x:v>Terminal FCF</x:v>
      </x:c>
      <x:c r="B139" s="2" t="n">
        <x:f>G133</x:f>
        <x:v>-318985081.4809696</x:v>
      </x:c>
    </x:row>
    <x:row r="140">
      <x:c r="A140" t="str">
        <x:v>Undiscounted terminal value</x:v>
      </x:c>
      <x:c r="B140" s="2" t="n">
        <x:f>B139*(1+B138)/(B137-B138)</x:f>
        <x:v>-2972095856.660049</x:v>
      </x:c>
    </x:row>
    <x:row r="141">
      <x:c r="A141" t="str">
        <x:v>PV terminal value</x:v>
      </x:c>
      <x:c r="B141" s="2" t="n">
        <x:f>B140/(1+B137)^5</x:f>
        <x:v>-1539919202.4322202</x:v>
      </x:c>
    </x:row>
    <x:row r="142">
      <x:c r="A142" t="str">
        <x:v>PV annual FCF</x:v>
      </x:c>
      <x:c r="B142" s="2" t="n">
        <x:f>SUM(C134:G134)</x:f>
        <x:v>-1314050158.7102098</x:v>
      </x:c>
    </x:row>
    <x:row r="143">
      <x:c r="A143" t="str">
        <x:v>Enterprise value</x:v>
      </x:c>
      <x:c r="B143" s="2" t="n">
        <x:f>B141+B142</x:f>
        <x:v>-2853969361.1424303</x:v>
      </x:c>
    </x:row>
    <x:row r="144">
      <x:c r="A144" t="str">
        <x:v>Equity value</x:v>
      </x:c>
      <x:c r="B144" s="2" t="n">
        <x:f>B143-$B$16+$B$17</x:f>
        <x:v>-35173969361.14243</x:v>
      </x:c>
    </x:row>
    <x:row r="145">
      <x:c r="A145" t="str">
        <x:v>Per-share value</x:v>
      </x:c>
      <x:c r="B145" s="5" t="n">
        <x:f>B144/$B$14</x:f>
        <x:v>-6.654042554543143</x:v>
      </x:c>
    </x:row>
    <x:row r="146">
      <x:c r="A146" t="str">
        <x:v>PV terminal / EV</x:v>
      </x:c>
      <x:c r="B146" s="1" t="str">
        <x:f>IF(B143&gt;0,B141/B143,"N/A: EV&lt;=0")</x:f>
        <x:v>N/A: EV&lt;=0</x:v>
      </x:c>
    </x:row>
    <x:row r="150">
      <x:c r="A150" s="8" t="str">
        <x:v>Quality flags (1 = triggered, 0 = clear)</x:v>
      </x:c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t="str">
        <x:v>Nonpositive Base terminal FCF</x:v>
      </x:c>
      <x:c r="B151" t="b">
        <x:f>B79&lt;=0</x:f>
        <x:v>1</x:v>
      </x:c>
    </x:row>
    <x:row r="152">
      <x:c r="A152" t="str">
        <x:v>Nonpositive Base enterprise value</x:v>
      </x:c>
      <x:c r="B152" t="b">
        <x:f>B83&lt;=0</x:f>
        <x:v>1</x:v>
      </x:c>
    </x:row>
    <x:row r="153">
      <x:c r="A153" t="str">
        <x:v>Reversed Bear / Base / Bull</x:v>
      </x:c>
      <x:c r="B153" t="b">
        <x:f>NOT(AND(ISNUMBER(B115),ISNUMBER(B85),ISNUMBER(B145),B115&lt;=B85,B85&lt;=B145))</x:f>
        <x:v>1</x:v>
      </x:c>
    </x:row>
    <x:row r="154">
      <x:c r="A154" t="str">
        <x:v>Extreme observed tax &gt;= 60%</x:v>
      </x:c>
      <x:c r="B154" t="b">
        <x:f>AND(B50="OBSERVED",B48&gt;=60%)</x:f>
        <x:v>1</x:v>
      </x:c>
    </x:row>
    <x:row r="155">
      <x:c r="A155" t="str">
        <x:v>PV terminal / EV &gt;= 80%</x:v>
      </x:c>
      <x:c r="B155" t="b">
        <x:f>IF(AND(B83&gt;0,B81&gt;=0),B86&gt;=80%,FALSE)</x:f>
        <x:v>0</x:v>
      </x:c>
    </x:row>
    <x:row r="156">
      <x:c r="A156" t="str">
        <x:v>Quality classification</x:v>
      </x:c>
      <x:c r="B156" t="str">
        <x:f>IF(OR(B151,B152,B153),"DIAGNOSTIC ONLY",IF(OR(B154,B155),"CAUTION","ORDINARY"))</x:f>
        <x:v>DIAGNOSTIC ONLY</x:v>
      </x:c>
    </x:row>
    <x:row r="157">
      <x:c r="A157" t="str">
        <x:v>Mathematically computable</x:v>
      </x:c>
      <x:c r="B157" t="b">
        <x:f>AND(ISNUMBER(B85),ISNUMBER(B115),ISNUMBER(B145))</x:f>
        <x:v>1</x:v>
      </x:c>
    </x:row>
    <x:row r="158">
      <x:c r="A158" t="str">
        <x:v>Market comparison allowed</x:v>
      </x:c>
      <x:c r="B158" t="b">
        <x:f>AND(B157,B156="ORDINARY")</x:f>
        <x:v>0</x:v>
      </x:c>
    </x:row>
    <x:row r="160">
      <x:c r="A160" t="str">
        <x:v>Interpretation</x:v>
      </x:c>
      <x:c r="B160" t="str">
        <x:v>Values remain visible for diagnosis. Flagged cases are not actionable price targets.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29" hidden="0" customWidth="1"/>
    <x:col min="12" max="12" width="29" hidden="0" customWidth="1"/>
  </x:cols>
  <x:sheetData>
    <x:row r="1">
      <x:c r="A1" s="8" t="str">
        <x:v>VZ | independent staged DCF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>
      <x:c r="A2" t="str">
        <x:v>Frozen evidence only • USD actual • scenarios are diagnostic, not price targets</x:v>
      </x:c>
    </x:row>
    <x:row r="5">
      <x:c r="A5" s="8" t="str">
        <x:v>Fiscal end</x:v>
      </x:c>
      <x:c r="B5" s="8" t="str">
        <x:v>Revenue USD</x:v>
      </x:c>
      <x:c r="C5" s="8" t="str">
        <x:v>EBIT USD</x:v>
      </x:c>
      <x:c r="D5" s="8" t="str">
        <x:v>EBIT margin</x:v>
      </x:c>
      <x:c r="E5" s="8" t="str">
        <x:v>Revenue filed</x:v>
      </x:c>
      <x:c r="F5" s="8" t="str">
        <x:v>EBIT filed</x:v>
      </x:c>
      <x:c r="G5" s="8" t="str">
        <x:v>Revenue tag</x:v>
      </x:c>
      <x:c r="H5" s="8" t="str">
        <x:v>EBIT tag</x:v>
      </x:c>
      <x:c r="I5" s="8" t="str">
        <x:v>Revenue source</x:v>
      </x:c>
      <x:c r="J5" s="8" t="str">
        <x:v>EBIT source</x:v>
      </x:c>
      <x:c r="K5" s="8" t="str">
        <x:v>Revenue status</x:v>
      </x:c>
      <x:c r="L5" s="8" t="str">
        <x:v>EBIT status / derivation</x:v>
      </x:c>
    </x:row>
    <x:row r="6">
      <x:c r="A6" t="str">
        <x:v>2021-12-31</x:v>
      </x:c>
      <x:c r="B6" s="2" t="n">
        <x:v>133613000000</x:v>
      </x:c>
      <x:c r="C6" s="2" t="n">
        <x:v>32448000000</x:v>
      </x:c>
      <x:c r="D6" s="1" t="n">
        <x:f>C6/B6</x:f>
        <x:v>0.24285062082282413</x:v>
      </x:c>
      <x:c r="E6" t="str">
        <x:v>2022-02-11</x:v>
      </x:c>
      <x:c r="F6" t="str">
        <x:v>2022-02-11</x:v>
      </x:c>
      <x:c r="G6" t="str">
        <x:v>Revenues</x:v>
      </x:c>
      <x:c r="H6" t="str">
        <x:v>OperatingIncomeLoss</x:v>
      </x:c>
      <x:c r="I6" t="str">
        <x:v>https://www.sec.gov/Archives/edgar/data/732712/000073271222000008/0000732712-22-000008-index.htm</x:v>
      </x:c>
      <x:c r="J6" t="str">
        <x:v>https://www.sec.gov/Archives/edgar/data/732712/000073271222000008/0000732712-22-000008-index.htm</x:v>
      </x:c>
      <x:c r="K6" t="str">
        <x:v>Frozen SEC; no fallback</x:v>
      </x:c>
      <x:c r="L6" t="str">
        <x:v>Directly reported (OperatingIncomeLoss XBRL tag).</x:v>
      </x:c>
    </x:row>
    <x:row r="7">
      <x:c r="A7" t="str">
        <x:v>2022-12-31</x:v>
      </x:c>
      <x:c r="B7" s="2" t="n">
        <x:v>136835000000</x:v>
      </x:c>
      <x:c r="C7" s="2" t="n">
        <x:v>30467000000</x:v>
      </x:c>
      <x:c r="D7" s="1" t="n">
        <x:f>C7/B7</x:f>
        <x:v>0.2226550224723207</x:v>
      </x:c>
      <x:c r="E7" t="str">
        <x:v>2023-02-10</x:v>
      </x:c>
      <x:c r="F7" t="str">
        <x:v>2023-02-10</x:v>
      </x:c>
      <x:c r="G7" t="str">
        <x:v>Revenues</x:v>
      </x:c>
      <x:c r="H7" t="str">
        <x:v>OperatingIncomeLoss</x:v>
      </x:c>
      <x:c r="I7" t="str">
        <x:v>https://www.sec.gov/Archives/edgar/data/732712/000073271223000012/0000732712-23-000012-index.htm</x:v>
      </x:c>
      <x:c r="J7" t="str">
        <x:v>https://www.sec.gov/Archives/edgar/data/732712/000073271223000012/0000732712-23-000012-index.htm</x:v>
      </x:c>
      <x:c r="K7" t="str">
        <x:v>Frozen SEC; no fallback</x:v>
      </x:c>
      <x:c r="L7" t="str">
        <x:v>Directly reported (OperatingIncomeLoss XBRL tag).</x:v>
      </x:c>
    </x:row>
    <x:row r="8">
      <x:c r="A8" t="str">
        <x:v>2023-12-31</x:v>
      </x:c>
      <x:c r="B8" s="2" t="n">
        <x:v>133974000000</x:v>
      </x:c>
      <x:c r="C8" s="2" t="n">
        <x:v>22877000000</x:v>
      </x:c>
      <x:c r="D8" s="1" t="n">
        <x:f>C8/B8</x:f>
        <x:v>0.1707570125546748</x:v>
      </x:c>
      <x:c r="E8" t="str">
        <x:v>2024-02-09</x:v>
      </x:c>
      <x:c r="F8" t="str">
        <x:v>2024-02-09</x:v>
      </x:c>
      <x:c r="G8" t="str">
        <x:v>Revenues</x:v>
      </x:c>
      <x:c r="H8" t="str">
        <x:v>OperatingIncomeLoss</x:v>
      </x:c>
      <x:c r="I8" t="str">
        <x:v>https://www.sec.gov/Archives/edgar/data/732712/000073271224000010/0000732712-24-000010-index.htm</x:v>
      </x:c>
      <x:c r="J8" t="str">
        <x:v>https://www.sec.gov/Archives/edgar/data/732712/000073271224000010/0000732712-24-000010-index.htm</x:v>
      </x:c>
      <x:c r="K8" t="str">
        <x:v>Frozen SEC; no fallback</x:v>
      </x:c>
      <x:c r="L8" t="str">
        <x:v>Directly reported (OperatingIncomeLoss XBRL tag).</x:v>
      </x:c>
    </x:row>
    <x:row r="9">
      <x:c r="A9" t="str">
        <x:v>2024-12-31</x:v>
      </x:c>
      <x:c r="B9" s="2" t="n">
        <x:v>134788000000</x:v>
      </x:c>
      <x:c r="C9" s="2" t="n">
        <x:v>28686000000</x:v>
      </x:c>
      <x:c r="D9" s="1" t="n">
        <x:f>C9/B9</x:f>
        <x:v>0.21282309997922663</x:v>
      </x:c>
      <x:c r="E9" t="str">
        <x:v>2025-02-12</x:v>
      </x:c>
      <x:c r="F9" t="str">
        <x:v>2025-02-12</x:v>
      </x:c>
      <x:c r="G9" t="str">
        <x:v>Revenues</x:v>
      </x:c>
      <x:c r="H9" t="str">
        <x:v>OperatingIncomeLoss</x:v>
      </x:c>
      <x:c r="I9" t="str">
        <x:v>https://www.sec.gov/Archives/edgar/data/732712/000073271225000006/0000732712-25-000006-index.htm</x:v>
      </x:c>
      <x:c r="J9" t="str">
        <x:v>https://www.sec.gov/Archives/edgar/data/732712/000073271225000006/0000732712-25-000006-index.htm</x:v>
      </x:c>
      <x:c r="K9" t="str">
        <x:v>Frozen SEC; no fallback</x:v>
      </x:c>
      <x:c r="L9" t="str">
        <x:v>Directly reported (OperatingIncomeLoss XBRL tag).</x:v>
      </x:c>
    </x:row>
    <x:row r="10">
      <x:c r="A10" t="str">
        <x:v>2025-12-31</x:v>
      </x:c>
      <x:c r="B10" s="2" t="n">
        <x:v>138191000000</x:v>
      </x:c>
      <x:c r="C10" s="2" t="n">
        <x:v>29259000000</x:v>
      </x:c>
      <x:c r="D10" s="1" t="n">
        <x:f>C10/B10</x:f>
        <x:v>0.2117286943433364</x:v>
      </x:c>
      <x:c r="E10" t="str">
        <x:v>2026-02-17</x:v>
      </x:c>
      <x:c r="F10" t="str">
        <x:v>2026-02-17</x:v>
      </x:c>
      <x:c r="G10" t="str">
        <x:v>Revenues</x:v>
      </x:c>
      <x:c r="H10" t="str">
        <x:v>OperatingIncomeLoss</x:v>
      </x:c>
      <x:c r="I10" t="str">
        <x:v>https://www.sec.gov/Archives/edgar/data/732712/000073271226000007/0000732712-26-000007-index.htm</x:v>
      </x:c>
      <x:c r="J10" t="str">
        <x:v>https://www.sec.gov/Archives/edgar/data/732712/000073271226000007/0000732712-26-000007-index.htm</x:v>
      </x:c>
      <x:c r="K10" t="str">
        <x:v>Frozen SEC; no fallback</x:v>
      </x:c>
      <x:c r="L10" t="str">
        <x:v>Directly reported (OperatingIncomeLoss XBRL tag).</x:v>
      </x:c>
    </x:row>
    <x:row r="12">
      <x:c r="A12" s="8" t="str">
        <x:v>Input</x:v>
      </x:c>
      <x:c r="B12" s="8" t="str">
        <x:v>Value</x:v>
      </x:c>
      <x:c r="C12" s="8" t="str">
        <x:v>Unit</x:v>
      </x:c>
      <x:c r="D12" s="8" t="str">
        <x:v>Source date</x:v>
      </x:c>
      <x:c r="E12" s="8" t="str">
        <x:v>Source</x:v>
      </x:c>
      <x:c r="F12" s="8" t="str">
        <x:v>Fallback / status</x:v>
      </x:c>
      <x:c r="G12" s="8" t="str">
        <x:v>Note</x:v>
      </x:c>
      <x:c r="H12" s="8"/>
      <x:c r="I12" s="8"/>
      <x:c r="J12" s="8"/>
      <x:c r="K12" s="8"/>
      <x:c r="L12" s="8"/>
    </x:row>
    <x:row r="13">
      <x:c r="A13" t="str">
        <x:v>Market price</x:v>
      </x:c>
      <x:c r="B13" s="9" t="n">
        <x:v>48.155</x:v>
      </x:c>
      <x:c r="C13" t="str">
        <x:v>USD/share</x:v>
      </x:c>
      <x:c r="D13" t="str">
        <x:v>2026-08-17</x:v>
      </x:c>
      <x:c r="E13" t="str">
        <x:v>yfinance Ticker.info</x:v>
      </x:c>
      <x:c r="F13" t="str">
        <x:v>Observed / frozen</x:v>
      </x:c>
      <x:c r="G13" t="str"/>
    </x:row>
    <x:row r="14">
      <x:c r="A14" t="str">
        <x:v>Shares outstanding</x:v>
      </x:c>
      <x:c r="B14" s="10" t="n">
        <x:v>4154775202</x:v>
      </x:c>
      <x:c r="C14" t="str">
        <x:v>shares</x:v>
      </x:c>
      <x:c r="D14" t="str">
        <x:v>2026-08-17</x:v>
      </x:c>
      <x:c r="E14" t="str">
        <x:v>yfinance Ticker.info</x:v>
      </x:c>
      <x:c r="F14" t="str">
        <x:v>Observed / frozen</x:v>
      </x:c>
      <x:c r="G14" t="str"/>
    </x:row>
    <x:row r="15">
      <x:c r="A15" t="str">
        <x:v>Levered beta</x:v>
      </x:c>
      <x:c r="B15" s="11" t="n">
        <x:v>0.231</x:v>
      </x:c>
      <x:c r="C15" t="str">
        <x:v>ratio</x:v>
      </x:c>
      <x:c r="D15" t="str">
        <x:v>2026-08-17</x:v>
      </x:c>
      <x:c r="E15" t="str">
        <x:v>yfinance Ticker.info</x:v>
      </x:c>
      <x:c r="F15" t="str">
        <x:v>Observed / frozen</x:v>
      </x:c>
      <x:c r="G15" t="str"/>
    </x:row>
    <x:row r="16">
      <x:c r="A16" t="str">
        <x:v>Total debt</x:v>
      </x:c>
      <x:c r="B16" s="10" t="n">
        <x:v>158150000000</x:v>
      </x:c>
      <x:c r="C16" t="str">
        <x:v>USD</x:v>
      </x:c>
      <x:c r="D16" t="str">
        <x:v>2026-02-17</x:v>
      </x:c>
      <x:c r="E16" t="str">
        <x:v>Frozen SEC snapshot</x:v>
      </x:c>
      <x:c r="F16" t="str">
        <x:v>DebtLongtermAndShorttermCombinedAmount</x:v>
      </x:c>
      <x:c r="G16" t="str">
        <x:v>Total Debt = DebtLongtermAndShorttermCombinedAmount (reported directly, not summed) = $158,150,000,000</x:v>
      </x:c>
    </x:row>
    <x:row r="17">
      <x:c r="A17" t="str">
        <x:v>Cash and equivalents</x:v>
      </x:c>
      <x:c r="B17" s="10" t="n">
        <x:v>19048000000</x:v>
      </x:c>
      <x:c r="C17" t="str">
        <x:v>USD</x:v>
      </x:c>
      <x:c r="D17" t="str">
        <x:v>2026-02-17</x:v>
      </x:c>
      <x:c r="E17" t="str">
        <x:v>https://www.sec.gov/Archives/edgar/data/732712/000073271226000007/0000732712-26-000007-index.htm</x:v>
      </x:c>
      <x:c r="F17" t="str">
        <x:v>Observed / frozen</x:v>
      </x:c>
      <x:c r="G17" t="str"/>
    </x:row>
    <x:row r="18">
      <x:c r="A18" t="str">
        <x:v>Interest expense</x:v>
      </x:c>
      <x:c r="B18" s="10" t="n">
        <x:v>6694000000</x:v>
      </x:c>
      <x:c r="C18" t="str">
        <x:v>USD</x:v>
      </x:c>
      <x:c r="D18" t="str">
        <x:v>2026-02-17</x:v>
      </x:c>
      <x:c r="E18" t="str">
        <x:v>https://www.sec.gov/Archives/edgar/data/732712/000073271226000007/0000732712-26-000007-index.htm</x:v>
      </x:c>
      <x:c r="F18" t="str">
        <x:v>reported</x:v>
      </x:c>
      <x:c r="G18" t="str"/>
    </x:row>
    <x:row r="19">
      <x:c r="A19" t="str">
        <x:v>Pretax income</x:v>
      </x:c>
      <x:c r="B19" s="10" t="n">
        <x:v>22672000000</x:v>
      </x:c>
      <x:c r="C19" t="str">
        <x:v>USD</x:v>
      </x:c>
      <x:c r="D19" t="str">
        <x:v>2026-02-17</x:v>
      </x:c>
      <x:c r="E19" t="str">
        <x:v>https://www.sec.gov/Archives/edgar/data/732712/000073271226000007/0000732712-26-000007-index.htm</x:v>
      </x:c>
      <x:c r="F19" t="str">
        <x:v>Observed / frozen</x:v>
      </x:c>
      <x:c r="G19" t="str"/>
    </x:row>
    <x:row r="20">
      <x:c r="A20" t="str">
        <x:v>Tax provision</x:v>
      </x:c>
      <x:c r="B20" s="10" t="n">
        <x:v>5064000000</x:v>
      </x:c>
      <x:c r="C20" t="str">
        <x:v>USD</x:v>
      </x:c>
      <x:c r="D20" t="str">
        <x:v>2026-02-17</x:v>
      </x:c>
      <x:c r="E20" t="str">
        <x:v>https://www.sec.gov/Archives/edgar/data/732712/000073271226000007/0000732712-26-000007-index.htm</x:v>
      </x:c>
      <x:c r="F20" t="str">
        <x:v>Observed / frozen</x:v>
      </x:c>
      <x:c r="G20" t="str"/>
    </x:row>
    <x:row r="21">
      <x:c r="A21" t="str">
        <x:v>Risk-free rate</x:v>
      </x:c>
      <x:c r="B21" s="12" t="n">
        <x:v>0.04</x:v>
      </x:c>
      <x:c r="C21" t="str">
        <x:v>rate</x:v>
      </x:c>
      <x:c r="D21" t="str">
        <x:v>2026-09-13</x:v>
      </x:c>
      <x:c r="E21" t="str">
        <x:v>Written WACC policy; static offline default</x:v>
      </x:c>
      <x:c r="F21" t="str">
        <x:v>POLICY FALLBACK</x:v>
      </x:c>
      <x:c r="G21" t="str"/>
    </x:row>
    <x:row r="22">
      <x:c r="A22" t="str">
        <x:v>Market risk premium</x:v>
      </x:c>
      <x:c r="B22" s="12" t="n">
        <x:v>0.055</x:v>
      </x:c>
      <x:c r="C22" t="str">
        <x:v>rate</x:v>
      </x:c>
      <x:c r="D22" t="str">
        <x:v>2026-09-13</x:v>
      </x:c>
      <x:c r="E22" t="str">
        <x:v>Written WACC policy</x:v>
      </x:c>
      <x:c r="F22" t="str">
        <x:v>POLICY DEFAULT</x:v>
      </x:c>
      <x:c r="G22" t="str"/>
    </x:row>
    <x:row r="23">
      <x:c r="A23" t="str">
        <x:v>Base terminal growth</x:v>
      </x:c>
      <x:c r="B23" s="12" t="n">
        <x:v>0.025</x:v>
      </x:c>
      <x:c r="C23" t="str">
        <x:v>rate</x:v>
      </x:c>
      <x:c r="D23" t="str">
        <x:v>2026-09-13</x:v>
      </x:c>
      <x:c r="E23" t="str">
        <x:v>Written DCF policy</x:v>
      </x:c>
      <x:c r="F23" t="str">
        <x:v>POLICY DEFAULT</x:v>
      </x:c>
      <x:c r="G23" t="str"/>
    </x:row>
    <x:row r="24">
      <x:c r="A24" t="str">
        <x:v>D&amp;A / revenue</x:v>
      </x:c>
      <x:c r="B24" s="12" t="n">
        <x:v>0.03</x:v>
      </x:c>
      <x:c r="C24" t="str">
        <x:v>rate</x:v>
      </x:c>
      <x:c r="D24" t="str">
        <x:v>2026-09-13</x:v>
      </x:c>
      <x:c r="E24" t="str">
        <x:v>Written DCF policy</x:v>
      </x:c>
      <x:c r="F24" t="str">
        <x:v>POLICY DEFAULT</x:v>
      </x:c>
      <x:c r="G24" t="str"/>
    </x:row>
    <x:row r="25">
      <x:c r="A25" t="str">
        <x:v>CapEx / revenue</x:v>
      </x:c>
      <x:c r="B25" s="12" t="n">
        <x:v>0.04</x:v>
      </x:c>
      <x:c r="C25" t="str">
        <x:v>rate</x:v>
      </x:c>
      <x:c r="D25" t="str">
        <x:v>2026-09-13</x:v>
      </x:c>
      <x:c r="E25" t="str">
        <x:v>Written DCF policy</x:v>
      </x:c>
      <x:c r="F25" t="str">
        <x:v>POLICY DEFAULT</x:v>
      </x:c>
      <x:c r="G25" t="str"/>
    </x:row>
    <x:row r="26">
      <x:c r="A26" t="str">
        <x:v>Incremental NWC / revenue change</x:v>
      </x:c>
      <x:c r="B26" s="12" t="n">
        <x:v>0.01</x:v>
      </x:c>
      <x:c r="C26" t="str">
        <x:v>rate</x:v>
      </x:c>
      <x:c r="D26" t="str">
        <x:v>2026-09-13</x:v>
      </x:c>
      <x:c r="E26" t="str">
        <x:v>Written DCF policy</x:v>
      </x:c>
      <x:c r="F26" t="str">
        <x:v>POLICY DEFAULT</x:v>
      </x:c>
      <x:c r="G26" t="str"/>
    </x:row>
    <x:row r="27">
      <x:c r="A27" t="str">
        <x:v>Mature growth ceiling</x:v>
      </x:c>
      <x:c r="B27" s="12" t="n">
        <x:v>0.03</x:v>
      </x:c>
      <x:c r="C27" t="str">
        <x:v>rate</x:v>
      </x:c>
      <x:c r="D27" t="str">
        <x:v>2026-09-13</x:v>
      </x:c>
      <x:c r="E27" t="str">
        <x:v>Written DCF policy</x:v>
      </x:c>
      <x:c r="F27" t="str">
        <x:v>POLICY DEFAULT</x:v>
      </x:c>
      <x:c r="G27" t="str"/>
    </x:row>
    <x:row r="28">
      <x:c r="A28" t="str">
        <x:v>Years</x:v>
      </x:c>
      <x:c r="B28" s="13" t="n">
        <x:v>5</x:v>
      </x:c>
      <x:c r="C28" t="str">
        <x:v>years</x:v>
      </x:c>
      <x:c r="D28" t="str">
        <x:v>2026-09-13</x:v>
      </x:c>
      <x:c r="E28" t="str">
        <x:v>Written DCF policy</x:v>
      </x:c>
      <x:c r="F28" t="str">
        <x:v>POLICY DEFAULT</x:v>
      </x:c>
      <x:c r="G28" t="str"/>
    </x:row>
    <x:row r="29">
      <x:c r="A29" t="str">
        <x:v>Bear growth shift</x:v>
      </x:c>
      <x:c r="B29" s="12" t="n">
        <x:v>-0.02</x:v>
      </x:c>
      <x:c r="C29" t="str">
        <x:v>percentage points</x:v>
      </x:c>
      <x:c r="D29" t="str">
        <x:v>2026-09-13</x:v>
      </x:c>
      <x:c r="E29" t="str">
        <x:v>Validator scenario convention; absent from written spec</x:v>
      </x:c>
      <x:c r="F29" t="str">
        <x:v>SPEC GAP</x:v>
      </x:c>
      <x:c r="G29" t="str"/>
    </x:row>
    <x:row r="30">
      <x:c r="A30" t="str">
        <x:v>Bear margin shift</x:v>
      </x:c>
      <x:c r="B30" s="12" t="n">
        <x:v>-0.01</x:v>
      </x:c>
      <x:c r="C30" t="str">
        <x:v>percentage points</x:v>
      </x:c>
      <x:c r="D30" t="str">
        <x:v>2026-09-13</x:v>
      </x:c>
      <x:c r="E30" t="str">
        <x:v>Validator scenario convention; absent from written spec</x:v>
      </x:c>
      <x:c r="F30" t="str">
        <x:v>SPEC GAP</x:v>
      </x:c>
      <x:c r="G30" t="str"/>
    </x:row>
    <x:row r="31">
      <x:c r="A31" t="str">
        <x:v>Bear WACC shift</x:v>
      </x:c>
      <x:c r="B31" s="12" t="n">
        <x:v>0.01</x:v>
      </x:c>
      <x:c r="C31" t="str">
        <x:v>percentage points</x:v>
      </x:c>
      <x:c r="D31" t="str">
        <x:v>2026-09-13</x:v>
      </x:c>
      <x:c r="E31" t="str">
        <x:v>Validator scenario convention; absent from written spec</x:v>
      </x:c>
      <x:c r="F31" t="str">
        <x:v>SPEC GAP</x:v>
      </x:c>
      <x:c r="G31" t="str"/>
    </x:row>
    <x:row r="32">
      <x:c r="A32" t="str">
        <x:v>Bear terminal-g shift</x:v>
      </x:c>
      <x:c r="B32" s="12" t="n">
        <x:v>-0.005</x:v>
      </x:c>
      <x:c r="C32" t="str">
        <x:v>percentage points</x:v>
      </x:c>
      <x:c r="D32" t="str">
        <x:v>2026-09-13</x:v>
      </x:c>
      <x:c r="E32" t="str">
        <x:v>Validator scenario convention; absent from written spec</x:v>
      </x:c>
      <x:c r="F32" t="str">
        <x:v>SPEC GAP</x:v>
      </x:c>
      <x:c r="G32" t="str"/>
    </x:row>
    <x:row r="33">
      <x:c r="A33" t="str">
        <x:v>Bull growth shift</x:v>
      </x:c>
      <x:c r="B33" s="12" t="n">
        <x:v>0.02</x:v>
      </x:c>
      <x:c r="C33" t="str">
        <x:v>percentage points</x:v>
      </x:c>
      <x:c r="D33" t="str">
        <x:v>2026-09-13</x:v>
      </x:c>
      <x:c r="E33" t="str">
        <x:v>Validator scenario convention; absent from written spec</x:v>
      </x:c>
      <x:c r="F33" t="str">
        <x:v>SPEC GAP</x:v>
      </x:c>
      <x:c r="G33" t="str"/>
    </x:row>
    <x:row r="34">
      <x:c r="A34" t="str">
        <x:v>Bull margin shift</x:v>
      </x:c>
      <x:c r="B34" s="12" t="n">
        <x:v>0.01</x:v>
      </x:c>
      <x:c r="C34" t="str">
        <x:v>percentage points</x:v>
      </x:c>
      <x:c r="D34" t="str">
        <x:v>2026-09-13</x:v>
      </x:c>
      <x:c r="E34" t="str">
        <x:v>Validator scenario convention; absent from written spec</x:v>
      </x:c>
      <x:c r="F34" t="str">
        <x:v>SPEC GAP</x:v>
      </x:c>
      <x:c r="G34" t="str"/>
    </x:row>
    <x:row r="35">
      <x:c r="A35" t="str">
        <x:v>Bull WACC shift</x:v>
      </x:c>
      <x:c r="B35" s="12" t="n">
        <x:v>-0.01</x:v>
      </x:c>
      <x:c r="C35" t="str">
        <x:v>percentage points</x:v>
      </x:c>
      <x:c r="D35" t="str">
        <x:v>2026-09-13</x:v>
      </x:c>
      <x:c r="E35" t="str">
        <x:v>Validator scenario convention; absent from written spec</x:v>
      </x:c>
      <x:c r="F35" t="str">
        <x:v>SPEC GAP</x:v>
      </x:c>
      <x:c r="G35" t="str"/>
    </x:row>
    <x:row r="36">
      <x:c r="A36" t="str">
        <x:v>Bull terminal-g shift</x:v>
      </x:c>
      <x:c r="B36" s="12" t="n">
        <x:v>0.005</x:v>
      </x:c>
      <x:c r="C36" t="str">
        <x:v>percentage points</x:v>
      </x:c>
      <x:c r="D36" t="str">
        <x:v>2026-09-13</x:v>
      </x:c>
      <x:c r="E36" t="str">
        <x:v>Validator scenario convention; absent from written spec</x:v>
      </x:c>
      <x:c r="F36" t="str">
        <x:v>SPEC GAP</x:v>
      </x:c>
      <x:c r="G36" t="str"/>
    </x:row>
    <x:row r="37">
      <x:c r="A37" t="str">
        <x:v>Tax fallback</x:v>
      </x:c>
      <x:c r="B37" s="12" t="n">
        <x:v>0.21</x:v>
      </x:c>
      <x:c r="C37" t="str">
        <x:v>rate</x:v>
      </x:c>
      <x:c r="D37" t="str">
        <x:v>2026-09-13</x:v>
      </x:c>
      <x:c r="E37" t="str">
        <x:v>Written WACC policy</x:v>
      </x:c>
      <x:c r="F37" t="str">
        <x:v>POLICY FALLBACK</x:v>
      </x:c>
      <x:c r="G37" t="str"/>
    </x:row>
    <x:row r="38">
      <x:c r="A38" t="str">
        <x:v>Cost-debt fallback</x:v>
      </x:c>
      <x:c r="B38" s="12" t="n">
        <x:v>0.05</x:v>
      </x:c>
      <x:c r="C38" t="str">
        <x:v>rate</x:v>
      </x:c>
      <x:c r="D38" t="str">
        <x:v>2026-09-13</x:v>
      </x:c>
      <x:c r="E38" t="str">
        <x:v>Written WACC policy</x:v>
      </x:c>
      <x:c r="F38" t="str">
        <x:v>POLICY FALLBACK</x:v>
      </x:c>
      <x:c r="G38" t="str"/>
    </x:row>
    <x:row r="39">
      <x:c r="A39" t="str">
        <x:v>Growth fallback</x:v>
      </x:c>
      <x:c r="B39" s="12" t="n">
        <x:v>0.08</x:v>
      </x:c>
      <x:c r="C39" t="str">
        <x:v>rate</x:v>
      </x:c>
      <x:c r="D39" t="str">
        <x:v>2026-09-13</x:v>
      </x:c>
      <x:c r="E39" t="str">
        <x:v>Written DCF policy</x:v>
      </x:c>
      <x:c r="F39" t="str">
        <x:v>POLICY FALLBACK</x:v>
      </x:c>
      <x:c r="G39" t="str"/>
    </x:row>
    <x:row r="40">
      <x:c r="A40" t="str">
        <x:v>Margin fallback</x:v>
      </x:c>
      <x:c r="B40" s="12" t="n">
        <x:v>0.15</x:v>
      </x:c>
      <x:c r="C40" t="str">
        <x:v>rate</x:v>
      </x:c>
      <x:c r="D40" t="str">
        <x:v>2026-09-13</x:v>
      </x:c>
      <x:c r="E40" t="str">
        <x:v>Written DCF policy</x:v>
      </x:c>
      <x:c r="F40" t="str">
        <x:v>POLICY FALLBACK</x:v>
      </x:c>
      <x:c r="G40" t="str"/>
    </x:row>
    <x:row r="43">
      <x:c r="A43" t="str">
        <x:v>Elapsed fiscal years</x:v>
      </x:c>
      <x:c r="B43" s="14" t="n">
        <x:f>(DATE(2025,12,31)-DATE(2021,12,31))/365.25</x:f>
        <x:v>4</x:v>
      </x:c>
      <x:c r="H43" t="str">
        <x:v>CAGR date basis</x:v>
      </x:c>
      <x:c r="I43" t="str">
        <x:v>2021-12-31 to 2025-12-31; actual days / 365.25</x:v>
      </x:c>
    </x:row>
    <x:row r="44">
      <x:c r="A44" t="str">
        <x:v>Historical revenue CAGR</x:v>
      </x:c>
      <x:c r="B44" s="15" t="n">
        <x:f>IF(AND(B6&gt;0,B10&gt;0,B43&gt;0),(B10/B6)^(1/B43)-1,NA())</x:f>
        <x:v>0.008457873514414072</x:v>
      </x:c>
    </x:row>
    <x:row r="45">
      <x:c r="A45" t="str">
        <x:v>Resolved growth</x:v>
      </x:c>
      <x:c r="B45" s="15" t="n">
        <x:f>IF(ISNUMBER(B44),MIN(25%,B44),B39)</x:f>
        <x:v>0.008457873514414072</x:v>
      </x:c>
    </x:row>
    <x:row r="46">
      <x:c r="A46" t="str">
        <x:v>Average EBIT margin</x:v>
      </x:c>
      <x:c r="B46" s="15" t="n">
        <x:f>AVERAGE(D6:D10)</x:f>
        <x:v>0.21216289003447653</x:v>
      </x:c>
    </x:row>
    <x:row r="47">
      <x:c r="A47" t="str">
        <x:v>Resolved margin</x:v>
      </x:c>
      <x:c r="B47" s="15" t="n">
        <x:f>IF(ISNUMBER(B46),B46,B40)</x:f>
        <x:v>0.21216289003447653</x:v>
      </x:c>
    </x:row>
    <x:row r="48">
      <x:c r="A48" t="str">
        <x:v>Observed tax ratio</x:v>
      </x:c>
      <x:c r="B48" s="15" t="n">
        <x:f>IF(B19&gt;0,B20/B19,NA())</x:f>
        <x:v>0.22335920959774172</x:v>
      </x:c>
    </x:row>
    <x:row r="49">
      <x:c r="A49" t="str">
        <x:v>Resolved tax</x:v>
      </x:c>
      <x:c r="B49" s="15" t="n">
        <x:f>IF(ISNUMBER(B48),B48,B37)</x:f>
        <x:v>0.22335920959774172</x:v>
      </x:c>
    </x:row>
    <x:row r="50">
      <x:c r="A50" t="str">
        <x:v>Tax provenance</x:v>
      </x:c>
      <x:c r="B50" s="16" t="str">
        <x:f>IF(ISNUMBER(B48),"OBSERVED","FALLBACK")</x:f>
        <x:v>OBSERVED</x:v>
      </x:c>
    </x:row>
    <x:row r="51">
      <x:c r="A51" t="str">
        <x:v>Cost of debt</x:v>
      </x:c>
      <x:c r="B51" s="15" t="n">
        <x:f>IF(B16&gt;0,ABS(B18)/B16,B38)</x:f>
        <x:v>0.04232690483717989</x:v>
      </x:c>
    </x:row>
    <x:row r="52">
      <x:c r="A52" t="str">
        <x:v>Debt-cost provenance</x:v>
      </x:c>
      <x:c r="B52" s="16" t="str">
        <x:f>IF(B16&gt;0,"OBSERVED","FALLBACK")</x:f>
        <x:v>OBSERVED</x:v>
      </x:c>
    </x:row>
    <x:row r="53">
      <x:c r="A53" t="str">
        <x:v>Market capitalization</x:v>
      </x:c>
      <x:c r="B53" s="17" t="n">
        <x:f>B13*B14</x:f>
        <x:v>200073199852.31</x:v>
      </x:c>
    </x:row>
    <x:row r="54">
      <x:c r="A54" t="str">
        <x:v>Total capital</x:v>
      </x:c>
      <x:c r="B54" s="17" t="n">
        <x:f>B53+B16</x:f>
        <x:v>358223199852.31</x:v>
      </x:c>
    </x:row>
    <x:row r="55">
      <x:c r="A55" t="str">
        <x:v>Cost of equity</x:v>
      </x:c>
      <x:c r="B55" s="15" t="n">
        <x:f>B21+B15*B22</x:f>
        <x:v>0.052705</x:v>
      </x:c>
    </x:row>
    <x:row r="56">
      <x:c r="A56" t="str">
        <x:v>After-tax debt cost</x:v>
      </x:c>
      <x:c r="B56" s="15" t="n">
        <x:f>B51*(1-B49)</x:f>
        <x:v>0.03287280082802856</x:v>
      </x:c>
    </x:row>
    <x:row r="57">
      <x:c r="A57" t="str">
        <x:v>Equity weight</x:v>
      </x:c>
      <x:c r="B57" s="15" t="n">
        <x:f>B53/B54</x:f>
        <x:v>0.5585154728526716</x:v>
      </x:c>
    </x:row>
    <x:row r="58">
      <x:c r="A58" t="str">
        <x:v>Debt weight</x:v>
      </x:c>
      <x:c r="B58" s="15" t="n">
        <x:f>B16/B54</x:f>
        <x:v>0.4414845271473284</x:v>
      </x:c>
    </x:row>
    <x:row r="59">
      <x:c r="A59" t="str">
        <x:v>Raw WACC</x:v>
      </x:c>
      <x:c r="B59" s="15" t="n">
        <x:f>B57*B55+B58*B56</x:f>
        <x:v>0.04394939092627055</x:v>
      </x:c>
    </x:row>
    <x:row r="60">
      <x:c r="A60" t="str">
        <x:v>Bounded WACC</x:v>
      </x:c>
      <x:c r="B60" s="15" t="n">
        <x:f>MAX(5%,MIN(20%,B59))</x:f>
        <x:v>0.05</x:v>
      </x:c>
    </x:row>
    <x:row r="64">
      <x:c r="A64" s="8" t="str">
        <x:v>Base • 5 annual forecast years</x:v>
      </x:c>
      <x:c r="B64" s="8"/>
      <x:c r="C64" s="8" t="str">
        <x:v>Year 1</x:v>
      </x:c>
      <x:c r="D64" s="8" t="str">
        <x:v>Year 2</x:v>
      </x:c>
      <x:c r="E64" s="8" t="str">
        <x:v>Year 3</x:v>
      </x:c>
      <x:c r="F64" s="8" t="str">
        <x:v>Year 4</x:v>
      </x:c>
      <x:c r="G64" s="8" t="str">
        <x:v>Year 5</x:v>
      </x:c>
      <x:c r="H64" s="8"/>
      <x:c r="I64" s="8"/>
      <x:c r="J64" s="8"/>
      <x:c r="K64" s="8"/>
      <x:c r="L64" s="8"/>
    </x:row>
    <x:row r="65">
      <x:c r="A65" t="str">
        <x:v>Growth</x:v>
      </x:c>
      <x:c r="C65" s="1" t="n">
        <x:f>$B$45</x:f>
        <x:v>0.008457873514414072</x:v>
      </x:c>
      <x:c r="D65" s="1" t="n">
        <x:f>$B$45</x:f>
        <x:v>0.008457873514414072</x:v>
      </x:c>
      <x:c r="E65" s="1" t="n">
        <x:f>IF($B$45&gt;$B$27,$B$27+($B$45-$B$27)*2/3,$B$45)</x:f>
        <x:v>0.008457873514414072</x:v>
      </x:c>
      <x:c r="F65" s="1" t="n">
        <x:f>IF($B$45&gt;$B$27,$B$27+($B$45-$B$27)/3,$B$45)</x:f>
        <x:v>0.008457873514414072</x:v>
      </x:c>
      <x:c r="G65" s="1" t="n">
        <x:f>IF($B$45&gt;$B$27,$B$27,$B$45)</x:f>
        <x:v>0.008457873514414072</x:v>
      </x:c>
    </x:row>
    <x:row r="66">
      <x:c r="A66" t="str">
        <x:v>EBIT margin</x:v>
      </x:c>
      <x:c r="C66" s="1" t="n">
        <x:f>$B$47</x:f>
        <x:v>0.21216289003447653</x:v>
      </x:c>
      <x:c r="D66" s="1" t="n">
        <x:f>$B$47</x:f>
        <x:v>0.21216289003447653</x:v>
      </x:c>
      <x:c r="E66" s="1" t="n">
        <x:f>$B$47</x:f>
        <x:v>0.21216289003447653</x:v>
      </x:c>
      <x:c r="F66" s="1" t="n">
        <x:f>$B$47</x:f>
        <x:v>0.21216289003447653</x:v>
      </x:c>
      <x:c r="G66" s="1" t="n">
        <x:f>$B$47</x:f>
        <x:v>0.21216289003447653</x:v>
      </x:c>
    </x:row>
    <x:row r="67">
      <x:c r="A67" t="str">
        <x:v>Revenue USD</x:v>
      </x:c>
      <x:c r="C67" s="2" t="n">
        <x:f>$B$10*(1+C65)</x:f>
        <x:v>139359801998.83038</x:v>
      </x:c>
      <x:c r="D67" s="2" t="n">
        <x:f>C67*(1+D65)</x:f>
        <x:v>140538489577.13028</x:v>
      </x:c>
      <x:c r="E67" s="2" t="n">
        <x:f>D67*(1+E65)</x:f>
        <x:v>141727146345.88046</x:v>
      </x:c>
      <x:c r="F67" s="2" t="n">
        <x:f>E67*(1+F65)</x:f>
        <x:v>142925856623.23276</x:v>
      </x:c>
      <x:c r="G67" s="2" t="n">
        <x:f>F67*(1+G65)</x:f>
        <x:v>144134705440.49133</x:v>
      </x:c>
    </x:row>
    <x:row r="68">
      <x:c r="A68" t="str">
        <x:v>EBIT USD</x:v>
      </x:c>
      <x:c r="C68" s="2" t="n">
        <x:f>C67*C66</x:f>
        <x:v>29566978346.704273</x:v>
      </x:c>
      <x:c r="D68" s="2" t="n">
        <x:f>D67*D66</x:f>
        <x:v>29817052109.76412</x:v>
      </x:c>
      <x:c r="E68" s="2" t="n">
        <x:f>E67*E66</x:f>
        <x:v>30069240965.0812</x:v>
      </x:c>
      <x:c r="F68" s="2" t="n">
        <x:f>F67*F66</x:f>
        <x:v>30323562801.83829</x:v>
      </x:c>
      <x:c r="G68" s="2" t="n">
        <x:f>G67*G66</x:f>
        <x:v>30580035660.52263</x:v>
      </x:c>
    </x:row>
    <x:row r="69">
      <x:c r="A69" t="str">
        <x:v>NOPAT USD</x:v>
      </x:c>
      <x:c r="C69" s="2" t="n">
        <x:f>C68*(1-$B$49)</x:f>
        <x:v>22962921432.990864</x:v>
      </x:c>
      <x:c r="D69" s="2" t="n">
        <x:f>D68*(1-$B$49)</x:f>
        <x:v>23157138917.992527</x:v>
      </x:c>
      <x:c r="E69" s="2" t="n">
        <x:f>E68*(1-$B$49)</x:f>
        <x:v>23352999069.916626</x:v>
      </x:c>
      <x:c r="F69" s="2" t="n">
        <x:f>F68*(1-$B$49)</x:f>
        <x:v>23550515782.23221</x:v>
      </x:c>
      <x:c r="G69" s="2" t="n">
        <x:f>G68*(1-$B$49)</x:f>
        <x:v>23749703065.91754</x:v>
      </x:c>
    </x:row>
    <x:row r="70">
      <x:c r="A70" t="str">
        <x:v>D&amp;A USD</x:v>
      </x:c>
      <x:c r="C70" s="2" t="n">
        <x:f>C67*$B$24</x:f>
        <x:v>4180794059.9649115</x:v>
      </x:c>
      <x:c r="D70" s="2" t="n">
        <x:f>D67*$B$24</x:f>
        <x:v>4216154687.313908</x:v>
      </x:c>
      <x:c r="E70" s="2" t="n">
        <x:f>E67*$B$24</x:f>
        <x:v>4251814390.376414</x:v>
      </x:c>
      <x:c r="F70" s="2" t="n">
        <x:f>F67*$B$24</x:f>
        <x:v>4287775698.6969824</x:v>
      </x:c>
      <x:c r="G70" s="2" t="n">
        <x:f>G67*$B$24</x:f>
        <x:v>4324041163.21474</x:v>
      </x:c>
    </x:row>
    <x:row r="71">
      <x:c r="A71" t="str">
        <x:v>CapEx USD</x:v>
      </x:c>
      <x:c r="C71" s="2" t="n">
        <x:f>C67*$B$25</x:f>
        <x:v>5574392079.953216</x:v>
      </x:c>
      <x:c r="D71" s="2" t="n">
        <x:f>D67*$B$25</x:f>
        <x:v>5621539583.085212</x:v>
      </x:c>
      <x:c r="E71" s="2" t="n">
        <x:f>E67*$B$25</x:f>
        <x:v>5669085853.835218</x:v>
      </x:c>
      <x:c r="F71" s="2" t="n">
        <x:f>F67*$B$25</x:f>
        <x:v>5717034264.929311</x:v>
      </x:c>
      <x:c r="G71" s="2" t="n">
        <x:f>G67*$B$25</x:f>
        <x:v>5765388217.619654</x:v>
      </x:c>
    </x:row>
    <x:row r="72">
      <x:c r="A72" t="str">
        <x:v>Increase in NWC USD</x:v>
      </x:c>
      <x:c r="C72" s="2" t="n">
        <x:f>(C67-$B$10)*$B$26</x:f>
        <x:v>11688019.988303833</x:v>
      </x:c>
      <x:c r="D72" s="2" t="n">
        <x:f>(D67-C67)*$B$26</x:f>
        <x:v>11786875.782998962</x:v>
      </x:c>
      <x:c r="E72" s="2" t="n">
        <x:f>(E67-D67)*$B$26</x:f>
        <x:v>11886567.687501831</x:v>
      </x:c>
      <x:c r="F72" s="2" t="n">
        <x:f>(F67-E67)*$B$26</x:f>
        <x:v>11987102.773522949</x:v>
      </x:c>
      <x:c r="G72" s="2" t="n">
        <x:f>(G67-F67)*$B$26</x:f>
        <x:v>12088488.172585754</x:v>
      </x:c>
    </x:row>
    <x:row r="73">
      <x:c r="A73" t="str">
        <x:v>FCF USD</x:v>
      </x:c>
      <x:c r="C73" s="2" t="n">
        <x:f>C69+C70-C71-C72</x:f>
        <x:v>21557635393.014256</x:v>
      </x:c>
      <x:c r="D73" s="2" t="n">
        <x:f>D69+D70-D71-D72</x:f>
        <x:v>21739967146.438225</x:v>
      </x:c>
      <x:c r="E73" s="2" t="n">
        <x:f>E69+E70-E71-E72</x:f>
        <x:v>21923841038.770325</x:v>
      </x:c>
      <x:c r="F73" s="2" t="n">
        <x:f>F69+F70-F71-F72</x:f>
        <x:v>22109270113.22636</x:v>
      </x:c>
      <x:c r="G73" s="2" t="n">
        <x:f>G69+G70-G71-G72</x:f>
        <x:v>22296267523.340042</x:v>
      </x:c>
    </x:row>
    <x:row r="74">
      <x:c r="A74" t="str">
        <x:v>PV of FCF USD</x:v>
      </x:c>
      <x:c r="C74" s="2" t="n">
        <x:f>C73/(1+$B$77)^1</x:f>
        <x:v>20531081326.68024</x:v>
      </x:c>
      <x:c r="D74" s="2" t="n">
        <x:f>D73/(1+$B$77)^2</x:f>
        <x:v>19718791062.529003</x:v>
      </x:c>
      <x:c r="E74" s="2" t="n">
        <x:f>E73/(1+$B$77)^3</x:f>
        <x:v>18938638193.517178</x:v>
      </x:c>
      <x:c r="F74" s="2" t="n">
        <x:f>F73/(1+$B$77)^4</x:f>
        <x:v>18189351237.993515</x:v>
      </x:c>
      <x:c r="G74" s="2" t="n">
        <x:f>G73/(1+$B$77)^5</x:f>
        <x:v>17469709019.11782</x:v>
      </x:c>
    </x:row>
    <x:row r="77">
      <x:c r="A77" t="str">
        <x:v>WACC</x:v>
      </x:c>
      <x:c r="B77" s="1" t="n">
        <x:f>MAX(5%,MIN(20%,$B$60))</x:f>
        <x:v>0.05</x:v>
      </x:c>
    </x:row>
    <x:row r="78">
      <x:c r="A78" t="str">
        <x:v>Terminal growth</x:v>
      </x:c>
      <x:c r="B78" s="1" t="n">
        <x:f>MAX(0%,MIN(5%,$B$23))</x:f>
        <x:v>0.025</x:v>
      </x:c>
    </x:row>
    <x:row r="79">
      <x:c r="A79" t="str">
        <x:v>Terminal FCF</x:v>
      </x:c>
      <x:c r="B79" s="2" t="n">
        <x:f>G73</x:f>
        <x:v>22296267523.340042</x:v>
      </x:c>
    </x:row>
    <x:row r="80">
      <x:c r="A80" t="str">
        <x:v>Undiscounted terminal value</x:v>
      </x:c>
      <x:c r="B80" s="2" t="n">
        <x:f>B79*(1+B78)/(B77-B78)</x:f>
        <x:v>914146968456.9417</x:v>
      </x:c>
    </x:row>
    <x:row r="81">
      <x:c r="A81" t="str">
        <x:v>PV terminal value</x:v>
      </x:c>
      <x:c r="B81" s="2" t="n">
        <x:f>B80/(1+B77)^5</x:f>
        <x:v>716258069783.8307</x:v>
      </x:c>
    </x:row>
    <x:row r="82">
      <x:c r="A82" t="str">
        <x:v>PV annual FCF</x:v>
      </x:c>
      <x:c r="B82" s="2" t="n">
        <x:f>SUM(C74:G74)</x:f>
        <x:v>94847570839.83777</x:v>
      </x:c>
    </x:row>
    <x:row r="83">
      <x:c r="A83" t="str">
        <x:v>Enterprise value</x:v>
      </x:c>
      <x:c r="B83" s="2" t="n">
        <x:f>B81+B82</x:f>
        <x:v>811105640623.6685</x:v>
      </x:c>
    </x:row>
    <x:row r="84">
      <x:c r="A84" t="str">
        <x:v>Equity value</x:v>
      </x:c>
      <x:c r="B84" s="2" t="n">
        <x:f>B83-$B$16+$B$17</x:f>
        <x:v>672003640623.6685</x:v>
      </x:c>
    </x:row>
    <x:row r="85">
      <x:c r="A85" t="str">
        <x:v>Per-share value</x:v>
      </x:c>
      <x:c r="B85" s="5" t="n">
        <x:f>B84/$B$14</x:f>
        <x:v>161.74247894330927</x:v>
      </x:c>
    </x:row>
    <x:row r="86">
      <x:c r="A86" t="str">
        <x:v>PV terminal / EV</x:v>
      </x:c>
      <x:c r="B86" s="1" t="n">
        <x:f>IF(B83&gt;0,B81/B83,"N/A: EV&lt;=0")</x:f>
        <x:v>0.8830638500221644</x:v>
      </x:c>
    </x:row>
    <x:row r="94">
      <x:c r="A94" s="8" t="str">
        <x:v>Bear • 5 annual forecast years</x:v>
      </x:c>
      <x:c r="B94" s="8"/>
      <x:c r="C94" s="8" t="str">
        <x:v>Year 1</x:v>
      </x:c>
      <x:c r="D94" s="8" t="str">
        <x:v>Year 2</x:v>
      </x:c>
      <x:c r="E94" s="8" t="str">
        <x:v>Year 3</x:v>
      </x:c>
      <x:c r="F94" s="8" t="str">
        <x:v>Year 4</x:v>
      </x:c>
      <x:c r="G94" s="8" t="str">
        <x:v>Year 5</x:v>
      </x:c>
      <x:c r="H94" s="8"/>
      <x:c r="I94" s="8"/>
      <x:c r="J94" s="8"/>
      <x:c r="K94" s="8"/>
      <x:c r="L94" s="8"/>
    </x:row>
    <x:row r="95">
      <x:c r="A95" t="str">
        <x:v>Growth</x:v>
      </x:c>
      <x:c r="C95" s="1" t="n">
        <x:f>$B$45+$B$29</x:f>
        <x:v>-0.011542126485585929</x:v>
      </x:c>
      <x:c r="D95" s="1" t="n">
        <x:f>$B$45+$B$29</x:f>
        <x:v>-0.011542126485585929</x:v>
      </x:c>
      <x:c r="E95" s="1" t="n">
        <x:f>IF($B$45&gt;$B$27,$B$27+($B$45-$B$27)*2/3,$B$45)+$B$29</x:f>
        <x:v>-0.011542126485585929</x:v>
      </x:c>
      <x:c r="F95" s="1" t="n">
        <x:f>IF($B$45&gt;$B$27,$B$27+($B$45-$B$27)/3,$B$45)+$B$29</x:f>
        <x:v>-0.011542126485585929</x:v>
      </x:c>
      <x:c r="G95" s="1" t="n">
        <x:f>IF($B$45&gt;$B$27,$B$27,$B$45)+$B$29</x:f>
        <x:v>-0.011542126485585929</x:v>
      </x:c>
    </x:row>
    <x:row r="96">
      <x:c r="A96" t="str">
        <x:v>EBIT margin</x:v>
      </x:c>
      <x:c r="C96" s="1" t="n">
        <x:f>$B$47+$B$30</x:f>
        <x:v>0.20216289003447652</x:v>
      </x:c>
      <x:c r="D96" s="1" t="n">
        <x:f>$B$47+$B$30</x:f>
        <x:v>0.20216289003447652</x:v>
      </x:c>
      <x:c r="E96" s="1" t="n">
        <x:f>$B$47+$B$30</x:f>
        <x:v>0.20216289003447652</x:v>
      </x:c>
      <x:c r="F96" s="1" t="n">
        <x:f>$B$47+$B$30</x:f>
        <x:v>0.20216289003447652</x:v>
      </x:c>
      <x:c r="G96" s="1" t="n">
        <x:f>$B$47+$B$30</x:f>
        <x:v>0.20216289003447652</x:v>
      </x:c>
    </x:row>
    <x:row r="97">
      <x:c r="A97" t="str">
        <x:v>Revenue USD</x:v>
      </x:c>
      <x:c r="C97" s="2" t="n">
        <x:f>$B$10*(1+C95)</x:f>
        <x:v>136595981998.8304</x:v>
      </x:c>
      <x:c r="D97" s="2" t="n">
        <x:f>C97*(1+D95)</x:f>
        <x:v>135019373897.17708</x:v>
      </x:c>
      <x:c r="E97" s="2" t="n">
        <x:f>D97*(1+E95)</x:f>
        <x:v>133460963205.65125</x:v>
      </x:c>
      <x:c r="F97" s="2" t="n">
        <x:f>E97*(1+F95)</x:f>
        <x:v>131920539887.44348</x:v>
      </x:c>
      <x:c r="G97" s="2" t="n">
        <x:f>F97*(1+G95)</x:f>
        <x:v>130397896330.01582</x:v>
      </x:c>
    </x:row>
    <x:row r="98">
      <x:c r="A98" t="str">
        <x:v>EBIT USD</x:v>
      </x:c>
      <x:c r="C98" s="2" t="n">
        <x:f>C97*C96</x:f>
        <x:v>27614638487.980885</x:v>
      </x:c>
      <x:c r="D98" s="2" t="n">
        <x:f>D97*D96</x:f>
        <x:v>27295906837.69888</x:v>
      </x:c>
      <x:c r="E98" s="2" t="n">
        <x:f>E97*E96</x:f>
        <x:v>26980854028.43939</x:v>
      </x:c>
      <x:c r="F98" s="2" t="n">
        <x:f>F97*F96</x:f>
        <x:v>26669437598.55401</x:v>
      </x:c>
      <x:c r="G98" s="2" t="n">
        <x:f>G97*G96</x:f>
        <x:v>26361615576.492058</x:v>
      </x:c>
    </x:row>
    <x:row r="99">
      <x:c r="A99" t="str">
        <x:v>NOPAT USD</x:v>
      </x:c>
      <x:c r="C99" s="2" t="n">
        <x:f>C98*(1-$B$49)</x:f>
        <x:v>21446654661.978096</x:v>
      </x:c>
      <x:c r="D99" s="2" t="n">
        <x:f>D98*(1-$B$49)</x:f>
        <x:v>21199114661.176865</x:v>
      </x:c>
      <x:c r="E99" s="2" t="n">
        <x:f>E98*(1-$B$49)</x:f>
        <x:v>20954431798.375122</x:v>
      </x:c>
      <x:c r="F99" s="2" t="n">
        <x:f>F98*(1-$B$49)</x:f>
        <x:v>20712573096.12469</x:v>
      </x:c>
      <x:c r="G99" s="2" t="n">
        <x:f>G98*(1-$B$49)</x:f>
        <x:v>20473505957.607277</x:v>
      </x:c>
    </x:row>
    <x:row r="100">
      <x:c r="A100" t="str">
        <x:v>D&amp;A USD</x:v>
      </x:c>
      <x:c r="C100" s="2" t="n">
        <x:f>C97*$B$24</x:f>
        <x:v>4097879459.964912</x:v>
      </x:c>
      <x:c r="D100" s="2" t="n">
        <x:f>D97*$B$24</x:f>
        <x:v>4050581216.9153123</x:v>
      </x:c>
      <x:c r="E100" s="2" t="n">
        <x:f>E97*$B$24</x:f>
        <x:v>4003828896.169537</x:v>
      </x:c>
      <x:c r="F100" s="2" t="n">
        <x:f>F97*$B$24</x:f>
        <x:v>3957616196.6233044</x:v>
      </x:c>
      <x:c r="G100" s="2" t="n">
        <x:f>G97*$B$24</x:f>
        <x:v>3911936889.9004745</x:v>
      </x:c>
    </x:row>
    <x:row r="101">
      <x:c r="A101" t="str">
        <x:v>CapEx USD</x:v>
      </x:c>
      <x:c r="C101" s="2" t="n">
        <x:f>C97*$B$25</x:f>
        <x:v>5463839279.953216</x:v>
      </x:c>
      <x:c r="D101" s="2" t="n">
        <x:f>D97*$B$25</x:f>
        <x:v>5400774955.887083</x:v>
      </x:c>
      <x:c r="E101" s="2" t="n">
        <x:f>E97*$B$25</x:f>
        <x:v>5338438528.22605</x:v>
      </x:c>
      <x:c r="F101" s="2" t="n">
        <x:f>F97*$B$25</x:f>
        <x:v>5276821595.49774</x:v>
      </x:c>
      <x:c r="G101" s="2" t="n">
        <x:f>G97*$B$25</x:f>
        <x:v>5215915853.200633</x:v>
      </x:c>
    </x:row>
    <x:row r="102">
      <x:c r="A102" t="str">
        <x:v>Increase in NWC USD</x:v>
      </x:c>
      <x:c r="C102" s="2" t="n">
        <x:f>(C97-$B$10)*$B$26</x:f>
        <x:v>-15950180.011696015</x:v>
      </x:c>
      <x:c r="D102" s="2" t="n">
        <x:f>(D97-C97)*$B$26</x:f>
        <x:v>-15766081.016533203</x:v>
      </x:c>
      <x:c r="E102" s="2" t="n">
        <x:f>(E97-D97)*$B$26</x:f>
        <x:v>-15584106.915258331</x:v>
      </x:c>
      <x:c r="F102" s="2" t="n">
        <x:f>(F97-E97)*$B$26</x:f>
        <x:v>-15404233.182077637</x:v>
      </x:c>
      <x:c r="G102" s="2" t="n">
        <x:f>(G97-F97)*$B$26</x:f>
        <x:v>-15226435.574276581</x:v>
      </x:c>
    </x:row>
    <x:row r="103">
      <x:c r="A103" t="str">
        <x:v>FCF USD</x:v>
      </x:c>
      <x:c r="C103" s="2" t="n">
        <x:f>C99+C100-C101-C102</x:f>
        <x:v>20096645022.001488</x:v>
      </x:c>
      <x:c r="D103" s="2" t="n">
        <x:f>D99+D100-D101-D102</x:f>
        <x:v>19864687003.221626</x:v>
      </x:c>
      <x:c r="E103" s="2" t="n">
        <x:f>E99+E100-E101-E102</x:f>
        <x:v>19635406273.233864</x:v>
      </x:c>
      <x:c r="F103" s="2" t="n">
        <x:f>F99+F100-F101-F102</x:f>
        <x:v>19408771930.43233</x:v>
      </x:c>
      <x:c r="G103" s="2" t="n">
        <x:f>G99+G100-G101-G102</x:f>
        <x:v>19184753429.881393</x:v>
      </x:c>
    </x:row>
    <x:row r="104">
      <x:c r="A104" t="str">
        <x:v>PV of FCF USD</x:v>
      </x:c>
      <x:c r="C104" s="2" t="n">
        <x:f>C103/(1+$B$107)^1</x:f>
        <x:v>18959099077.359894</x:v>
      </x:c>
      <x:c r="D104" s="2" t="n">
        <x:f>D103/(1+$B$107)^2</x:f>
        <x:v>17679500714.864384</x:v>
      </x:c>
      <x:c r="E104" s="2" t="n">
        <x:f>E103/(1+$B$107)^3</x:f>
        <x:v>16486265737.180578</x:v>
      </x:c>
      <x:c r="F104" s="2" t="n">
        <x:f>F103/(1+$B$107)^4</x:f>
        <x:v>15373565257.32741</x:v>
      </x:c>
      <x:c r="G104" s="2" t="n">
        <x:f>G103/(1+$B$107)^5</x:f>
        <x:v>14335963794.89899</x:v>
      </x:c>
    </x:row>
    <x:row r="107">
      <x:c r="A107" t="str">
        <x:v>WACC</x:v>
      </x:c>
      <x:c r="B107" s="1" t="n">
        <x:f>MAX(5%,MIN(20%,$B$60+$B$31))</x:f>
        <x:v>0.060000000000000005</x:v>
      </x:c>
    </x:row>
    <x:row r="108">
      <x:c r="A108" t="str">
        <x:v>Terminal growth</x:v>
      </x:c>
      <x:c r="B108" s="1" t="n">
        <x:f>MAX(0%,MIN(5%,$B$23+$B$32))</x:f>
        <x:v>0.02</x:v>
      </x:c>
    </x:row>
    <x:row r="109">
      <x:c r="A109" t="str">
        <x:v>Terminal FCF</x:v>
      </x:c>
      <x:c r="B109" s="2" t="n">
        <x:f>G103</x:f>
        <x:v>19184753429.881393</x:v>
      </x:c>
    </x:row>
    <x:row r="110">
      <x:c r="A110" t="str">
        <x:v>Undiscounted terminal value</x:v>
      </x:c>
      <x:c r="B110" s="2" t="n">
        <x:f>B109*(1+B108)/(B107-B108)</x:f>
        <x:v>489211212461.97546</x:v>
      </x:c>
    </x:row>
    <x:row r="111">
      <x:c r="A111" t="str">
        <x:v>PV terminal value</x:v>
      </x:c>
      <x:c r="B111" s="2" t="n">
        <x:f>B110/(1+B107)^5</x:f>
        <x:v>365567076769.9242</x:v>
      </x:c>
    </x:row>
    <x:row r="112">
      <x:c r="A112" t="str">
        <x:v>PV annual FCF</x:v>
      </x:c>
      <x:c r="B112" s="2" t="n">
        <x:f>SUM(C104:G104)</x:f>
        <x:v>82834394581.63126</x:v>
      </x:c>
    </x:row>
    <x:row r="113">
      <x:c r="A113" t="str">
        <x:v>Enterprise value</x:v>
      </x:c>
      <x:c r="B113" s="2" t="n">
        <x:f>B111+B112</x:f>
        <x:v>448401471351.5554</x:v>
      </x:c>
    </x:row>
    <x:row r="114">
      <x:c r="A114" t="str">
        <x:v>Equity value</x:v>
      </x:c>
      <x:c r="B114" s="2" t="n">
        <x:f>B113-$B$16+$B$17</x:f>
        <x:v>309299471351.5554</x:v>
      </x:c>
    </x:row>
    <x:row r="115">
      <x:c r="A115" t="str">
        <x:v>Per-share value</x:v>
      </x:c>
      <x:c r="B115" s="5" t="n">
        <x:f>B114/$B$14</x:f>
        <x:v>74.44433364353064</x:v>
      </x:c>
    </x:row>
    <x:row r="116">
      <x:c r="A116" t="str">
        <x:v>PV terminal / EV</x:v>
      </x:c>
      <x:c r="B116" s="1" t="n">
        <x:f>IF(B113&gt;0,B111/B113,"N/A: EV&lt;=0")</x:f>
        <x:v>0.8152673443912778</x:v>
      </x:c>
    </x:row>
    <x:row r="124">
      <x:c r="A124" s="8" t="str">
        <x:v>Bull • 5 annual forecast years</x:v>
      </x:c>
      <x:c r="B124" s="8"/>
      <x:c r="C124" s="8" t="str">
        <x:v>Year 1</x:v>
      </x:c>
      <x:c r="D124" s="8" t="str">
        <x:v>Year 2</x:v>
      </x:c>
      <x:c r="E124" s="8" t="str">
        <x:v>Year 3</x:v>
      </x:c>
      <x:c r="F124" s="8" t="str">
        <x:v>Year 4</x:v>
      </x:c>
      <x:c r="G124" s="8" t="str">
        <x:v>Year 5</x:v>
      </x:c>
      <x:c r="H124" s="8"/>
      <x:c r="I124" s="8"/>
      <x:c r="J124" s="8"/>
      <x:c r="K124" s="8"/>
      <x:c r="L124" s="8"/>
    </x:row>
    <x:row r="125">
      <x:c r="A125" t="str">
        <x:v>Growth</x:v>
      </x:c>
      <x:c r="C125" s="1" t="n">
        <x:f>$B$45+$B$33</x:f>
        <x:v>0.028457873514414072</x:v>
      </x:c>
      <x:c r="D125" s="1" t="n">
        <x:f>$B$45+$B$33</x:f>
        <x:v>0.028457873514414072</x:v>
      </x:c>
      <x:c r="E125" s="1" t="n">
        <x:f>IF($B$45&gt;$B$27,$B$27+($B$45-$B$27)*2/3,$B$45)+$B$33</x:f>
        <x:v>0.028457873514414072</x:v>
      </x:c>
      <x:c r="F125" s="1" t="n">
        <x:f>IF($B$45&gt;$B$27,$B$27+($B$45-$B$27)/3,$B$45)+$B$33</x:f>
        <x:v>0.028457873514414072</x:v>
      </x:c>
      <x:c r="G125" s="1" t="n">
        <x:f>IF($B$45&gt;$B$27,$B$27,$B$45)+$B$33</x:f>
        <x:v>0.028457873514414072</x:v>
      </x:c>
    </x:row>
    <x:row r="126">
      <x:c r="A126" t="str">
        <x:v>EBIT margin</x:v>
      </x:c>
      <x:c r="C126" s="1" t="n">
        <x:f>$B$47+$B$34</x:f>
        <x:v>0.22216289003447653</x:v>
      </x:c>
      <x:c r="D126" s="1" t="n">
        <x:f>$B$47+$B$34</x:f>
        <x:v>0.22216289003447653</x:v>
      </x:c>
      <x:c r="E126" s="1" t="n">
        <x:f>$B$47+$B$34</x:f>
        <x:v>0.22216289003447653</x:v>
      </x:c>
      <x:c r="F126" s="1" t="n">
        <x:f>$B$47+$B$34</x:f>
        <x:v>0.22216289003447653</x:v>
      </x:c>
      <x:c r="G126" s="1" t="n">
        <x:f>$B$47+$B$34</x:f>
        <x:v>0.22216289003447653</x:v>
      </x:c>
    </x:row>
    <x:row r="127">
      <x:c r="A127" t="str">
        <x:v>Revenue USD</x:v>
      </x:c>
      <x:c r="C127" s="2" t="n">
        <x:f>$B$10*(1+C125)</x:f>
        <x:v>142123621998.83038</x:v>
      </x:c>
      <x:c r="D127" s="2" t="n">
        <x:f>C127*(1+D125)</x:f>
        <x:v>146168158057.0835</x:v>
      </x:c>
      <x:c r="E127" s="2" t="n">
        <x:f>D127*(1+E125)</x:f>
        <x:v>150327793010.90686</x:v>
      </x:c>
      <x:c r="F127" s="2" t="n">
        <x:f>E127*(1+F125)</x:f>
        <x:v>154605802330.11227</x:v>
      </x:c>
      <x:c r="G127" s="2" t="n">
        <x:f>F127*(1+G125)</x:f>
        <x:v>159005554697.4171</x:v>
      </x:c>
    </x:row>
    <x:row r="128">
      <x:c r="A128" t="str">
        <x:v>EBIT USD</x:v>
      </x:c>
      <x:c r="C128" s="2" t="n">
        <x:f>C127*C126</x:f>
        <x:v>31574594605.427666</x:v>
      </x:c>
      <x:c r="D128" s="2" t="n">
        <x:f>D127*D126</x:f>
        <x:v>32473140424.977825</x:v>
      </x:c>
      <x:c r="E128" s="2" t="n">
        <x:f>E127*E126</x:f>
        <x:v>33397256947.80765</x:v>
      </x:c>
      <x:c r="F128" s="2" t="n">
        <x:f>F127*F126</x:f>
        <x:v>34347671861.75675</x:v>
      </x:c>
      <x:c r="G128" s="2" t="n">
        <x:f>G127*G126</x:f>
        <x:v>35325133563.11322</x:v>
      </x:c>
    </x:row>
    <x:row r="129">
      <x:c r="A129" t="str">
        <x:v>NOPAT USD</x:v>
      </x:c>
      <x:c r="C129" s="2" t="n">
        <x:f>C128*(1-$B$49)</x:f>
        <x:v>24522118110.990223</x:v>
      </x:c>
      <x:c r="D129" s="2" t="n">
        <x:f>D128*(1-$B$49)</x:f>
        <x:v>25219965446.498306</x:v>
      </x:c>
      <x:c r="E129" s="2" t="n">
        <x:f>E128*(1-$B$49)</x:f>
        <x:v>25937672033.212646</x:v>
      </x:c>
      <x:c r="F129" s="2" t="n">
        <x:f>F128*(1-$B$49)</x:f>
        <x:v>26675803023.19217</x:v>
      </x:c>
      <x:c r="G129" s="2" t="n">
        <x:f>G128*(1-$B$49)</x:f>
        <x:v>27434939651.521595</x:v>
      </x:c>
    </x:row>
    <x:row r="130">
      <x:c r="A130" t="str">
        <x:v>D&amp;A USD</x:v>
      </x:c>
      <x:c r="C130" s="2" t="n">
        <x:f>C127*$B$24</x:f>
        <x:v>4263708659.9649115</x:v>
      </x:c>
      <x:c r="D130" s="2" t="n">
        <x:f>D127*$B$24</x:f>
        <x:v>4385044741.712504</x:v>
      </x:c>
      <x:c r="E130" s="2" t="n">
        <x:f>E127*$B$24</x:f>
        <x:v>4509833790.327206</x:v>
      </x:c>
      <x:c r="F130" s="2" t="n">
        <x:f>F127*$B$24</x:f>
        <x:v>4638174069.903368</x:v>
      </x:c>
      <x:c r="G130" s="2" t="n">
        <x:f>G127*$B$24</x:f>
        <x:v>4770166640.922513</x:v>
      </x:c>
    </x:row>
    <x:row r="131">
      <x:c r="A131" t="str">
        <x:v>CapEx USD</x:v>
      </x:c>
      <x:c r="C131" s="2" t="n">
        <x:f>C127*$B$25</x:f>
        <x:v>5684944879.953216</x:v>
      </x:c>
      <x:c r="D131" s="2" t="n">
        <x:f>D127*$B$25</x:f>
        <x:v>5846726322.2833395</x:v>
      </x:c>
      <x:c r="E131" s="2" t="n">
        <x:f>E127*$B$25</x:f>
        <x:v>6013111720.436275</x:v>
      </x:c>
      <x:c r="F131" s="2" t="n">
        <x:f>F127*$B$25</x:f>
        <x:v>6184232093.204491</x:v>
      </x:c>
      <x:c r="G131" s="2" t="n">
        <x:f>G127*$B$25</x:f>
        <x:v>6360222187.896685</x:v>
      </x:c>
    </x:row>
    <x:row r="132">
      <x:c r="A132" t="str">
        <x:v>Increase in NWC USD</x:v>
      </x:c>
      <x:c r="C132" s="2" t="n">
        <x:f>(C127-$B$10)*$B$26</x:f>
        <x:v>39326219.98830383</x:v>
      </x:c>
      <x:c r="D132" s="2" t="n">
        <x:f>(D127-C127)*$B$26</x:f>
        <x:v>40445360.58253113</x:v>
      </x:c>
      <x:c r="E132" s="2" t="n">
        <x:f>(E127-D127)*$B$26</x:f>
        <x:v>41596349.538233645</x:v>
      </x:c>
      <x:c r="F132" s="2" t="n">
        <x:f>(F127-E127)*$B$26</x:f>
        <x:v>42780093.19205414</x:v>
      </x:c>
      <x:c r="G132" s="2" t="n">
        <x:f>(G127-F127)*$B$26</x:f>
        <x:v>43997523.6730484</x:v>
      </x:c>
    </x:row>
    <x:row r="133">
      <x:c r="A133" t="str">
        <x:v>FCF USD</x:v>
      </x:c>
      <x:c r="C133" s="2" t="n">
        <x:f>C129+C130-C131-C132</x:f>
        <x:v>23061555671.013615</x:v>
      </x:c>
      <x:c r="D133" s="2" t="n">
        <x:f>D129+D130-D131-D132</x:f>
        <x:v>23717838505.34494</x:v>
      </x:c>
      <x:c r="E133" s="2" t="n">
        <x:f>E129+E130-E131-E132</x:f>
        <x:v>24392797753.565342</x:v>
      </x:c>
      <x:c r="F133" s="2" t="n">
        <x:f>F129+F130-F131-F132</x:f>
        <x:v>25086964906.69899</x:v>
      </x:c>
      <x:c r="G133" s="2" t="n">
        <x:f>G129+G130-G131-G132</x:f>
        <x:v>25800886580.874374</x:v>
      </x:c>
    </x:row>
    <x:row r="134">
      <x:c r="A134" t="str">
        <x:v>PV of FCF USD</x:v>
      </x:c>
      <x:c r="C134" s="2" t="n">
        <x:f>C133/(1+$B$137)^1</x:f>
        <x:v>21963386353.3463</x:v>
      </x:c>
      <x:c r="D134" s="2" t="n">
        <x:f>D133/(1+$B$137)^2</x:f>
        <x:v>21512778689.655273</x:v>
      </x:c>
      <x:c r="E134" s="2" t="n">
        <x:f>E133/(1+$B$137)^3</x:f>
        <x:v>21071415832.903866</x:v>
      </x:c>
      <x:c r="F134" s="2" t="n">
        <x:f>F133/(1+$B$137)^4</x:f>
        <x:v>20639108113.75835</x:v>
      </x:c>
      <x:c r="G134" s="2" t="n">
        <x:f>G133/(1+$B$137)^5</x:f>
        <x:v>20215669754.2</x:v>
      </x:c>
    </x:row>
    <x:row r="137">
      <x:c r="A137" t="str">
        <x:v>WACC</x:v>
      </x:c>
      <x:c r="B137" s="1" t="n">
        <x:f>MAX(5%,MIN(20%,$B$60+$B$35))</x:f>
        <x:v>0.05</x:v>
      </x:c>
    </x:row>
    <x:row r="138">
      <x:c r="A138" t="str">
        <x:v>Terminal growth</x:v>
      </x:c>
      <x:c r="B138" s="1" t="n">
        <x:f>MAX(0%,MIN(5%,$B$23+$B$36))</x:f>
        <x:v>0.030000000000000002</x:v>
      </x:c>
    </x:row>
    <x:row r="139">
      <x:c r="A139" t="str">
        <x:v>Terminal FCF</x:v>
      </x:c>
      <x:c r="B139" s="2" t="n">
        <x:f>G133</x:f>
        <x:v>25800886580.874374</x:v>
      </x:c>
    </x:row>
    <x:row r="140">
      <x:c r="A140" t="str">
        <x:v>Undiscounted terminal value</x:v>
      </x:c>
      <x:c r="B140" s="2" t="n">
        <x:f>B139*(1+B138)/(B137-B138)</x:f>
        <x:v>1328745658915.0303</x:v>
      </x:c>
    </x:row>
    <x:row r="141">
      <x:c r="A141" t="str">
        <x:v>PV terminal value</x:v>
      </x:c>
      <x:c r="B141" s="2" t="n">
        <x:f>B140/(1+B137)^5</x:f>
        <x:v>1041106992341.3</x:v>
      </x:c>
    </x:row>
    <x:row r="142">
      <x:c r="A142" t="str">
        <x:v>PV annual FCF</x:v>
      </x:c>
      <x:c r="B142" s="2" t="n">
        <x:f>SUM(C134:G134)</x:f>
        <x:v>105402358743.86378</x:v>
      </x:c>
    </x:row>
    <x:row r="143">
      <x:c r="A143" t="str">
        <x:v>Enterprise value</x:v>
      </x:c>
      <x:c r="B143" s="2" t="n">
        <x:f>B141+B142</x:f>
        <x:v>1146509351085.1638</x:v>
      </x:c>
    </x:row>
    <x:row r="144">
      <x:c r="A144" t="str">
        <x:v>Equity value</x:v>
      </x:c>
      <x:c r="B144" s="2" t="n">
        <x:f>B143-$B$16+$B$17</x:f>
        <x:v>1007407351085.1638</x:v>
      </x:c>
    </x:row>
    <x:row r="145">
      <x:c r="A145" t="str">
        <x:v>Per-share value</x:v>
      </x:c>
      <x:c r="B145" s="5" t="n">
        <x:f>B144/$B$14</x:f>
        <x:v>242.46976120398145</x:v>
      </x:c>
    </x:row>
    <x:row r="146">
      <x:c r="A146" t="str">
        <x:v>PV terminal / EV</x:v>
      </x:c>
      <x:c r="B146" s="1" t="n">
        <x:f>IF(B143&gt;0,B141/B143,"N/A: EV&lt;=0")</x:f>
        <x:v>0.9080667256275746</x:v>
      </x:c>
    </x:row>
    <x:row r="150">
      <x:c r="A150" s="8" t="str">
        <x:v>Quality flags (1 = triggered, 0 = clear)</x:v>
      </x:c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t="str">
        <x:v>Nonpositive Base terminal FCF</x:v>
      </x:c>
      <x:c r="B151" t="b">
        <x:f>B79&lt;=0</x:f>
        <x:v>0</x:v>
      </x:c>
    </x:row>
    <x:row r="152">
      <x:c r="A152" t="str">
        <x:v>Nonpositive Base enterprise value</x:v>
      </x:c>
      <x:c r="B152" t="b">
        <x:f>B83&lt;=0</x:f>
        <x:v>0</x:v>
      </x:c>
    </x:row>
    <x:row r="153">
      <x:c r="A153" t="str">
        <x:v>Reversed Bear / Base / Bull</x:v>
      </x:c>
      <x:c r="B153" t="b">
        <x:f>NOT(AND(ISNUMBER(B115),ISNUMBER(B85),ISNUMBER(B145),B115&lt;=B85,B85&lt;=B145))</x:f>
        <x:v>0</x:v>
      </x:c>
    </x:row>
    <x:row r="154">
      <x:c r="A154" t="str">
        <x:v>Extreme observed tax &gt;= 60%</x:v>
      </x:c>
      <x:c r="B154" t="b">
        <x:f>AND(B50="OBSERVED",B48&gt;=60%)</x:f>
        <x:v>0</x:v>
      </x:c>
    </x:row>
    <x:row r="155">
      <x:c r="A155" t="str">
        <x:v>PV terminal / EV &gt;= 80%</x:v>
      </x:c>
      <x:c r="B155" t="b">
        <x:f>IF(AND(B83&gt;0,B81&gt;=0),B86&gt;=80%,FALSE)</x:f>
        <x:v>1</x:v>
      </x:c>
    </x:row>
    <x:row r="156">
      <x:c r="A156" t="str">
        <x:v>Quality classification</x:v>
      </x:c>
      <x:c r="B156" t="str">
        <x:f>IF(OR(B151,B152,B153),"DIAGNOSTIC ONLY",IF(OR(B154,B155),"CAUTION","ORDINARY"))</x:f>
        <x:v>CAUTION</x:v>
      </x:c>
    </x:row>
    <x:row r="157">
      <x:c r="A157" t="str">
        <x:v>Mathematically computable</x:v>
      </x:c>
      <x:c r="B157" t="b">
        <x:f>AND(ISNUMBER(B85),ISNUMBER(B115),ISNUMBER(B145))</x:f>
        <x:v>1</x:v>
      </x:c>
    </x:row>
    <x:row r="158">
      <x:c r="A158" t="str">
        <x:v>Market comparison allowed</x:v>
      </x:c>
      <x:c r="B158" t="b">
        <x:f>AND(B157,B156="ORDINARY")</x:f>
        <x:v>0</x:v>
      </x:c>
    </x:row>
    <x:row r="160">
      <x:c r="A160" t="str">
        <x:v>Interpretation</x:v>
      </x:c>
      <x:c r="B160" t="str">
        <x:v>Values remain visible for diagnosis. Flagged cases are not actionable price targets.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20" hidden="0" customWidth="1"/>
    <x:col min="4" max="4" width="20" hidden="0" customWidth="1"/>
    <x:col min="5" max="5" width="19" hidden="0" customWidth="1"/>
    <x:col min="6" max="6" width="19" hidden="0" customWidth="1"/>
    <x:col min="7" max="7" width="18" hidden="0" customWidth="1"/>
    <x:col min="8" max="8" width="18" hidden="0" customWidth="1"/>
    <x:col min="9" max="9" width="42" hidden="0" customWidth="1"/>
    <x:col min="10" max="10" width="42" hidden="0" customWidth="1"/>
    <x:col min="11" max="11" width="29" hidden="0" customWidth="1"/>
    <x:col min="12" max="12" width="29" hidden="0" customWidth="1"/>
  </x:cols>
  <x:sheetData>
    <x:row r="1">
      <x:c r="A1" s="8" t="str">
        <x:v>NEGATIVE | independent staged DCF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>
      <x:c r="A2" t="str">
        <x:v>Frozen evidence only • USD actual • scenarios are diagnostic, not price targets</x:v>
      </x:c>
    </x:row>
    <x:row r="5">
      <x:c r="A5" s="8" t="str">
        <x:v>Fiscal end</x:v>
      </x:c>
      <x:c r="B5" s="8" t="str">
        <x:v>Revenue USD</x:v>
      </x:c>
      <x:c r="C5" s="8" t="str">
        <x:v>EBIT USD</x:v>
      </x:c>
      <x:c r="D5" s="8" t="str">
        <x:v>EBIT margin</x:v>
      </x:c>
      <x:c r="E5" s="8" t="str">
        <x:v>Revenue filed</x:v>
      </x:c>
      <x:c r="F5" s="8" t="str">
        <x:v>EBIT filed</x:v>
      </x:c>
      <x:c r="G5" s="8" t="str">
        <x:v>Revenue tag</x:v>
      </x:c>
      <x:c r="H5" s="8" t="str">
        <x:v>EBIT tag</x:v>
      </x:c>
      <x:c r="I5" s="8" t="str">
        <x:v>Revenue source</x:v>
      </x:c>
      <x:c r="J5" s="8" t="str">
        <x:v>EBIT source</x:v>
      </x:c>
      <x:c r="K5" s="8" t="str">
        <x:v>Revenue status</x:v>
      </x:c>
      <x:c r="L5" s="8" t="str">
        <x:v>EBIT status / derivation</x:v>
      </x:c>
    </x:row>
    <x:row r="6">
      <x:c r="A6" t="str">
        <x:v>2021-12-31</x:v>
      </x:c>
      <x:c r="B6" s="2" t="n">
        <x:v>1000000000</x:v>
      </x:c>
      <x:c r="C6" s="2" t="n">
        <x:v>-200000000</x:v>
      </x:c>
      <x:c r="D6" s="1" t="n">
        <x:f>C6/B6</x:f>
        <x:v>-0.2</x:v>
      </x:c>
      <x:c r="E6" t="str">
        <x:v>2026-09-13</x:v>
      </x:c>
      <x:c r="F6" t="str">
        <x:v>2026-09-13</x:v>
      </x:c>
      <x:c r="G6" t="str">
        <x:v>not applicable</x:v>
      </x:c>
      <x:c r="H6" t="str">
        <x:v>not applicable</x:v>
      </x:c>
      <x:c r="I6" t="str">
        <x:v>Synthetic fixture; no SEC filing</x:v>
      </x:c>
      <x:c r="J6" t="str">
        <x:v>Synthetic fixture; no SEC filing</x:v>
      </x:c>
      <x:c r="K6" t="str">
        <x:v>SYNTHETIC; not reported</x:v>
      </x:c>
      <x:c r="L6" t="str">
        <x:v>SYNTHETIC; not reported</x:v>
      </x:c>
    </x:row>
    <x:row r="7">
      <x:c r="A7" t="str">
        <x:v>2022-12-31</x:v>
      </x:c>
      <x:c r="B7" s="2" t="n">
        <x:v>1050000000</x:v>
      </x:c>
      <x:c r="C7" s="2" t="n">
        <x:v>-210000000</x:v>
      </x:c>
      <x:c r="D7" s="1" t="n">
        <x:f>C7/B7</x:f>
        <x:v>-0.2</x:v>
      </x:c>
      <x:c r="E7" t="str">
        <x:v>2026-09-13</x:v>
      </x:c>
      <x:c r="F7" t="str">
        <x:v>2026-09-13</x:v>
      </x:c>
      <x:c r="G7" t="str">
        <x:v>not applicable</x:v>
      </x:c>
      <x:c r="H7" t="str">
        <x:v>not applicable</x:v>
      </x:c>
      <x:c r="I7" t="str">
        <x:v>Synthetic fixture; no SEC filing</x:v>
      </x:c>
      <x:c r="J7" t="str">
        <x:v>Synthetic fixture; no SEC filing</x:v>
      </x:c>
      <x:c r="K7" t="str">
        <x:v>SYNTHETIC; not reported</x:v>
      </x:c>
      <x:c r="L7" t="str">
        <x:v>SYNTHETIC; not reported</x:v>
      </x:c>
    </x:row>
    <x:row r="8">
      <x:c r="A8" t="str">
        <x:v>2023-12-31</x:v>
      </x:c>
      <x:c r="B8" s="2" t="n">
        <x:v>1100000000</x:v>
      </x:c>
      <x:c r="C8" s="2" t="n">
        <x:v>-220000000</x:v>
      </x:c>
      <x:c r="D8" s="1" t="n">
        <x:f>C8/B8</x:f>
        <x:v>-0.2</x:v>
      </x:c>
      <x:c r="E8" t="str">
        <x:v>2026-09-13</x:v>
      </x:c>
      <x:c r="F8" t="str">
        <x:v>2026-09-13</x:v>
      </x:c>
      <x:c r="G8" t="str">
        <x:v>not applicable</x:v>
      </x:c>
      <x:c r="H8" t="str">
        <x:v>not applicable</x:v>
      </x:c>
      <x:c r="I8" t="str">
        <x:v>Synthetic fixture; no SEC filing</x:v>
      </x:c>
      <x:c r="J8" t="str">
        <x:v>Synthetic fixture; no SEC filing</x:v>
      </x:c>
      <x:c r="K8" t="str">
        <x:v>SYNTHETIC; not reported</x:v>
      </x:c>
      <x:c r="L8" t="str">
        <x:v>SYNTHETIC; not reported</x:v>
      </x:c>
    </x:row>
    <x:row r="9">
      <x:c r="A9" t="str">
        <x:v>2024-12-31</x:v>
      </x:c>
      <x:c r="B9" s="2" t="n">
        <x:v>1150000000</x:v>
      </x:c>
      <x:c r="C9" s="2" t="n">
        <x:v>-230000000</x:v>
      </x:c>
      <x:c r="D9" s="1" t="n">
        <x:f>C9/B9</x:f>
        <x:v>-0.2</x:v>
      </x:c>
      <x:c r="E9" t="str">
        <x:v>2026-09-13</x:v>
      </x:c>
      <x:c r="F9" t="str">
        <x:v>2026-09-13</x:v>
      </x:c>
      <x:c r="G9" t="str">
        <x:v>not applicable</x:v>
      </x:c>
      <x:c r="H9" t="str">
        <x:v>not applicable</x:v>
      </x:c>
      <x:c r="I9" t="str">
        <x:v>Synthetic fixture; no SEC filing</x:v>
      </x:c>
      <x:c r="J9" t="str">
        <x:v>Synthetic fixture; no SEC filing</x:v>
      </x:c>
      <x:c r="K9" t="str">
        <x:v>SYNTHETIC; not reported</x:v>
      </x:c>
      <x:c r="L9" t="str">
        <x:v>SYNTHETIC; not reported</x:v>
      </x:c>
    </x:row>
    <x:row r="10">
      <x:c r="A10" t="str">
        <x:v>2025-12-31</x:v>
      </x:c>
      <x:c r="B10" s="2" t="n">
        <x:v>1200000000</x:v>
      </x:c>
      <x:c r="C10" s="2" t="n">
        <x:v>-240000000</x:v>
      </x:c>
      <x:c r="D10" s="1" t="n">
        <x:f>C10/B10</x:f>
        <x:v>-0.2</x:v>
      </x:c>
      <x:c r="E10" t="str">
        <x:v>2026-09-13</x:v>
      </x:c>
      <x:c r="F10" t="str">
        <x:v>2026-09-13</x:v>
      </x:c>
      <x:c r="G10" t="str">
        <x:v>not applicable</x:v>
      </x:c>
      <x:c r="H10" t="str">
        <x:v>not applicable</x:v>
      </x:c>
      <x:c r="I10" t="str">
        <x:v>Synthetic fixture; no SEC filing</x:v>
      </x:c>
      <x:c r="J10" t="str">
        <x:v>Synthetic fixture; no SEC filing</x:v>
      </x:c>
      <x:c r="K10" t="str">
        <x:v>SYNTHETIC; not reported</x:v>
      </x:c>
      <x:c r="L10" t="str">
        <x:v>SYNTHETIC; not reported</x:v>
      </x:c>
    </x:row>
    <x:row r="12">
      <x:c r="A12" s="8" t="str">
        <x:v>Input</x:v>
      </x:c>
      <x:c r="B12" s="8" t="str">
        <x:v>Value</x:v>
      </x:c>
      <x:c r="C12" s="8" t="str">
        <x:v>Unit</x:v>
      </x:c>
      <x:c r="D12" s="8" t="str">
        <x:v>Source date</x:v>
      </x:c>
      <x:c r="E12" s="8" t="str">
        <x:v>Source</x:v>
      </x:c>
      <x:c r="F12" s="8" t="str">
        <x:v>Fallback / status</x:v>
      </x:c>
      <x:c r="G12" s="8" t="str">
        <x:v>Note</x:v>
      </x:c>
      <x:c r="H12" s="8"/>
      <x:c r="I12" s="8"/>
      <x:c r="J12" s="8"/>
      <x:c r="K12" s="8"/>
      <x:c r="L12" s="8"/>
    </x:row>
    <x:row r="13">
      <x:c r="A13" t="str">
        <x:v>Market price</x:v>
      </x:c>
      <x:c r="B13" s="9" t="n">
        <x:v>50</x:v>
      </x:c>
      <x:c r="C13" t="str">
        <x:v>USD/share</x:v>
      </x:c>
      <x:c r="D13" t="str">
        <x:v>2026-09-13</x:v>
      </x:c>
      <x:c r="E13" t="str">
        <x:v>Synthetic fixture; not observed market data</x:v>
      </x:c>
      <x:c r="F13" t="str">
        <x:v>SYNTHETIC; not reported</x:v>
      </x:c>
      <x:c r="G13" t="str"/>
    </x:row>
    <x:row r="14">
      <x:c r="A14" t="str">
        <x:v>Shares outstanding</x:v>
      </x:c>
      <x:c r="B14" s="10" t="n">
        <x:v>100000000</x:v>
      </x:c>
      <x:c r="C14" t="str">
        <x:v>shares</x:v>
      </x:c>
      <x:c r="D14" t="str">
        <x:v>2026-09-13</x:v>
      </x:c>
      <x:c r="E14" t="str">
        <x:v>Synthetic fixture; not observed market data</x:v>
      </x:c>
      <x:c r="F14" t="str">
        <x:v>SYNTHETIC; not reported</x:v>
      </x:c>
      <x:c r="G14" t="str"/>
    </x:row>
    <x:row r="15">
      <x:c r="A15" t="str">
        <x:v>Levered beta</x:v>
      </x:c>
      <x:c r="B15" s="11" t="n">
        <x:v>1</x:v>
      </x:c>
      <x:c r="C15" t="str">
        <x:v>ratio</x:v>
      </x:c>
      <x:c r="D15" t="str">
        <x:v>2026-09-13</x:v>
      </x:c>
      <x:c r="E15" t="str">
        <x:v>Synthetic fixture; not observed market data</x:v>
      </x:c>
      <x:c r="F15" t="str">
        <x:v>SYNTHETIC; not reported</x:v>
      </x:c>
      <x:c r="G15" t="str"/>
    </x:row>
    <x:row r="16">
      <x:c r="A16" t="str">
        <x:v>Total debt</x:v>
      </x:c>
      <x:c r="B16" s="10" t="n">
        <x:v>100000000</x:v>
      </x:c>
      <x:c r="C16" t="str">
        <x:v>USD</x:v>
      </x:c>
      <x:c r="D16" t="str">
        <x:v>2026-09-13</x:v>
      </x:c>
      <x:c r="E16" t="str">
        <x:v>Synthetic fixture; no reported SEC fact</x:v>
      </x:c>
      <x:c r="F16" t="str">
        <x:v>SYNTHETIC</x:v>
      </x:c>
      <x:c r="G16" t="str"/>
    </x:row>
    <x:row r="17">
      <x:c r="A17" t="str">
        <x:v>Cash and equivalents</x:v>
      </x:c>
      <x:c r="B17" s="10" t="n">
        <x:v>50000000</x:v>
      </x:c>
      <x:c r="C17" t="str">
        <x:v>USD</x:v>
      </x:c>
      <x:c r="D17" t="str">
        <x:v>2026-09-13</x:v>
      </x:c>
      <x:c r="E17" t="str">
        <x:v>Synthetic fixture; no reported SEC fact</x:v>
      </x:c>
      <x:c r="F17" t="str">
        <x:v>SYNTHETIC; not reported</x:v>
      </x:c>
      <x:c r="G17" t="str"/>
    </x:row>
    <x:row r="18">
      <x:c r="A18" t="str">
        <x:v>Interest expense</x:v>
      </x:c>
      <x:c r="B18" s="10" t="n">
        <x:v>5000000</x:v>
      </x:c>
      <x:c r="C18" t="str">
        <x:v>USD</x:v>
      </x:c>
      <x:c r="D18" t="str">
        <x:v>2026-09-13</x:v>
      </x:c>
      <x:c r="E18" t="str">
        <x:v>Synthetic fixture; no reported SEC fact</x:v>
      </x:c>
      <x:c r="F18" t="str">
        <x:v>SYNTHETIC</x:v>
      </x:c>
      <x:c r="G18" t="str"/>
    </x:row>
    <x:row r="19">
      <x:c r="A19" t="str">
        <x:v>Pretax income</x:v>
      </x:c>
      <x:c r="B19" s="10" t="n">
        <x:v>220000000</x:v>
      </x:c>
      <x:c r="C19" t="str">
        <x:v>USD</x:v>
      </x:c>
      <x:c r="D19" t="str">
        <x:v>2026-09-13</x:v>
      </x:c>
      <x:c r="E19" t="str">
        <x:v>Synthetic fixture; no reported SEC fact</x:v>
      </x:c>
      <x:c r="F19" t="str">
        <x:v>SYNTHETIC; not reported</x:v>
      </x:c>
      <x:c r="G19" t="str"/>
    </x:row>
    <x:row r="20">
      <x:c r="A20" t="str">
        <x:v>Tax provision</x:v>
      </x:c>
      <x:c r="B20" s="10" t="n">
        <x:v>55000000</x:v>
      </x:c>
      <x:c r="C20" t="str">
        <x:v>USD</x:v>
      </x:c>
      <x:c r="D20" t="str">
        <x:v>2026-09-13</x:v>
      </x:c>
      <x:c r="E20" t="str">
        <x:v>Synthetic fixture; no reported SEC fact</x:v>
      </x:c>
      <x:c r="F20" t="str">
        <x:v>SYNTHETIC; not reported</x:v>
      </x:c>
      <x:c r="G20" t="str"/>
    </x:row>
    <x:row r="21">
      <x:c r="A21" t="str">
        <x:v>Risk-free rate</x:v>
      </x:c>
      <x:c r="B21" s="12" t="n">
        <x:v>0.04</x:v>
      </x:c>
      <x:c r="C21" t="str">
        <x:v>rate</x:v>
      </x:c>
      <x:c r="D21" t="str">
        <x:v>2026-09-13</x:v>
      </x:c>
      <x:c r="E21" t="str">
        <x:v>Written WACC policy; static offline default</x:v>
      </x:c>
      <x:c r="F21" t="str">
        <x:v>POLICY FALLBACK</x:v>
      </x:c>
      <x:c r="G21" t="str"/>
    </x:row>
    <x:row r="22">
      <x:c r="A22" t="str">
        <x:v>Market risk premium</x:v>
      </x:c>
      <x:c r="B22" s="12" t="n">
        <x:v>0.055</x:v>
      </x:c>
      <x:c r="C22" t="str">
        <x:v>rate</x:v>
      </x:c>
      <x:c r="D22" t="str">
        <x:v>2026-09-13</x:v>
      </x:c>
      <x:c r="E22" t="str">
        <x:v>Written WACC policy</x:v>
      </x:c>
      <x:c r="F22" t="str">
        <x:v>POLICY DEFAULT</x:v>
      </x:c>
      <x:c r="G22" t="str"/>
    </x:row>
    <x:row r="23">
      <x:c r="A23" t="str">
        <x:v>Base terminal growth</x:v>
      </x:c>
      <x:c r="B23" s="12" t="n">
        <x:v>0.025</x:v>
      </x:c>
      <x:c r="C23" t="str">
        <x:v>rate</x:v>
      </x:c>
      <x:c r="D23" t="str">
        <x:v>2026-09-13</x:v>
      </x:c>
      <x:c r="E23" t="str">
        <x:v>Written DCF policy</x:v>
      </x:c>
      <x:c r="F23" t="str">
        <x:v>POLICY DEFAULT</x:v>
      </x:c>
      <x:c r="G23" t="str"/>
    </x:row>
    <x:row r="24">
      <x:c r="A24" t="str">
        <x:v>D&amp;A / revenue</x:v>
      </x:c>
      <x:c r="B24" s="12" t="n">
        <x:v>0.03</x:v>
      </x:c>
      <x:c r="C24" t="str">
        <x:v>rate</x:v>
      </x:c>
      <x:c r="D24" t="str">
        <x:v>2026-09-13</x:v>
      </x:c>
      <x:c r="E24" t="str">
        <x:v>Written DCF policy</x:v>
      </x:c>
      <x:c r="F24" t="str">
        <x:v>POLICY DEFAULT</x:v>
      </x:c>
      <x:c r="G24" t="str"/>
    </x:row>
    <x:row r="25">
      <x:c r="A25" t="str">
        <x:v>CapEx / revenue</x:v>
      </x:c>
      <x:c r="B25" s="12" t="n">
        <x:v>0.04</x:v>
      </x:c>
      <x:c r="C25" t="str">
        <x:v>rate</x:v>
      </x:c>
      <x:c r="D25" t="str">
        <x:v>2026-09-13</x:v>
      </x:c>
      <x:c r="E25" t="str">
        <x:v>Written DCF policy</x:v>
      </x:c>
      <x:c r="F25" t="str">
        <x:v>POLICY DEFAULT</x:v>
      </x:c>
      <x:c r="G25" t="str"/>
    </x:row>
    <x:row r="26">
      <x:c r="A26" t="str">
        <x:v>Incremental NWC / revenue change</x:v>
      </x:c>
      <x:c r="B26" s="12" t="n">
        <x:v>0.01</x:v>
      </x:c>
      <x:c r="C26" t="str">
        <x:v>rate</x:v>
      </x:c>
      <x:c r="D26" t="str">
        <x:v>2026-09-13</x:v>
      </x:c>
      <x:c r="E26" t="str">
        <x:v>Written DCF policy</x:v>
      </x:c>
      <x:c r="F26" t="str">
        <x:v>POLICY DEFAULT</x:v>
      </x:c>
      <x:c r="G26" t="str"/>
    </x:row>
    <x:row r="27">
      <x:c r="A27" t="str">
        <x:v>Mature growth ceiling</x:v>
      </x:c>
      <x:c r="B27" s="12" t="n">
        <x:v>0.03</x:v>
      </x:c>
      <x:c r="C27" t="str">
        <x:v>rate</x:v>
      </x:c>
      <x:c r="D27" t="str">
        <x:v>2026-09-13</x:v>
      </x:c>
      <x:c r="E27" t="str">
        <x:v>Written DCF policy</x:v>
      </x:c>
      <x:c r="F27" t="str">
        <x:v>POLICY DEFAULT</x:v>
      </x:c>
      <x:c r="G27" t="str"/>
    </x:row>
    <x:row r="28">
      <x:c r="A28" t="str">
        <x:v>Years</x:v>
      </x:c>
      <x:c r="B28" s="13" t="n">
        <x:v>5</x:v>
      </x:c>
      <x:c r="C28" t="str">
        <x:v>years</x:v>
      </x:c>
      <x:c r="D28" t="str">
        <x:v>2026-09-13</x:v>
      </x:c>
      <x:c r="E28" t="str">
        <x:v>Written DCF policy</x:v>
      </x:c>
      <x:c r="F28" t="str">
        <x:v>POLICY DEFAULT</x:v>
      </x:c>
      <x:c r="G28" t="str"/>
    </x:row>
    <x:row r="29">
      <x:c r="A29" t="str">
        <x:v>Bear growth shift</x:v>
      </x:c>
      <x:c r="B29" s="12" t="n">
        <x:v>-0.02</x:v>
      </x:c>
      <x:c r="C29" t="str">
        <x:v>percentage points</x:v>
      </x:c>
      <x:c r="D29" t="str">
        <x:v>2026-09-13</x:v>
      </x:c>
      <x:c r="E29" t="str">
        <x:v>Validator scenario convention; absent from written spec</x:v>
      </x:c>
      <x:c r="F29" t="str">
        <x:v>SPEC GAP</x:v>
      </x:c>
      <x:c r="G29" t="str"/>
    </x:row>
    <x:row r="30">
      <x:c r="A30" t="str">
        <x:v>Bear margin shift</x:v>
      </x:c>
      <x:c r="B30" s="12" t="n">
        <x:v>-0.01</x:v>
      </x:c>
      <x:c r="C30" t="str">
        <x:v>percentage points</x:v>
      </x:c>
      <x:c r="D30" t="str">
        <x:v>2026-09-13</x:v>
      </x:c>
      <x:c r="E30" t="str">
        <x:v>Validator scenario convention; absent from written spec</x:v>
      </x:c>
      <x:c r="F30" t="str">
        <x:v>SPEC GAP</x:v>
      </x:c>
      <x:c r="G30" t="str"/>
    </x:row>
    <x:row r="31">
      <x:c r="A31" t="str">
        <x:v>Bear WACC shift</x:v>
      </x:c>
      <x:c r="B31" s="12" t="n">
        <x:v>0.01</x:v>
      </x:c>
      <x:c r="C31" t="str">
        <x:v>percentage points</x:v>
      </x:c>
      <x:c r="D31" t="str">
        <x:v>2026-09-13</x:v>
      </x:c>
      <x:c r="E31" t="str">
        <x:v>Validator scenario convention; absent from written spec</x:v>
      </x:c>
      <x:c r="F31" t="str">
        <x:v>SPEC GAP</x:v>
      </x:c>
      <x:c r="G31" t="str"/>
    </x:row>
    <x:row r="32">
      <x:c r="A32" t="str">
        <x:v>Bear terminal-g shift</x:v>
      </x:c>
      <x:c r="B32" s="12" t="n">
        <x:v>-0.005</x:v>
      </x:c>
      <x:c r="C32" t="str">
        <x:v>percentage points</x:v>
      </x:c>
      <x:c r="D32" t="str">
        <x:v>2026-09-13</x:v>
      </x:c>
      <x:c r="E32" t="str">
        <x:v>Validator scenario convention; absent from written spec</x:v>
      </x:c>
      <x:c r="F32" t="str">
        <x:v>SPEC GAP</x:v>
      </x:c>
      <x:c r="G32" t="str"/>
    </x:row>
    <x:row r="33">
      <x:c r="A33" t="str">
        <x:v>Bull growth shift</x:v>
      </x:c>
      <x:c r="B33" s="12" t="n">
        <x:v>0.02</x:v>
      </x:c>
      <x:c r="C33" t="str">
        <x:v>percentage points</x:v>
      </x:c>
      <x:c r="D33" t="str">
        <x:v>2026-09-13</x:v>
      </x:c>
      <x:c r="E33" t="str">
        <x:v>Validator scenario convention; absent from written spec</x:v>
      </x:c>
      <x:c r="F33" t="str">
        <x:v>SPEC GAP</x:v>
      </x:c>
      <x:c r="G33" t="str"/>
    </x:row>
    <x:row r="34">
      <x:c r="A34" t="str">
        <x:v>Bull margin shift</x:v>
      </x:c>
      <x:c r="B34" s="12" t="n">
        <x:v>0.01</x:v>
      </x:c>
      <x:c r="C34" t="str">
        <x:v>percentage points</x:v>
      </x:c>
      <x:c r="D34" t="str">
        <x:v>2026-09-13</x:v>
      </x:c>
      <x:c r="E34" t="str">
        <x:v>Validator scenario convention; absent from written spec</x:v>
      </x:c>
      <x:c r="F34" t="str">
        <x:v>SPEC GAP</x:v>
      </x:c>
      <x:c r="G34" t="str"/>
    </x:row>
    <x:row r="35">
      <x:c r="A35" t="str">
        <x:v>Bull WACC shift</x:v>
      </x:c>
      <x:c r="B35" s="12" t="n">
        <x:v>-0.01</x:v>
      </x:c>
      <x:c r="C35" t="str">
        <x:v>percentage points</x:v>
      </x:c>
      <x:c r="D35" t="str">
        <x:v>2026-09-13</x:v>
      </x:c>
      <x:c r="E35" t="str">
        <x:v>Validator scenario convention; absent from written spec</x:v>
      </x:c>
      <x:c r="F35" t="str">
        <x:v>SPEC GAP</x:v>
      </x:c>
      <x:c r="G35" t="str"/>
    </x:row>
    <x:row r="36">
      <x:c r="A36" t="str">
        <x:v>Bull terminal-g shift</x:v>
      </x:c>
      <x:c r="B36" s="12" t="n">
        <x:v>0.005</x:v>
      </x:c>
      <x:c r="C36" t="str">
        <x:v>percentage points</x:v>
      </x:c>
      <x:c r="D36" t="str">
        <x:v>2026-09-13</x:v>
      </x:c>
      <x:c r="E36" t="str">
        <x:v>Validator scenario convention; absent from written spec</x:v>
      </x:c>
      <x:c r="F36" t="str">
        <x:v>SPEC GAP</x:v>
      </x:c>
      <x:c r="G36" t="str"/>
    </x:row>
    <x:row r="37">
      <x:c r="A37" t="str">
        <x:v>Tax fallback</x:v>
      </x:c>
      <x:c r="B37" s="12" t="n">
        <x:v>0.21</x:v>
      </x:c>
      <x:c r="C37" t="str">
        <x:v>rate</x:v>
      </x:c>
      <x:c r="D37" t="str">
        <x:v>2026-09-13</x:v>
      </x:c>
      <x:c r="E37" t="str">
        <x:v>Written WACC policy</x:v>
      </x:c>
      <x:c r="F37" t="str">
        <x:v>POLICY FALLBACK</x:v>
      </x:c>
      <x:c r="G37" t="str"/>
    </x:row>
    <x:row r="38">
      <x:c r="A38" t="str">
        <x:v>Cost-debt fallback</x:v>
      </x:c>
      <x:c r="B38" s="12" t="n">
        <x:v>0.05</x:v>
      </x:c>
      <x:c r="C38" t="str">
        <x:v>rate</x:v>
      </x:c>
      <x:c r="D38" t="str">
        <x:v>2026-09-13</x:v>
      </x:c>
      <x:c r="E38" t="str">
        <x:v>Written WACC policy</x:v>
      </x:c>
      <x:c r="F38" t="str">
        <x:v>POLICY FALLBACK</x:v>
      </x:c>
      <x:c r="G38" t="str"/>
    </x:row>
    <x:row r="39">
      <x:c r="A39" t="str">
        <x:v>Growth fallback</x:v>
      </x:c>
      <x:c r="B39" s="12" t="n">
        <x:v>0.08</x:v>
      </x:c>
      <x:c r="C39" t="str">
        <x:v>rate</x:v>
      </x:c>
      <x:c r="D39" t="str">
        <x:v>2026-09-13</x:v>
      </x:c>
      <x:c r="E39" t="str">
        <x:v>Written DCF policy</x:v>
      </x:c>
      <x:c r="F39" t="str">
        <x:v>POLICY FALLBACK</x:v>
      </x:c>
      <x:c r="G39" t="str"/>
    </x:row>
    <x:row r="40">
      <x:c r="A40" t="str">
        <x:v>Margin fallback</x:v>
      </x:c>
      <x:c r="B40" s="12" t="n">
        <x:v>0.15</x:v>
      </x:c>
      <x:c r="C40" t="str">
        <x:v>rate</x:v>
      </x:c>
      <x:c r="D40" t="str">
        <x:v>2026-09-13</x:v>
      </x:c>
      <x:c r="E40" t="str">
        <x:v>Written DCF policy</x:v>
      </x:c>
      <x:c r="F40" t="str">
        <x:v>POLICY FALLBACK</x:v>
      </x:c>
      <x:c r="G40" t="str"/>
    </x:row>
    <x:row r="43">
      <x:c r="A43" t="str">
        <x:v>Elapsed fiscal years</x:v>
      </x:c>
      <x:c r="B43" s="14" t="n">
        <x:f>(DATE(2025,12,31)-DATE(2021,12,31))/365.25</x:f>
        <x:v>4</x:v>
      </x:c>
      <x:c r="H43" t="str">
        <x:v>CAGR date basis</x:v>
      </x:c>
      <x:c r="I43" t="str">
        <x:v>2021-12-31 to 2025-12-31; actual days / 365.25</x:v>
      </x:c>
    </x:row>
    <x:row r="44">
      <x:c r="A44" t="str">
        <x:v>Historical revenue CAGR</x:v>
      </x:c>
      <x:c r="B44" s="15" t="n">
        <x:f>IF(AND(B6&gt;0,B10&gt;0,B43&gt;0),(B10/B6)^(1/B43)-1,NA())</x:f>
        <x:v>0.04663513939210562</x:v>
      </x:c>
    </x:row>
    <x:row r="45">
      <x:c r="A45" t="str">
        <x:v>Resolved growth</x:v>
      </x:c>
      <x:c r="B45" s="15" t="n">
        <x:f>IF(ISNUMBER(B44),MIN(25%,B44),B39)</x:f>
        <x:v>0.04663513939210562</x:v>
      </x:c>
    </x:row>
    <x:row r="46">
      <x:c r="A46" t="str">
        <x:v>Average EBIT margin</x:v>
      </x:c>
      <x:c r="B46" s="15" t="n">
        <x:f>AVERAGE(D6:D10)</x:f>
        <x:v>-0.2</x:v>
      </x:c>
    </x:row>
    <x:row r="47">
      <x:c r="A47" t="str">
        <x:v>Resolved margin</x:v>
      </x:c>
      <x:c r="B47" s="15" t="n">
        <x:f>IF(ISNUMBER(B46),B46,B40)</x:f>
        <x:v>-0.2</x:v>
      </x:c>
    </x:row>
    <x:row r="48">
      <x:c r="A48" t="str">
        <x:v>Observed tax ratio</x:v>
      </x:c>
      <x:c r="B48" s="15" t="n">
        <x:f>IF(B19&gt;0,B20/B19,NA())</x:f>
        <x:v>0.25</x:v>
      </x:c>
    </x:row>
    <x:row r="49">
      <x:c r="A49" t="str">
        <x:v>Resolved tax</x:v>
      </x:c>
      <x:c r="B49" s="15" t="n">
        <x:f>IF(ISNUMBER(B48),B48,B37)</x:f>
        <x:v>0.25</x:v>
      </x:c>
    </x:row>
    <x:row r="50">
      <x:c r="A50" t="str">
        <x:v>Tax provenance</x:v>
      </x:c>
      <x:c r="B50" s="16" t="str">
        <x:f>IF(ISNUMBER(B48),"OBSERVED","FALLBACK")</x:f>
        <x:v>OBSERVED</x:v>
      </x:c>
    </x:row>
    <x:row r="51">
      <x:c r="A51" t="str">
        <x:v>Cost of debt</x:v>
      </x:c>
      <x:c r="B51" s="15" t="n">
        <x:f>IF(B16&gt;0,ABS(B18)/B16,B38)</x:f>
        <x:v>0.05</x:v>
      </x:c>
    </x:row>
    <x:row r="52">
      <x:c r="A52" t="str">
        <x:v>Debt-cost provenance</x:v>
      </x:c>
      <x:c r="B52" s="16" t="str">
        <x:f>IF(B16&gt;0,"OBSERVED","FALLBACK")</x:f>
        <x:v>OBSERVED</x:v>
      </x:c>
    </x:row>
    <x:row r="53">
      <x:c r="A53" t="str">
        <x:v>Market capitalization</x:v>
      </x:c>
      <x:c r="B53" s="17" t="n">
        <x:f>B13*B14</x:f>
        <x:v>5000000000</x:v>
      </x:c>
    </x:row>
    <x:row r="54">
      <x:c r="A54" t="str">
        <x:v>Total capital</x:v>
      </x:c>
      <x:c r="B54" s="17" t="n">
        <x:f>B53+B16</x:f>
        <x:v>5100000000</x:v>
      </x:c>
    </x:row>
    <x:row r="55">
      <x:c r="A55" t="str">
        <x:v>Cost of equity</x:v>
      </x:c>
      <x:c r="B55" s="15" t="n">
        <x:f>B21+B15*B22</x:f>
        <x:v>0.095</x:v>
      </x:c>
    </x:row>
    <x:row r="56">
      <x:c r="A56" t="str">
        <x:v>After-tax debt cost</x:v>
      </x:c>
      <x:c r="B56" s="15" t="n">
        <x:f>B51*(1-B49)</x:f>
        <x:v>0.037500000000000006</x:v>
      </x:c>
    </x:row>
    <x:row r="57">
      <x:c r="A57" t="str">
        <x:v>Equity weight</x:v>
      </x:c>
      <x:c r="B57" s="15" t="n">
        <x:f>B53/B54</x:f>
        <x:v>0.9803921568627451</x:v>
      </x:c>
    </x:row>
    <x:row r="58">
      <x:c r="A58" t="str">
        <x:v>Debt weight</x:v>
      </x:c>
      <x:c r="B58" s="15" t="n">
        <x:f>B16/B54</x:f>
        <x:v>0.0196078431372549</x:v>
      </x:c>
    </x:row>
    <x:row r="59">
      <x:c r="A59" t="str">
        <x:v>Raw WACC</x:v>
      </x:c>
      <x:c r="B59" s="15" t="n">
        <x:f>B57*B55+B58*B56</x:f>
        <x:v>0.09387254901960784</x:v>
      </x:c>
    </x:row>
    <x:row r="60">
      <x:c r="A60" t="str">
        <x:v>Bounded WACC</x:v>
      </x:c>
      <x:c r="B60" s="15" t="n">
        <x:f>MAX(5%,MIN(20%,B59))</x:f>
        <x:v>0.09387254901960784</x:v>
      </x:c>
    </x:row>
    <x:row r="64">
      <x:c r="A64" s="8" t="str">
        <x:v>Base • 5 annual forecast years</x:v>
      </x:c>
      <x:c r="B64" s="8"/>
      <x:c r="C64" s="8" t="str">
        <x:v>Year 1</x:v>
      </x:c>
      <x:c r="D64" s="8" t="str">
        <x:v>Year 2</x:v>
      </x:c>
      <x:c r="E64" s="8" t="str">
        <x:v>Year 3</x:v>
      </x:c>
      <x:c r="F64" s="8" t="str">
        <x:v>Year 4</x:v>
      </x:c>
      <x:c r="G64" s="8" t="str">
        <x:v>Year 5</x:v>
      </x:c>
      <x:c r="H64" s="8"/>
      <x:c r="I64" s="8"/>
      <x:c r="J64" s="8"/>
      <x:c r="K64" s="8"/>
      <x:c r="L64" s="8"/>
    </x:row>
    <x:row r="65">
      <x:c r="A65" t="str">
        <x:v>Growth</x:v>
      </x:c>
      <x:c r="C65" s="1" t="n">
        <x:f>$B$45</x:f>
        <x:v>0.04663513939210562</x:v>
      </x:c>
      <x:c r="D65" s="1" t="n">
        <x:f>$B$45</x:f>
        <x:v>0.04663513939210562</x:v>
      </x:c>
      <x:c r="E65" s="1" t="n">
        <x:f>IF($B$45&gt;$B$27,$B$27+($B$45-$B$27)*2/3,$B$45)</x:f>
        <x:v>0.041090092928070414</x:v>
      </x:c>
      <x:c r="F65" s="1" t="n">
        <x:f>IF($B$45&gt;$B$27,$B$27+($B$45-$B$27)/3,$B$45)</x:f>
        <x:v>0.0355450464640352</x:v>
      </x:c>
      <x:c r="G65" s="1" t="n">
        <x:f>IF($B$45&gt;$B$27,$B$27,$B$45)</x:f>
        <x:v>0.03</x:v>
      </x:c>
    </x:row>
    <x:row r="66">
      <x:c r="A66" t="str">
        <x:v>EBIT margin</x:v>
      </x:c>
      <x:c r="C66" s="1" t="n">
        <x:f>$B$47</x:f>
        <x:v>-0.2</x:v>
      </x:c>
      <x:c r="D66" s="1" t="n">
        <x:f>$B$47</x:f>
        <x:v>-0.2</x:v>
      </x:c>
      <x:c r="E66" s="1" t="n">
        <x:f>$B$47</x:f>
        <x:v>-0.2</x:v>
      </x:c>
      <x:c r="F66" s="1" t="n">
        <x:f>$B$47</x:f>
        <x:v>-0.2</x:v>
      </x:c>
      <x:c r="G66" s="1" t="n">
        <x:f>$B$47</x:f>
        <x:v>-0.2</x:v>
      </x:c>
    </x:row>
    <x:row r="67">
      <x:c r="A67" t="str">
        <x:v>Revenue USD</x:v>
      </x:c>
      <x:c r="C67" s="2" t="n">
        <x:f>$B$10*(1+C65)</x:f>
        <x:v>1255962167.2705266</x:v>
      </x:c>
      <x:c r="D67" s="2" t="n">
        <x:f>C67*(1+D65)</x:f>
        <x:v>1314534138.0123987</x:v>
      </x:c>
      <x:c r="E67" s="2" t="n">
        <x:f>D67*(1+E65)</x:f>
        <x:v>1368548467.900449</x:v>
      </x:c>
      <x:c r="F67" s="2" t="n">
        <x:f>E67*(1+F65)</x:f>
        <x:v>1417193586.7802546</x:v>
      </x:c>
      <x:c r="G67" s="2" t="n">
        <x:f>F67*(1+G65)</x:f>
        <x:v>1459709394.3836622</x:v>
      </x:c>
    </x:row>
    <x:row r="68">
      <x:c r="A68" t="str">
        <x:v>EBIT USD</x:v>
      </x:c>
      <x:c r="C68" s="2" t="n">
        <x:f>C67*C66</x:f>
        <x:v>-251192433.45410535</x:v>
      </x:c>
      <x:c r="D68" s="2" t="n">
        <x:f>D67*D66</x:f>
        <x:v>-262906827.60247976</x:v>
      </x:c>
      <x:c r="E68" s="2" t="n">
        <x:f>E67*E66</x:f>
        <x:v>-273709693.5800898</x:v>
      </x:c>
      <x:c r="F68" s="2" t="n">
        <x:f>F67*F66</x:f>
        <x:v>-283438717.3560509</x:v>
      </x:c>
      <x:c r="G68" s="2" t="n">
        <x:f>G67*G66</x:f>
        <x:v>-291941878.87673247</x:v>
      </x:c>
    </x:row>
    <x:row r="69">
      <x:c r="A69" t="str">
        <x:v>NOPAT USD</x:v>
      </x:c>
      <x:c r="C69" s="2" t="n">
        <x:f>C68*(1-$B$49)</x:f>
        <x:v>-188394325.090579</x:v>
      </x:c>
      <x:c r="D69" s="2" t="n">
        <x:f>D68*(1-$B$49)</x:f>
        <x:v>-197180120.70185983</x:v>
      </x:c>
      <x:c r="E69" s="2" t="n">
        <x:f>E68*(1-$B$49)</x:f>
        <x:v>-205282270.18506736</x:v>
      </x:c>
      <x:c r="F69" s="2" t="n">
        <x:f>F68*(1-$B$49)</x:f>
        <x:v>-212579038.01703817</x:v>
      </x:c>
      <x:c r="G69" s="2" t="n">
        <x:f>G68*(1-$B$49)</x:f>
        <x:v>-218956409.15754935</x:v>
      </x:c>
    </x:row>
    <x:row r="70">
      <x:c r="A70" t="str">
        <x:v>D&amp;A USD</x:v>
      </x:c>
      <x:c r="C70" s="2" t="n">
        <x:f>C67*$B$24</x:f>
        <x:v>37678865.018115796</x:v>
      </x:c>
      <x:c r="D70" s="2" t="n">
        <x:f>D67*$B$24</x:f>
        <x:v>39436024.14037196</x:v>
      </x:c>
      <x:c r="E70" s="2" t="n">
        <x:f>E67*$B$24</x:f>
        <x:v>41056454.03701347</x:v>
      </x:c>
      <x:c r="F70" s="2" t="n">
        <x:f>F67*$B$24</x:f>
        <x:v>42515807.60340764</x:v>
      </x:c>
      <x:c r="G70" s="2" t="n">
        <x:f>G67*$B$24</x:f>
        <x:v>43791281.831509866</x:v>
      </x:c>
    </x:row>
    <x:row r="71">
      <x:c r="A71" t="str">
        <x:v>CapEx USD</x:v>
      </x:c>
      <x:c r="C71" s="2" t="n">
        <x:f>C67*$B$25</x:f>
        <x:v>50238486.69082107</x:v>
      </x:c>
      <x:c r="D71" s="2" t="n">
        <x:f>D67*$B$25</x:f>
        <x:v>52581365.52049595</x:v>
      </x:c>
      <x:c r="E71" s="2" t="n">
        <x:f>E67*$B$25</x:f>
        <x:v>54741938.71601796</x:v>
      </x:c>
      <x:c r="F71" s="2" t="n">
        <x:f>F67*$B$25</x:f>
        <x:v>56687743.47121018</x:v>
      </x:c>
      <x:c r="G71" s="2" t="n">
        <x:f>G67*$B$25</x:f>
        <x:v>58388375.77534649</x:v>
      </x:c>
    </x:row>
    <x:row r="72">
      <x:c r="A72" t="str">
        <x:v>Increase in NWC USD</x:v>
      </x:c>
      <x:c r="C72" s="2" t="n">
        <x:f>(C67-$B$10)*$B$26</x:f>
        <x:v>559621.6727052665</x:v>
      </x:c>
      <x:c r="D72" s="2" t="n">
        <x:f>(D67-C67)*$B$26</x:f>
        <x:v>585719.7074187207</x:v>
      </x:c>
      <x:c r="E72" s="2" t="n">
        <x:f>(E67-D67)*$B$26</x:f>
        <x:v>540143.2988805032</x:v>
      </x:c>
      <x:c r="F72" s="2" t="n">
        <x:f>(F67-E67)*$B$26</x:f>
        <x:v>486451.18879805563</x:v>
      </x:c>
      <x:c r="G72" s="2" t="n">
        <x:f>(G67-F67)*$B$26</x:f>
        <x:v>425158.0760340762</x:v>
      </x:c>
    </x:row>
    <x:row r="73">
      <x:c r="A73" t="str">
        <x:v>FCF USD</x:v>
      </x:c>
      <x:c r="C73" s="2" t="n">
        <x:f>C69+C70-C71-C72</x:f>
        <x:v>-201513568.43598953</x:v>
      </x:c>
      <x:c r="D73" s="2" t="n">
        <x:f>D69+D70-D71-D72</x:f>
        <x:v>-210911181.7894025</x:v>
      </x:c>
      <x:c r="E73" s="2" t="n">
        <x:f>E69+E70-E71-E72</x:f>
        <x:v>-219507898.16295236</x:v>
      </x:c>
      <x:c r="F73" s="2" t="n">
        <x:f>F69+F70-F71-F72</x:f>
        <x:v>-227237425.0736388</x:v>
      </x:c>
      <x:c r="G73" s="2" t="n">
        <x:f>G69+G70-G71-G72</x:f>
        <x:v>-233978661.17742005</x:v>
      </x:c>
    </x:row>
    <x:row r="74">
      <x:c r="A74" t="str">
        <x:v>PV of FCF USD</x:v>
      </x:c>
      <x:c r="C74" s="2" t="n">
        <x:f>C73/(1+$B$77)^1</x:f>
        <x:v>-184220335.92176503</x:v>
      </x:c>
      <x:c r="D74" s="2" t="n">
        <x:f>D73/(1+$B$77)^2</x:f>
        <x:v>-176265029.35752976</x:v>
      </x:c>
      <x:c r="E74" s="2" t="n">
        <x:f>E73/(1+$B$77)^3</x:f>
        <x:v>-167706532.69034034</x:v>
      </x:c>
      <x:c r="F74" s="2" t="n">
        <x:f>F73/(1+$B$77)^4</x:f>
        <x:v>-158713169.45024</x:v>
      </x:c>
      <x:c r="G74" s="2" t="n">
        <x:f>G73/(1+$B$77)^5</x:f>
        <x:v>-149397260.14804333</x:v>
      </x:c>
    </x:row>
    <x:row r="77">
      <x:c r="A77" t="str">
        <x:v>WACC</x:v>
      </x:c>
      <x:c r="B77" s="1" t="n">
        <x:f>MAX(5%,MIN(20%,$B$60))</x:f>
        <x:v>0.09387254901960784</x:v>
      </x:c>
    </x:row>
    <x:row r="78">
      <x:c r="A78" t="str">
        <x:v>Terminal growth</x:v>
      </x:c>
      <x:c r="B78" s="1" t="n">
        <x:f>MAX(0%,MIN(5%,$B$23))</x:f>
        <x:v>0.025</x:v>
      </x:c>
    </x:row>
    <x:row r="79">
      <x:c r="A79" t="str">
        <x:v>Terminal FCF</x:v>
      </x:c>
      <x:c r="B79" s="2" t="n">
        <x:f>G73</x:f>
        <x:v>-233978661.17742005</x:v>
      </x:c>
    </x:row>
    <x:row r="80">
      <x:c r="A80" t="str">
        <x:v>Undiscounted terminal value</x:v>
      </x:c>
      <x:c r="B80" s="2" t="n">
        <x:f>B79*(1+B78)/(B77-B78)</x:f>
        <x:v>-3482201996.5977597</x:v>
      </x:c>
    </x:row>
    <x:row r="81">
      <x:c r="A81" t="str">
        <x:v>PV terminal value</x:v>
      </x:c>
      <x:c r="B81" s="2" t="n">
        <x:f>B80/(1+B77)^5</x:f>
        <x:v>-2223414028.253086</x:v>
      </x:c>
    </x:row>
    <x:row r="82">
      <x:c r="A82" t="str">
        <x:v>PV annual FCF</x:v>
      </x:c>
      <x:c r="B82" s="2" t="n">
        <x:f>SUM(C74:G74)</x:f>
        <x:v>-836302327.5679185</x:v>
      </x:c>
    </x:row>
    <x:row r="83">
      <x:c r="A83" t="str">
        <x:v>Enterprise value</x:v>
      </x:c>
      <x:c r="B83" s="2" t="n">
        <x:f>B81+B82</x:f>
        <x:v>-3059716355.821005</x:v>
      </x:c>
    </x:row>
    <x:row r="84">
      <x:c r="A84" t="str">
        <x:v>Equity value</x:v>
      </x:c>
      <x:c r="B84" s="2" t="n">
        <x:f>B83-$B$16+$B$17</x:f>
        <x:v>-3109716355.821005</x:v>
      </x:c>
    </x:row>
    <x:row r="85">
      <x:c r="A85" t="str">
        <x:v>Per-share value</x:v>
      </x:c>
      <x:c r="B85" s="5" t="n">
        <x:f>B84/$B$14</x:f>
        <x:v>-31.09716355821005</x:v>
      </x:c>
    </x:row>
    <x:row r="86">
      <x:c r="A86" t="str">
        <x:v>PV terminal / EV</x:v>
      </x:c>
      <x:c r="B86" s="1" t="str">
        <x:f>IF(B83&gt;0,B81/B83,"N/A: EV&lt;=0")</x:f>
        <x:v>N/A: EV&lt;=0</x:v>
      </x:c>
    </x:row>
    <x:row r="94">
      <x:c r="A94" s="8" t="str">
        <x:v>Bear • 5 annual forecast years</x:v>
      </x:c>
      <x:c r="B94" s="8"/>
      <x:c r="C94" s="8" t="str">
        <x:v>Year 1</x:v>
      </x:c>
      <x:c r="D94" s="8" t="str">
        <x:v>Year 2</x:v>
      </x:c>
      <x:c r="E94" s="8" t="str">
        <x:v>Year 3</x:v>
      </x:c>
      <x:c r="F94" s="8" t="str">
        <x:v>Year 4</x:v>
      </x:c>
      <x:c r="G94" s="8" t="str">
        <x:v>Year 5</x:v>
      </x:c>
      <x:c r="H94" s="8"/>
      <x:c r="I94" s="8"/>
      <x:c r="J94" s="8"/>
      <x:c r="K94" s="8"/>
      <x:c r="L94" s="8"/>
    </x:row>
    <x:row r="95">
      <x:c r="A95" t="str">
        <x:v>Growth</x:v>
      </x:c>
      <x:c r="C95" s="1" t="n">
        <x:f>$B$45+$B$29</x:f>
        <x:v>0.026635139392105617</x:v>
      </x:c>
      <x:c r="D95" s="1" t="n">
        <x:f>$B$45+$B$29</x:f>
        <x:v>0.026635139392105617</x:v>
      </x:c>
      <x:c r="E95" s="1" t="n">
        <x:f>IF($B$45&gt;$B$27,$B$27+($B$45-$B$27)*2/3,$B$45)+$B$29</x:f>
        <x:v>0.021090092928070413</x:v>
      </x:c>
      <x:c r="F95" s="1" t="n">
        <x:f>IF($B$45&gt;$B$27,$B$27+($B$45-$B$27)/3,$B$45)+$B$29</x:f>
        <x:v>0.015545046464035202</x:v>
      </x:c>
      <x:c r="G95" s="1" t="n">
        <x:f>IF($B$45&gt;$B$27,$B$27,$B$45)+$B$29</x:f>
        <x:v>0.009999999999999998</x:v>
      </x:c>
    </x:row>
    <x:row r="96">
      <x:c r="A96" t="str">
        <x:v>EBIT margin</x:v>
      </x:c>
      <x:c r="C96" s="1" t="n">
        <x:f>$B$47+$B$30</x:f>
        <x:v>-0.21000000000000002</x:v>
      </x:c>
      <x:c r="D96" s="1" t="n">
        <x:f>$B$47+$B$30</x:f>
        <x:v>-0.21000000000000002</x:v>
      </x:c>
      <x:c r="E96" s="1" t="n">
        <x:f>$B$47+$B$30</x:f>
        <x:v>-0.21000000000000002</x:v>
      </x:c>
      <x:c r="F96" s="1" t="n">
        <x:f>$B$47+$B$30</x:f>
        <x:v>-0.21000000000000002</x:v>
      </x:c>
      <x:c r="G96" s="1" t="n">
        <x:f>$B$47+$B$30</x:f>
        <x:v>-0.21000000000000002</x:v>
      </x:c>
    </x:row>
    <x:row r="97">
      <x:c r="A97" t="str">
        <x:v>Revenue USD</x:v>
      </x:c>
      <x:c r="C97" s="2" t="n">
        <x:f>$B$10*(1+C95)</x:f>
        <x:v>1231962167.2705266</x:v>
      </x:c>
      <x:c r="D97" s="2" t="n">
        <x:f>C97*(1+D95)</x:f>
        <x:v>1264775651.3215775</x:v>
      </x:c>
      <x:c r="E97" s="2" t="n">
        <x:f>D97*(1+E95)</x:f>
        <x:v>1291449887.3411105</x:v>
      </x:c>
      <x:c r="F97" s="2" t="n">
        <x:f>E97*(1+F95)</x:f>
        <x:v>1311525535.845801</x:v>
      </x:c>
      <x:c r="G97" s="2" t="n">
        <x:f>F97*(1+G95)</x:f>
        <x:v>1324640791.2042592</x:v>
      </x:c>
    </x:row>
    <x:row r="98">
      <x:c r="A98" t="str">
        <x:v>EBIT USD</x:v>
      </x:c>
      <x:c r="C98" s="2" t="n">
        <x:f>C97*C96</x:f>
        <x:v>-258712055.1268106</x:v>
      </x:c>
      <x:c r="D98" s="2" t="n">
        <x:f>D97*D96</x:f>
        <x:v>-265602886.7775313</x:v>
      </x:c>
      <x:c r="E98" s="2" t="n">
        <x:f>E97*E96</x:f>
        <x:v>-271204476.3416332</x:v>
      </x:c>
      <x:c r="F98" s="2" t="n">
        <x:f>F97*F96</x:f>
        <x:v>-275420362.5276183</x:v>
      </x:c>
      <x:c r="G98" s="2" t="n">
        <x:f>G97*G96</x:f>
        <x:v>-278174566.15289444</x:v>
      </x:c>
    </x:row>
    <x:row r="99">
      <x:c r="A99" t="str">
        <x:v>NOPAT USD</x:v>
      </x:c>
      <x:c r="C99" s="2" t="n">
        <x:f>C98*(1-$B$49)</x:f>
        <x:v>-194034041.34510797</x:v>
      </x:c>
      <x:c r="D99" s="2" t="n">
        <x:f>D98*(1-$B$49)</x:f>
        <x:v>-199202165.08314848</x:v>
      </x:c>
      <x:c r="E99" s="2" t="n">
        <x:f>E98*(1-$B$49)</x:f>
        <x:v>-203403357.2562249</x:v>
      </x:c>
      <x:c r="F99" s="2" t="n">
        <x:f>F98*(1-$B$49)</x:f>
        <x:v>-206565271.89571372</x:v>
      </x:c>
      <x:c r="G99" s="2" t="n">
        <x:f>G98*(1-$B$49)</x:f>
        <x:v>-208630924.6146708</x:v>
      </x:c>
    </x:row>
    <x:row r="100">
      <x:c r="A100" t="str">
        <x:v>D&amp;A USD</x:v>
      </x:c>
      <x:c r="C100" s="2" t="n">
        <x:f>C97*$B$24</x:f>
        <x:v>36958865.018115796</x:v>
      </x:c>
      <x:c r="D100" s="2" t="n">
        <x:f>D97*$B$24</x:f>
        <x:v>37943269.539647326</x:v>
      </x:c>
      <x:c r="E100" s="2" t="n">
        <x:f>E97*$B$24</x:f>
        <x:v>38743496.62023331</x:v>
      </x:c>
      <x:c r="F100" s="2" t="n">
        <x:f>F97*$B$24</x:f>
        <x:v>39345766.07537403</x:v>
      </x:c>
      <x:c r="G100" s="2" t="n">
        <x:f>G97*$B$24</x:f>
        <x:v>39739223.73612777</x:v>
      </x:c>
    </x:row>
    <x:row r="101">
      <x:c r="A101" t="str">
        <x:v>CapEx USD</x:v>
      </x:c>
      <x:c r="C101" s="2" t="n">
        <x:f>C97*$B$25</x:f>
        <x:v>49278486.69082107</x:v>
      </x:c>
      <x:c r="D101" s="2" t="n">
        <x:f>D97*$B$25</x:f>
        <x:v>50591026.052863106</x:v>
      </x:c>
      <x:c r="E101" s="2" t="n">
        <x:f>E97*$B$25</x:f>
        <x:v>51657995.49364442</x:v>
      </x:c>
      <x:c r="F101" s="2" t="n">
        <x:f>F97*$B$25</x:f>
        <x:v>52461021.43383205</x:v>
      </x:c>
      <x:c r="G101" s="2" t="n">
        <x:f>G97*$B$25</x:f>
        <x:v>52985631.64817037</x:v>
      </x:c>
    </x:row>
    <x:row r="102">
      <x:c r="A102" t="str">
        <x:v>Increase in NWC USD</x:v>
      </x:c>
      <x:c r="C102" s="2" t="n">
        <x:f>(C97-$B$10)*$B$26</x:f>
        <x:v>319621.6727052665</x:v>
      </x:c>
      <x:c r="D102" s="2" t="n">
        <x:f>(D97-C97)*$B$26</x:f>
        <x:v>328134.84051050904</x:v>
      </x:c>
      <x:c r="E102" s="2" t="n">
        <x:f>(E97-D97)*$B$26</x:f>
        <x:v>266742.3601953292</x:v>
      </x:c>
      <x:c r="F102" s="2" t="n">
        <x:f>(F97-E97)*$B$26</x:f>
        <x:v>200756.48504690648</x:v>
      </x:c>
      <x:c r="G102" s="2" t="n">
        <x:f>(G97-F97)*$B$26</x:f>
        <x:v>131152.55358458043</x:v>
      </x:c>
    </x:row>
    <x:row r="103">
      <x:c r="A103" t="str">
        <x:v>FCF USD</x:v>
      </x:c>
      <x:c r="C103" s="2" t="n">
        <x:f>C99+C100-C101-C102</x:f>
        <x:v>-206673284.69051853</x:v>
      </x:c>
      <x:c r="D103" s="2" t="n">
        <x:f>D99+D100-D101-D102</x:f>
        <x:v>-212178056.43687478</x:v>
      </x:c>
      <x:c r="E103" s="2" t="n">
        <x:f>E99+E100-E101-E102</x:f>
        <x:v>-216584598.48983133</x:v>
      </x:c>
      <x:c r="F103" s="2" t="n">
        <x:f>F99+F100-F101-F102</x:f>
        <x:v>-219881283.73921862</x:v>
      </x:c>
      <x:c r="G103" s="2" t="n">
        <x:f>G99+G100-G101-G102</x:f>
        <x:v>-222008485.080298</x:v>
      </x:c>
    </x:row>
    <x:row r="104">
      <x:c r="A104" t="str">
        <x:v>PV of FCF USD</x:v>
      </x:c>
      <x:c r="C104" s="2" t="n">
        <x:f>C103/(1+$B$107)^1</x:f>
        <x:v>-187225676.43707883</x:v>
      </x:c>
      <x:c r="D104" s="2" t="n">
        <x:f>D103/(1+$B$107)^2</x:f>
        <x:v>-174125589.58683503</x:v>
      </x:c>
      <x:c r="E104" s="2" t="n">
        <x:f>E103/(1+$B$107)^3</x:f>
        <x:v>-161016643.73555467</x:v>
      </x:c>
      <x:c r="F104" s="2" t="n">
        <x:f>F103/(1+$B$107)^4</x:f>
        <x:v>-148085497.90151978</x:v>
      </x:c>
      <x:c r="G104" s="2" t="n">
        <x:f>G103/(1+$B$107)^5</x:f>
        <x:v>-135448720.190878</x:v>
      </x:c>
    </x:row>
    <x:row r="107">
      <x:c r="A107" t="str">
        <x:v>WACC</x:v>
      </x:c>
      <x:c r="B107" s="1" t="n">
        <x:f>MAX(5%,MIN(20%,$B$60+$B$31))</x:f>
        <x:v>0.10387254901960784</x:v>
      </x:c>
    </x:row>
    <x:row r="108">
      <x:c r="A108" t="str">
        <x:v>Terminal growth</x:v>
      </x:c>
      <x:c r="B108" s="1" t="n">
        <x:f>MAX(0%,MIN(5%,$B$23+$B$32))</x:f>
        <x:v>0.02</x:v>
      </x:c>
    </x:row>
    <x:row r="109">
      <x:c r="A109" t="str">
        <x:v>Terminal FCF</x:v>
      </x:c>
      <x:c r="B109" s="2" t="n">
        <x:f>G103</x:f>
        <x:v>-222008485.080298</x:v>
      </x:c>
    </x:row>
    <x:row r="110">
      <x:c r="A110" t="str">
        <x:v>Undiscounted terminal value</x:v>
      </x:c>
      <x:c r="B110" s="2" t="n">
        <x:f>B109*(1+B108)/(B107-B108)</x:f>
        <x:v>-2699913826.739241</x:v>
      </x:c>
    </x:row>
    <x:row r="111">
      <x:c r="A111" t="str">
        <x:v>PV terminal value</x:v>
      </x:c>
      <x:c r="B111" s="2" t="n">
        <x:f>B110/(1+B107)^5</x:f>
        <x:v>-1647233763.7240152</x:v>
      </x:c>
    </x:row>
    <x:row r="112">
      <x:c r="A112" t="str">
        <x:v>PV annual FCF</x:v>
      </x:c>
      <x:c r="B112" s="2" t="n">
        <x:f>SUM(C104:G104)</x:f>
        <x:v>-805902127.8518664</x:v>
      </x:c>
    </x:row>
    <x:row r="113">
      <x:c r="A113" t="str">
        <x:v>Enterprise value</x:v>
      </x:c>
      <x:c r="B113" s="2" t="n">
        <x:f>B111+B112</x:f>
        <x:v>-2453135891.5758815</x:v>
      </x:c>
    </x:row>
    <x:row r="114">
      <x:c r="A114" t="str">
        <x:v>Equity value</x:v>
      </x:c>
      <x:c r="B114" s="2" t="n">
        <x:f>B113-$B$16+$B$17</x:f>
        <x:v>-2503135891.5758815</x:v>
      </x:c>
    </x:row>
    <x:row r="115">
      <x:c r="A115" t="str">
        <x:v>Per-share value</x:v>
      </x:c>
      <x:c r="B115" s="5" t="n">
        <x:f>B114/$B$14</x:f>
        <x:v>-25.031358915758815</x:v>
      </x:c>
    </x:row>
    <x:row r="116">
      <x:c r="A116" t="str">
        <x:v>PV terminal / EV</x:v>
      </x:c>
      <x:c r="B116" s="1" t="str">
        <x:f>IF(B113&gt;0,B111/B113,"N/A: EV&lt;=0")</x:f>
        <x:v>N/A: EV&lt;=0</x:v>
      </x:c>
    </x:row>
    <x:row r="124">
      <x:c r="A124" s="8" t="str">
        <x:v>Bull • 5 annual forecast years</x:v>
      </x:c>
      <x:c r="B124" s="8"/>
      <x:c r="C124" s="8" t="str">
        <x:v>Year 1</x:v>
      </x:c>
      <x:c r="D124" s="8" t="str">
        <x:v>Year 2</x:v>
      </x:c>
      <x:c r="E124" s="8" t="str">
        <x:v>Year 3</x:v>
      </x:c>
      <x:c r="F124" s="8" t="str">
        <x:v>Year 4</x:v>
      </x:c>
      <x:c r="G124" s="8" t="str">
        <x:v>Year 5</x:v>
      </x:c>
      <x:c r="H124" s="8"/>
      <x:c r="I124" s="8"/>
      <x:c r="J124" s="8"/>
      <x:c r="K124" s="8"/>
      <x:c r="L124" s="8"/>
    </x:row>
    <x:row r="125">
      <x:c r="A125" t="str">
        <x:v>Growth</x:v>
      </x:c>
      <x:c r="C125" s="1" t="n">
        <x:f>$B$45+$B$33</x:f>
        <x:v>0.06663513939210562</x:v>
      </x:c>
      <x:c r="D125" s="1" t="n">
        <x:f>$B$45+$B$33</x:f>
        <x:v>0.06663513939210562</x:v>
      </x:c>
      <x:c r="E125" s="1" t="n">
        <x:f>IF($B$45&gt;$B$27,$B$27+($B$45-$B$27)*2/3,$B$45)+$B$33</x:f>
        <x:v>0.06109009292807041</x:v>
      </x:c>
      <x:c r="F125" s="1" t="n">
        <x:f>IF($B$45&gt;$B$27,$B$27+($B$45-$B$27)/3,$B$45)+$B$33</x:f>
        <x:v>0.0555450464640352</x:v>
      </x:c>
      <x:c r="G125" s="1" t="n">
        <x:f>IF($B$45&gt;$B$27,$B$27,$B$45)+$B$33</x:f>
        <x:v>0.05</x:v>
      </x:c>
    </x:row>
    <x:row r="126">
      <x:c r="A126" t="str">
        <x:v>EBIT margin</x:v>
      </x:c>
      <x:c r="C126" s="1" t="n">
        <x:f>$B$47+$B$34</x:f>
        <x:v>-0.19</x:v>
      </x:c>
      <x:c r="D126" s="1" t="n">
        <x:f>$B$47+$B$34</x:f>
        <x:v>-0.19</x:v>
      </x:c>
      <x:c r="E126" s="1" t="n">
        <x:f>$B$47+$B$34</x:f>
        <x:v>-0.19</x:v>
      </x:c>
      <x:c r="F126" s="1" t="n">
        <x:f>$B$47+$B$34</x:f>
        <x:v>-0.19</x:v>
      </x:c>
      <x:c r="G126" s="1" t="n">
        <x:f>$B$47+$B$34</x:f>
        <x:v>-0.19</x:v>
      </x:c>
    </x:row>
    <x:row r="127">
      <x:c r="A127" t="str">
        <x:v>Revenue USD</x:v>
      </x:c>
      <x:c r="C127" s="2" t="n">
        <x:f>$B$10*(1+C125)</x:f>
        <x:v>1279962167.2705266</x:v>
      </x:c>
      <x:c r="D127" s="2" t="n">
        <x:f>C127*(1+D125)</x:f>
        <x:v>1365252624.70322</x:v>
      </x:c>
      <x:c r="E127" s="2" t="n">
        <x:f>D127*(1+E125)</x:f>
        <x:v>1448656034.4166317</x:v>
      </x:c>
      <x:c r="F127" s="2" t="n">
        <x:f>E127*(1+F125)</x:f>
        <x:v>1529121701.1587086</x:v>
      </x:c>
      <x:c r="G127" s="2" t="n">
        <x:f>F127*(1+G125)</x:f>
        <x:v>1605577786.216644</x:v>
      </x:c>
    </x:row>
    <x:row r="128">
      <x:c r="A128" t="str">
        <x:v>EBIT USD</x:v>
      </x:c>
      <x:c r="C128" s="2" t="n">
        <x:f>C127*C126</x:f>
        <x:v>-243192811.78140005</x:v>
      </x:c>
      <x:c r="D128" s="2" t="n">
        <x:f>D127*D126</x:f>
        <x:v>-259397998.69361177</x:v>
      </x:c>
      <x:c r="E128" s="2" t="n">
        <x:f>E127*E126</x:f>
        <x:v>-275244646.53916</x:v>
      </x:c>
      <x:c r="F128" s="2" t="n">
        <x:f>F127*F126</x:f>
        <x:v>-290533123.22015464</x:v>
      </x:c>
      <x:c r="G128" s="2" t="n">
        <x:f>G127*G126</x:f>
        <x:v>-305059779.38116235</x:v>
      </x:c>
    </x:row>
    <x:row r="129">
      <x:c r="A129" t="str">
        <x:v>NOPAT USD</x:v>
      </x:c>
      <x:c r="C129" s="2" t="n">
        <x:f>C128*(1-$B$49)</x:f>
        <x:v>-182394608.83605003</x:v>
      </x:c>
      <x:c r="D129" s="2" t="n">
        <x:f>D128*(1-$B$49)</x:f>
        <x:v>-194548499.02020884</x:v>
      </x:c>
      <x:c r="E129" s="2" t="n">
        <x:f>E128*(1-$B$49)</x:f>
        <x:v>-206433484.90437</x:v>
      </x:c>
      <x:c r="F129" s="2" t="n">
        <x:f>F128*(1-$B$49)</x:f>
        <x:v>-217899842.41511598</x:v>
      </x:c>
      <x:c r="G129" s="2" t="n">
        <x:f>G128*(1-$B$49)</x:f>
        <x:v>-228794834.53587174</x:v>
      </x:c>
    </x:row>
    <x:row r="130">
      <x:c r="A130" t="str">
        <x:v>D&amp;A USD</x:v>
      </x:c>
      <x:c r="C130" s="2" t="n">
        <x:f>C127*$B$24</x:f>
        <x:v>38398865.018115796</x:v>
      </x:c>
      <x:c r="D130" s="2" t="n">
        <x:f>D127*$B$24</x:f>
        <x:v>40957578.74109659</x:v>
      </x:c>
      <x:c r="E130" s="2" t="n">
        <x:f>E127*$B$24</x:f>
        <x:v>43459681.03249895</x:v>
      </x:c>
      <x:c r="F130" s="2" t="n">
        <x:f>F127*$B$24</x:f>
        <x:v>45873651.03476126</x:v>
      </x:c>
      <x:c r="G130" s="2" t="n">
        <x:f>G127*$B$24</x:f>
        <x:v>48167333.58649932</x:v>
      </x:c>
    </x:row>
    <x:row r="131">
      <x:c r="A131" t="str">
        <x:v>CapEx USD</x:v>
      </x:c>
      <x:c r="C131" s="2" t="n">
        <x:f>C127*$B$25</x:f>
        <x:v>51198486.69082107</x:v>
      </x:c>
      <x:c r="D131" s="2" t="n">
        <x:f>D127*$B$25</x:f>
        <x:v>54610104.988128796</x:v>
      </x:c>
      <x:c r="E131" s="2" t="n">
        <x:f>E127*$B$25</x:f>
        <x:v>57946241.37666527</x:v>
      </x:c>
      <x:c r="F131" s="2" t="n">
        <x:f>F127*$B$25</x:f>
        <x:v>61164868.04634834</x:v>
      </x:c>
      <x:c r="G131" s="2" t="n">
        <x:f>G127*$B$25</x:f>
        <x:v>64223111.44866576</x:v>
      </x:c>
    </x:row>
    <x:row r="132">
      <x:c r="A132" t="str">
        <x:v>Increase in NWC USD</x:v>
      </x:c>
      <x:c r="C132" s="2" t="n">
        <x:f>(C127-$B$10)*$B$26</x:f>
        <x:v>799621.6727052665</x:v>
      </x:c>
      <x:c r="D132" s="2" t="n">
        <x:f>(D127-C127)*$B$26</x:f>
        <x:v>852904.5743269324</x:v>
      </x:c>
      <x:c r="E132" s="2" t="n">
        <x:f>(E127-D127)*$B$26</x:f>
        <x:v>834034.0971341181</x:v>
      </x:c>
      <x:c r="F132" s="2" t="n">
        <x:f>(F127-E127)*$B$26</x:f>
        <x:v>804656.6674207688</x:v>
      </x:c>
      <x:c r="G132" s="2" t="n">
        <x:f>(G127-F127)*$B$26</x:f>
        <x:v>764560.8505793548</x:v>
      </x:c>
    </x:row>
    <x:row r="133">
      <x:c r="A133" t="str">
        <x:v>FCF USD</x:v>
      </x:c>
      <x:c r="C133" s="2" t="n">
        <x:f>C129+C130-C131-C132</x:f>
        <x:v>-195993852.1814606</x:v>
      </x:c>
      <x:c r="D133" s="2" t="n">
        <x:f>D129+D130-D131-D132</x:f>
        <x:v>-209053929.841568</x:v>
      </x:c>
      <x:c r="E133" s="2" t="n">
        <x:f>E129+E130-E131-E132</x:f>
        <x:v>-221754079.34567043</x:v>
      </x:c>
      <x:c r="F133" s="2" t="n">
        <x:f>F129+F130-F131-F132</x:f>
        <x:v>-233995716.09412384</x:v>
      </x:c>
      <x:c r="G133" s="2" t="n">
        <x:f>G129+G130-G131-G132</x:f>
        <x:v>-245615173.24861753</x:v>
      </x:c>
    </x:row>
    <x:row r="134">
      <x:c r="A134" t="str">
        <x:v>PV of FCF USD</x:v>
      </x:c>
      <x:c r="C134" s="2" t="n">
        <x:f>C133/(1+$B$137)^1</x:f>
        <x:v>-180827397.42670146</x:v>
      </x:c>
      <x:c r="D134" s="2" t="n">
        <x:f>D133/(1+$B$137)^2</x:f>
        <x:v>-177951601.8138883</x:v>
      </x:c>
      <x:c r="E134" s="2" t="n">
        <x:f>E133/(1+$B$137)^3</x:f>
        <x:v>-174155408.51359552</x:v>
      </x:c>
      <x:c r="F134" s="2" t="n">
        <x:f>F133/(1+$B$137)^4</x:f>
        <x:v>-169548923.99316818</x:v>
      </x:c>
      <x:c r="G134" s="2" t="n">
        <x:f>G133/(1+$B$137)^5</x:f>
        <x:v>-164196579.8605105</x:v>
      </x:c>
    </x:row>
    <x:row r="137">
      <x:c r="A137" t="str">
        <x:v>WACC</x:v>
      </x:c>
      <x:c r="B137" s="1" t="n">
        <x:f>MAX(5%,MIN(20%,$B$60+$B$35))</x:f>
        <x:v>0.08387254901960785</x:v>
      </x:c>
    </x:row>
    <x:row r="138">
      <x:c r="A138" t="str">
        <x:v>Terminal growth</x:v>
      </x:c>
      <x:c r="B138" s="1" t="n">
        <x:f>MAX(0%,MIN(5%,$B$23+$B$36))</x:f>
        <x:v>0.030000000000000002</x:v>
      </x:c>
    </x:row>
    <x:row r="139">
      <x:c r="A139" t="str">
        <x:v>Terminal FCF</x:v>
      </x:c>
      <x:c r="B139" s="2" t="n">
        <x:f>G133</x:f>
        <x:v>-245615173.24861753</x:v>
      </x:c>
    </x:row>
    <x:row r="140">
      <x:c r="A140" t="str">
        <x:v>Undiscounted terminal value</x:v>
      </x:c>
      <x:c r="B140" s="2" t="n">
        <x:f>B139*(1+B138)/(B137-B138)</x:f>
        <x:v>-4695965441.583213</x:v>
      </x:c>
    </x:row>
    <x:row r="141">
      <x:c r="A141" t="str">
        <x:v>PV terminal value</x:v>
      </x:c>
      <x:c r="B141" s="2" t="n">
        <x:f>B140/(1+B137)^5</x:f>
        <x:v>-3139307130.1447186</x:v>
      </x:c>
    </x:row>
    <x:row r="142">
      <x:c r="A142" t="str">
        <x:v>PV annual FCF</x:v>
      </x:c>
      <x:c r="B142" s="2" t="n">
        <x:f>SUM(C134:G134)</x:f>
        <x:v>-866679911.6078639</x:v>
      </x:c>
    </x:row>
    <x:row r="143">
      <x:c r="A143" t="str">
        <x:v>Enterprise value</x:v>
      </x:c>
      <x:c r="B143" s="2" t="n">
        <x:f>B141+B142</x:f>
        <x:v>-4005987041.7525826</x:v>
      </x:c>
    </x:row>
    <x:row r="144">
      <x:c r="A144" t="str">
        <x:v>Equity value</x:v>
      </x:c>
      <x:c r="B144" s="2" t="n">
        <x:f>B143-$B$16+$B$17</x:f>
        <x:v>-4055987041.7525826</x:v>
      </x:c>
    </x:row>
    <x:row r="145">
      <x:c r="A145" t="str">
        <x:v>Per-share value</x:v>
      </x:c>
      <x:c r="B145" s="5" t="n">
        <x:f>B144/$B$14</x:f>
        <x:v>-40.55987041752582</x:v>
      </x:c>
    </x:row>
    <x:row r="146">
      <x:c r="A146" t="str">
        <x:v>PV terminal / EV</x:v>
      </x:c>
      <x:c r="B146" s="1" t="str">
        <x:f>IF(B143&gt;0,B141/B143,"N/A: EV&lt;=0")</x:f>
        <x:v>N/A: EV&lt;=0</x:v>
      </x:c>
    </x:row>
    <x:row r="150">
      <x:c r="A150" s="8" t="str">
        <x:v>Quality flags (1 = triggered, 0 = clear)</x:v>
      </x:c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t="str">
        <x:v>Nonpositive Base terminal FCF</x:v>
      </x:c>
      <x:c r="B151" t="b">
        <x:f>B79&lt;=0</x:f>
        <x:v>1</x:v>
      </x:c>
    </x:row>
    <x:row r="152">
      <x:c r="A152" t="str">
        <x:v>Nonpositive Base enterprise value</x:v>
      </x:c>
      <x:c r="B152" t="b">
        <x:f>B83&lt;=0</x:f>
        <x:v>1</x:v>
      </x:c>
    </x:row>
    <x:row r="153">
      <x:c r="A153" t="str">
        <x:v>Reversed Bear / Base / Bull</x:v>
      </x:c>
      <x:c r="B153" t="b">
        <x:f>NOT(AND(ISNUMBER(B115),ISNUMBER(B85),ISNUMBER(B145),B115&lt;=B85,B85&lt;=B145))</x:f>
        <x:v>1</x:v>
      </x:c>
    </x:row>
    <x:row r="154">
      <x:c r="A154" t="str">
        <x:v>Extreme observed tax &gt;= 60%</x:v>
      </x:c>
      <x:c r="B154" t="b">
        <x:f>AND(B50="OBSERVED",B48&gt;=60%)</x:f>
        <x:v>0</x:v>
      </x:c>
    </x:row>
    <x:row r="155">
      <x:c r="A155" t="str">
        <x:v>PV terminal / EV &gt;= 80%</x:v>
      </x:c>
      <x:c r="B155" t="b">
        <x:f>IF(AND(B83&gt;0,B81&gt;=0),B86&gt;=80%,FALSE)</x:f>
        <x:v>0</x:v>
      </x:c>
    </x:row>
    <x:row r="156">
      <x:c r="A156" t="str">
        <x:v>Quality classification</x:v>
      </x:c>
      <x:c r="B156" t="str">
        <x:f>IF(OR(B151,B152,B153),"DIAGNOSTIC ONLY",IF(OR(B154,B155),"CAUTION","ORDINARY"))</x:f>
        <x:v>DIAGNOSTIC ONLY</x:v>
      </x:c>
    </x:row>
    <x:row r="157">
      <x:c r="A157" t="str">
        <x:v>Mathematically computable</x:v>
      </x:c>
      <x:c r="B157" t="b">
        <x:f>AND(ISNUMBER(B85),ISNUMBER(B115),ISNUMBER(B145))</x:f>
        <x:v>1</x:v>
      </x:c>
    </x:row>
    <x:row r="158">
      <x:c r="A158" t="str">
        <x:v>Market comparison allowed</x:v>
      </x:c>
      <x:c r="B158" t="b">
        <x:f>AND(B157,B156="ORDINARY")</x:f>
        <x:v>0</x:v>
      </x:c>
    </x:row>
    <x:row r="160">
      <x:c r="A160" t="str">
        <x:v>Interpretation</x:v>
      </x:c>
      <x:c r="B160" t="str">
        <x:v>Values remain visible for diagnosis. Flagged cases are not actionable price targets.</x:v>
      </x:c>
    </x:row>
  </x:sheetData>
  <x:pageMargins left="0.7" right="0.7" top="0.75" bottom="0.75" header="0.3" footer="0.3"/>
</x:worksheet>
</file>
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dcf_reconciliation_xlsx_writer"/>
  <workbookPr/>
  <bookViews>
    <workbookView xWindow="0" yWindow="0" windowWidth="25600" windowHeight="15000"/>
  </bookViews>
  <sheets>
    <sheet name="Tolerances" sheetId="1" r:id="rId1"/>
    <sheet name="README" sheetId="2" r:id="rId2"/>
    <sheet name="Base Reconciliation" sheetId="3" r:id="rId3"/>
    <sheet name="Detail_MSFT" sheetId="4" r:id="rId4"/>
    <sheet name="Detail_CAT" sheetId="5" r:id="rId5"/>
    <sheet name="Detail_INTC" sheetId="6" r:id="rId6"/>
    <sheet name="Detail_VZ" sheetId="7" r:id="rId7"/>
    <sheet name="Sensitivity Reconciliation" sheetId="8" r:id="rId8"/>
    <sheet name="All Sensitivity Comparisons" sheetId="9" r:id="rId9"/>
    <sheet name="Findings" sheetId="10" r:id="rId10"/>
    <sheet name="Sign-off" sheetId="11" r:id="rId11"/>
  </sheets>
  <calcPr calcId="999999" fullCalcOnLoad="1"/>
</workbook>
</file>

<file path=xl/styles.xml><?xml version="1.0" encoding="utf-8"?>
<styleSheet xmlns="http://schemas.openxmlformats.org/spreadsheetml/2006/main">
  <numFmts count="4">
    <numFmt numFmtId="164" formatCode="0.0000%"/>
    <numFmt numFmtId="165" formatCode="$#,##0;[Red]($#,##0);-"/>
    <numFmt numFmtId="166" formatCode="$0.00;[Red]($0.00);-"/>
    <numFmt numFmtId="167" formatCode="#,##0.0000"/>
  </numFmts>
  <fonts count="19">
    <font>
      <sz val="10"/>
      <name val="Calibri"/>
      <color rgb="FF000000"/>
    </font>
    <font>
      <b/>
      <sz val="10"/>
      <name val="Calibri"/>
      <color rgb="FF000000"/>
    </font>
    <font>
      <b/>
      <sz val="10"/>
      <name val="Calibri"/>
      <color rgb="FF000000"/>
    </font>
    <font>
      <b/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  <font>
      <b/>
      <sz val="10"/>
      <name val="Calibri"/>
      <color rgb="FF006100"/>
    </font>
    <font>
      <b/>
      <sz val="10"/>
      <name val="Calibri"/>
      <color rgb="FF9C0006"/>
    </font>
    <font>
      <sz val="10"/>
      <name val="Calibri"/>
      <color rgb="FF000000"/>
    </font>
    <font>
      <b/>
      <sz val="10"/>
      <name val="Calibri"/>
      <color rgb="FF000000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Font="1" applyFill="1" applyBorder="1" applyNumberFormat="1" applyAlignment="0"/>
    <xf numFmtId="0" fontId="1" fillId="0" borderId="0" xfId="0" applyFont="1" applyFill="1" applyBorder="1" applyNumberFormat="1" applyAlignment="0"/>
    <xf numFmtId="0" fontId="2" fillId="2" borderId="1" xfId="0" applyFont="1" applyFill="1" applyBorder="1" applyNumberFormat="1" applyAlignment="0"/>
    <xf numFmtId="0" fontId="3" fillId="3" borderId="0" xfId="0" applyFont="1" applyFill="1" applyBorder="1" applyNumberFormat="1" applyAlignment="0"/>
    <xf numFmtId="0" fontId="4" fillId="4" borderId="0" xfId="0" applyFont="1" applyFill="1" applyBorder="1" applyNumberFormat="1" applyAlignment="0"/>
    <xf numFmtId="164" fontId="5" fillId="4" borderId="0" xfId="0" applyFont="1" applyFill="1" applyBorder="1" applyNumberFormat="1" applyAlignment="0"/>
    <xf numFmtId="165" fontId="6" fillId="4" borderId="0" xfId="0" applyFont="1" applyFill="1" applyBorder="1" applyNumberFormat="1" applyAlignment="0"/>
    <xf numFmtId="166" fontId="7" fillId="4" borderId="0" xfId="0" applyFont="1" applyFill="1" applyBorder="1" applyNumberFormat="1" applyAlignment="0"/>
    <xf numFmtId="3" fontId="8" fillId="4" borderId="0" xfId="0" applyFont="1" applyFill="1" applyBorder="1" applyNumberFormat="1" applyAlignment="0"/>
    <xf numFmtId="167" fontId="9" fillId="4" borderId="0" xfId="0" applyFont="1" applyFill="1" applyBorder="1" applyNumberFormat="1" applyAlignment="0"/>
    <xf numFmtId="164" fontId="10" fillId="0" borderId="0" xfId="0" applyFont="1" applyFill="1" applyBorder="1" applyNumberFormat="1" applyAlignment="0"/>
    <xf numFmtId="165" fontId="11" fillId="0" borderId="0" xfId="0" applyFont="1" applyFill="1" applyBorder="1" applyNumberFormat="1" applyAlignment="0"/>
    <xf numFmtId="166" fontId="12" fillId="0" borderId="0" xfId="0" applyFont="1" applyFill="1" applyBorder="1" applyNumberFormat="1" applyAlignment="0"/>
    <xf numFmtId="3" fontId="13" fillId="0" borderId="0" xfId="0" applyFont="1" applyFill="1" applyBorder="1" applyNumberFormat="1" applyAlignment="0"/>
    <xf numFmtId="167" fontId="14" fillId="0" borderId="0" xfId="0" applyFont="1" applyFill="1" applyBorder="1" applyNumberFormat="1" applyAlignment="0"/>
    <xf numFmtId="0" fontId="15" fillId="5" borderId="0" xfId="0" applyFont="1" applyFill="1" applyBorder="1" applyNumberFormat="1" applyAlignment="0"/>
    <xf numFmtId="0" fontId="16" fillId="6" borderId="0" xfId="0" applyFont="1" applyFill="1" applyBorder="1" applyNumberFormat="1" applyAlignment="0"/>
    <xf numFmtId="0" fontId="17" fillId="0" borderId="0" xfId="0" applyFont="1" applyFill="1" applyBorder="1" applyNumberFormat="1" applyAlignment="1">
      <alignment wrapText="1" vertical="top"/>
    </xf>
    <xf numFmtId="0" fontId="18" fillId="0" borderId="0" xfId="0" applyFont="1" applyFill="1" applyBorder="1" applyNumberFormat="1" applyAlignment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14"/>
  <sheetViews>
    <sheetView workbookViewId="0"/>
  </sheetViews>
  <sheetFormatPr defaultRowHeight="15"/>
  <cols>
    <col min="1" max="1" width="44" customWidth="1"/>
    <col min="2" max="2" width="14" customWidth="1"/>
    <col min="3" max="3" width="8" customWidth="1"/>
  </cols>
  <sheetData>
    <row r="1">
      <c r="A1" s="1" t="inlineStr">
        <is>
          <t xml:space="preserve">Tolerance constants -- single source of truth for every comparison table's Tolerance column</t>
        </is>
      </c>
    </row>
    <row r="2">
      <c r="A2" s="2" t="inlineStr">
        <is>
          <t xml:space="preserve">Metric</t>
        </is>
      </c>
      <c r="B2" s="2" t="inlineStr">
        <is>
          <t xml:space="preserve">Tolerance</t>
        </is>
      </c>
      <c r="C2" s="2" t="inlineStr">
        <is>
          <t xml:space="preserve">Kind</t>
        </is>
      </c>
    </row>
    <row r="3">
      <c r="A3" t="inlineStr">
        <is>
          <t xml:space="preserve">Revenue CAGR</t>
        </is>
      </c>
      <c r="B3" s="5">
        <v>0.0001</v>
      </c>
      <c r="C3" t="inlineStr">
        <is>
          <t xml:space="preserve">percentage points</t>
        </is>
      </c>
    </row>
    <row r="4">
      <c r="A4" t="inlineStr">
        <is>
          <t xml:space="preserve">Operating Margin</t>
        </is>
      </c>
      <c r="B4" s="5">
        <v>0.0001</v>
      </c>
      <c r="C4" t="inlineStr">
        <is>
          <t xml:space="preserve">percentage points</t>
        </is>
      </c>
    </row>
    <row r="5">
      <c r="A5" t="inlineStr">
        <is>
          <t xml:space="preserve">WACC</t>
        </is>
      </c>
      <c r="B5" s="5">
        <v>0.0005</v>
      </c>
      <c r="C5" t="inlineStr">
        <is>
          <t xml:space="preserve">percentage points</t>
        </is>
      </c>
    </row>
    <row r="6">
      <c r="A6" t="inlineStr">
        <is>
          <t xml:space="preserve">Each FCF year</t>
        </is>
      </c>
      <c r="B6" s="5">
        <v>0.001</v>
      </c>
      <c r="C6" t="inlineStr">
        <is>
          <t xml:space="preserve">relative fraction</t>
        </is>
      </c>
    </row>
    <row r="7">
      <c r="A7" t="inlineStr">
        <is>
          <t xml:space="preserve">Terminal Value</t>
        </is>
      </c>
      <c r="B7" s="5">
        <v>0.002</v>
      </c>
      <c r="C7" t="inlineStr">
        <is>
          <t xml:space="preserve">relative fraction</t>
        </is>
      </c>
    </row>
    <row r="8">
      <c r="A8" t="inlineStr">
        <is>
          <t xml:space="preserve">PV of Explicit FCF</t>
        </is>
      </c>
      <c r="B8" s="5">
        <v>0.002</v>
      </c>
      <c r="C8" t="inlineStr">
        <is>
          <t xml:space="preserve">relative fraction</t>
        </is>
      </c>
    </row>
    <row r="9">
      <c r="A9" t="inlineStr">
        <is>
          <t xml:space="preserve">PV of Terminal Value</t>
        </is>
      </c>
      <c r="B9" s="5">
        <v>0.002</v>
      </c>
      <c r="C9" t="inlineStr">
        <is>
          <t xml:space="preserve">relative fraction</t>
        </is>
      </c>
    </row>
    <row r="10">
      <c r="A10" t="inlineStr">
        <is>
          <t xml:space="preserve">Enterprise Value</t>
        </is>
      </c>
      <c r="B10" s="5">
        <v>0.002</v>
      </c>
      <c r="C10" t="inlineStr">
        <is>
          <t xml:space="preserve">relative fraction</t>
        </is>
      </c>
    </row>
    <row r="11">
      <c r="A11" t="inlineStr">
        <is>
          <t xml:space="preserve">Equity Value</t>
        </is>
      </c>
      <c r="B11" s="5">
        <v>0.002</v>
      </c>
      <c r="C11" t="inlineStr">
        <is>
          <t xml:space="preserve">relative fraction</t>
        </is>
      </c>
    </row>
    <row r="12">
      <c r="A12" t="inlineStr">
        <is>
          <t xml:space="preserve">Intrinsic Value per Share</t>
        </is>
      </c>
      <c r="B12" s="5">
        <v>0.005</v>
      </c>
      <c r="C12" t="inlineStr">
        <is>
          <t xml:space="preserve">relative fraction</t>
        </is>
      </c>
    </row>
    <row r="13">
      <c r="A13" t="inlineStr">
        <is>
          <t xml:space="preserve">Sensitivity IVPS (all tables)</t>
        </is>
      </c>
      <c r="B13" s="5">
        <v>0.005</v>
      </c>
      <c r="C13" t="inlineStr">
        <is>
          <t xml:space="preserve">relative fraction</t>
        </is>
      </c>
    </row>
    <row r="14">
      <c r="A14" t="inlineStr">
        <is>
          <t xml:space="preserve">Zero-denominator floating-point carve-out (absolute $)</t>
        </is>
      </c>
      <c r="B14" s="9">
        <v>1e-06</v>
      </c>
      <c r="C14" t="inlineStr">
        <is>
          <t xml:space="preserve">absolute $</t>
        </is>
      </c>
    </row>
  </sheetData>
</worksheet>
</file>

<file path=xl/worksheets/sheet2.xml><?xml version="1.0" encoding="utf-8"?>
<worksheet xmlns="http://schemas.openxmlformats.org/spreadsheetml/2006/main">
  <dimension ref="A1:A17"/>
  <sheetViews>
    <sheetView workbookViewId="0"/>
  </sheetViews>
  <sheetFormatPr defaultRowHeight="15"/>
  <cols>
    <col min="1" max="1" width="110" customWidth="1"/>
  </cols>
  <sheetData>
    <row r="1">
      <c r="A1" s="1" t="inlineStr">
        <is>
          <t xml:space="preserve">DCF Codebase-to-Independent-Workbook Reconciliation (V2)</t>
        </is>
      </c>
    </row>
    <row r="2">
      <c r="A2" s="17" t="inlineStr">
        <is>
          <t xml:space="preserve">Track A Phase 2C. This workbook reconciles src/dcf_model/dcf.py's production output against the independent workbook V2 (validation/independent_dcf/independent_dcf_validation_v2.xlsx), built from the corrected years_elapsed specification. V1 is preserved unchanged and never modified by this workbook or by any script in validation/dcf_reconciliation/.</t>
        </is>
      </c>
    </row>
    <row r="3">
      <c r="A3" t="inlineStr">
        <is>
          <t xml:space="preserve"/>
        </is>
      </c>
    </row>
    <row r="4">
      <c r="A4" s="18" t="inlineStr">
        <is>
          <t xml:space="preserve">Sheets:</t>
        </is>
      </c>
    </row>
    <row r="5">
      <c r="A5" t="inlineStr">
        <is>
          <t xml:space="preserve"> - Tolerances: the single source of truth for every tolerance constant used elsewhere.</t>
        </is>
      </c>
    </row>
    <row r="6">
      <c r="A6" t="inlineStr">
        <is>
          <t xml:space="preserve"> - Base Reconciliation: all 14 required metrics x 4 companies, live-formula comparison.</t>
        </is>
      </c>
    </row>
    <row r="7">
      <c r="A7" t="inlineStr">
        <is>
          <t xml:space="preserve"> - Detail_&lt;TICKER&gt;: per-company base reconciliation + accurate sensitivity coverage counts.</t>
        </is>
      </c>
    </row>
    <row r="8">
      <c r="A8" t="inlineStr">
        <is>
          <t xml:space="preserve"> - Sensitivity Reconciliation: Table 1/2 full live-formula detail + coverage-count summary.</t>
        </is>
      </c>
    </row>
    <row r="9">
      <c r="A9" t="inlineStr">
        <is>
          <t xml:space="preserve"> - All Sensitivity Comparisons: EVERY Table 1-5 scalar comparison (908 rows), formula-driven.</t>
        </is>
      </c>
    </row>
    <row r="10">
      <c r="A10" t="inlineStr">
        <is>
          <t xml:space="preserve"> - Findings: narrative summary of what was (and wasn't) found.</t>
        </is>
      </c>
    </row>
    <row r="11">
      <c r="A11" t="inlineStr">
        <is>
          <t xml:space="preserve"> - Sign-off: commit/hash provenance (V1 AND V2) and outstanding second-reviewer requirement.</t>
        </is>
      </c>
    </row>
    <row r="12">
      <c r="A12" t="inlineStr">
        <is>
          <t xml:space="preserve"/>
        </is>
      </c>
    </row>
    <row r="13">
      <c r="A13" s="18" t="inlineStr">
        <is>
          <t xml:space="preserve">Source commit: 776e76f56e6210f1050caa74c60962ed89162496 (branch remediation/valuation-engine-production-quality)</t>
        </is>
      </c>
    </row>
    <row r="14">
      <c r="A14" t="inlineStr">
        <is>
          <t xml:space="preserve">V1 workbook SHA-256 (preserved, historical): 942b5f096cf546d63487add31eb29b1b690f0819f923f01436093f9bbc75eba1</t>
        </is>
      </c>
    </row>
    <row r="15">
      <c r="A15" t="inlineStr">
        <is>
          <t xml:space="preserve">V2 workbook SHA-256 (reconciliation target): cd2d225cfe0825ff56aa8f866c3b80b6bec5f87a8b02dc3f76724e4abdd27d6b</t>
        </is>
      </c>
    </row>
    <row r="16">
      <c r="A16" s="18" t="inlineStr">
        <is>
          <t xml:space="preserve">Overall status: GO (pending separate second-reviewer sign-off)</t>
        </is>
      </c>
    </row>
    <row r="17">
      <c r="A17" s="18" t="inlineStr">
        <is>
          <t xml:space="preserve">PROFITABILITY NOT ESTABLISHED -- this workbook verifies calculation agreement between two independent implementations. It is not investment advice and does not establish that any company is profitable to trade.</t>
        </is>
      </c>
    </row>
  </sheetData>
</worksheet>
</file>

<file path=xl/worksheets/sheet3.xml><?xml version="1.0" encoding="utf-8"?>
<worksheet xmlns="http://schemas.openxmlformats.org/spreadsheetml/2006/main">
  <dimension ref="A1:H64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width="32" customWidth="1"/>
    <col min="2" max="2" width="16" customWidth="1"/>
    <col min="3" max="3" width="16" customWidth="1"/>
    <col min="4" max="4" width="14" customWidth="1"/>
    <col min="5" max="5" width="12" customWidth="1"/>
    <col min="6" max="6" width="12" customWidth="1"/>
    <col min="7" max="7" width="10" customWidth="1"/>
    <col min="8" max="8" width="30" customWidth="1"/>
  </cols>
  <sheetData>
    <row r="1">
      <c r="A1" s="1" t="inlineStr">
        <is>
          <t xml:space="preserve">Base-case reconciliation -- all four companies, all 14 required metrics</t>
        </is>
      </c>
    </row>
    <row r="2">
      <c r="A2" s="17" t="inlineStr">
        <is>
          <t xml:space="preserve">Codebase/Workbook columns are hardcoded values imported from codebase_outputs.json and the independent workbook V2's cached cells (yellow fill). Absolute Difference / Relative-or-pp Difference / Tolerance / PASS-FAIL are live formulas (white fill). Number formats: percentages for rates, $ for dollar amounts, $0.00 for per-share values -- never conflated.</t>
        </is>
      </c>
    </row>
    <row r="4">
      <c r="A4" s="2" t="inlineStr">
        <is>
          <t xml:space="preserve">Metric</t>
        </is>
      </c>
      <c r="B4" s="2" t="inlineStr">
        <is>
          <t xml:space="preserve">Codebase Output</t>
        </is>
      </c>
      <c r="C4" s="2" t="inlineStr">
        <is>
          <t xml:space="preserve">Workbook Output</t>
        </is>
      </c>
      <c r="D4" s="2" t="inlineStr">
        <is>
          <t xml:space="preserve">Absolute Difference</t>
        </is>
      </c>
      <c r="E4" s="2" t="inlineStr">
        <is>
          <t xml:space="preserve">Relative/pp Difference</t>
        </is>
      </c>
      <c r="F4" s="2" t="inlineStr">
        <is>
          <t xml:space="preserve">Tolerance</t>
        </is>
      </c>
      <c r="G4" s="2" t="inlineStr">
        <is>
          <t xml:space="preserve">PASS/FAIL</t>
        </is>
      </c>
      <c r="H4" s="2" t="inlineStr">
        <is>
          <t xml:space="preserve">Workbook Cell</t>
        </is>
      </c>
    </row>
    <row r="5">
      <c r="A5" s="3" t="inlineStr">
        <is>
          <t xml:space="preserve">-- MSFT (Microsoft Corporation) --</t>
        </is>
      </c>
    </row>
    <row r="6">
      <c r="A6" t="inlineStr">
        <is>
          <t xml:space="preserve">Historical Revenue CAGR</t>
        </is>
      </c>
      <c r="B6" s="5">
        <v>0.1374114735301586</v>
      </c>
      <c r="C6" s="5">
        <v>0.1374114735301586</v>
      </c>
      <c r="D6" s="10">
        <f>ABS(B6-C6)</f>
        <v>0.0</v>
      </c>
      <c r="E6" s="10">
        <f>D6</f>
        <v>0.0</v>
      </c>
      <c r="F6" s="10">
        <f>'Tolerances'!$B$3</f>
        <v>0.0001</v>
      </c>
      <c r="G6" s="15" t="str">
        <f>IF(D6&lt;=F6,"PASS","FAIL")</f>
        <v>PASS</v>
      </c>
      <c r="H6" t="inlineStr">
        <is>
          <t xml:space="preserve">DCF_MSFT!B9</t>
        </is>
      </c>
    </row>
    <row r="7">
      <c r="A7" t="inlineStr">
        <is>
          <t xml:space="preserve">Historical average Operating Margin</t>
        </is>
      </c>
      <c r="B7" s="5">
        <v>0.4417504660304294</v>
      </c>
      <c r="C7" s="5">
        <v>0.4417504660304294</v>
      </c>
      <c r="D7" s="10">
        <f>ABS(B7-C7)</f>
        <v>0.0</v>
      </c>
      <c r="E7" s="10">
        <f>D7</f>
        <v>0.0</v>
      </c>
      <c r="F7" s="10">
        <f>'Tolerances'!$B$4</f>
        <v>0.0001</v>
      </c>
      <c r="G7" s="15" t="str">
        <f>IF(D7&lt;=F7,"PASS","FAIL")</f>
        <v>PASS</v>
      </c>
      <c r="H7" t="inlineStr">
        <is>
          <t xml:space="preserve">DCF_MSFT!B10</t>
        </is>
      </c>
    </row>
    <row r="8">
      <c r="A8" t="inlineStr">
        <is>
          <t xml:space="preserve">WACC (final, clamped [5%,20%])</t>
        </is>
      </c>
      <c r="B8" s="5">
        <v>0.1000042158780718</v>
      </c>
      <c r="C8" s="5">
        <v>0.1000042158780718</v>
      </c>
      <c r="D8" s="10">
        <f>ABS(B8-C8)</f>
        <v>0.0</v>
      </c>
      <c r="E8" s="10">
        <f>D8</f>
        <v>0.0</v>
      </c>
      <c r="F8" s="10">
        <f>'Tolerances'!$B$5</f>
        <v>0.0005</v>
      </c>
      <c r="G8" s="15" t="str">
        <f>IF(D8&lt;=F8,"PASS","FAIL")</f>
        <v>PASS</v>
      </c>
      <c r="H8" t="inlineStr">
        <is>
          <t xml:space="preserve">DCF_MSFT!B21</t>
        </is>
      </c>
    </row>
    <row r="9">
      <c r="A9" t="inlineStr">
        <is>
          <t xml:space="preserve">FCF Year 1</t>
        </is>
      </c>
      <c r="B9" s="6">
        <v>130162813492.17007</v>
      </c>
      <c r="C9" s="6">
        <v>130162813492.17007</v>
      </c>
      <c r="D9" s="11">
        <f>ABS(B9-C9)</f>
        <v>0.0</v>
      </c>
      <c r="E9" s="10">
        <f>IF(C9=0,"n/a (zero denom)",D9/ABS(C9))</f>
        <v>0.0</v>
      </c>
      <c r="F9" s="10">
        <f>'Tolerances'!$B$6</f>
        <v>0.001</v>
      </c>
      <c r="G9" s="15" t="str">
        <f>IF(C9=0,IF(D9&lt;=0.000001,"PASS","FAIL"),IF(E9&lt;=F9,"PASS","FAIL"))</f>
        <v>PASS</v>
      </c>
      <c r="H9" t="inlineStr">
        <is>
          <t xml:space="preserve">DCF_MSFT!C31</t>
        </is>
      </c>
    </row>
    <row r="10">
      <c r="A10" t="inlineStr">
        <is>
          <t xml:space="preserve">FCF Year 2</t>
        </is>
      </c>
      <c r="B10" s="6">
        <v>148048677492.96033</v>
      </c>
      <c r="C10" s="6">
        <v>148048677492.96033</v>
      </c>
      <c r="D10" s="11">
        <f>ABS(B10-C10)</f>
        <v>0.0</v>
      </c>
      <c r="E10" s="10">
        <f>IF(C10=0,"n/a (zero denom)",D10/ABS(C10))</f>
        <v>0.0</v>
      </c>
      <c r="F10" s="10">
        <f>'Tolerances'!$B$6</f>
        <v>0.001</v>
      </c>
      <c r="G10" s="15" t="str">
        <f>IF(C10=0,IF(D10&lt;=0.000001,"PASS","FAIL"),IF(E10&lt;=F10,"PASS","FAIL"))</f>
        <v>PASS</v>
      </c>
      <c r="H10" t="inlineStr">
        <is>
          <t xml:space="preserve">DCF_MSFT!D31</t>
        </is>
      </c>
    </row>
    <row r="11">
      <c r="A11" t="inlineStr">
        <is>
          <t xml:space="preserve">FCF Year 3</t>
        </is>
      </c>
      <c r="B11" s="6">
        <v>168392264421.45926</v>
      </c>
      <c r="C11" s="6">
        <v>168392264421.45926</v>
      </c>
      <c r="D11" s="11">
        <f>ABS(B11-C11)</f>
        <v>0.0</v>
      </c>
      <c r="E11" s="10">
        <f>IF(C11=0,"n/a (zero denom)",D11/ABS(C11))</f>
        <v>0.0</v>
      </c>
      <c r="F11" s="10">
        <f>'Tolerances'!$B$6</f>
        <v>0.001</v>
      </c>
      <c r="G11" s="15" t="str">
        <f>IF(C11=0,IF(D11&lt;=0.000001,"PASS","FAIL"),IF(E11&lt;=F11,"PASS","FAIL"))</f>
        <v>PASS</v>
      </c>
      <c r="H11" t="inlineStr">
        <is>
          <t xml:space="preserve">DCF_MSFT!E31</t>
        </is>
      </c>
    </row>
    <row r="12">
      <c r="A12" t="inlineStr">
        <is>
          <t xml:space="preserve">FCF Year 4</t>
        </is>
      </c>
      <c r="B12" s="6">
        <v>191531293606.69208</v>
      </c>
      <c r="C12" s="6">
        <v>191531293606.69208</v>
      </c>
      <c r="D12" s="11">
        <f>ABS(B12-C12)</f>
        <v>0.0</v>
      </c>
      <c r="E12" s="10">
        <f>IF(C12=0,"n/a (zero denom)",D12/ABS(C12))</f>
        <v>0.0</v>
      </c>
      <c r="F12" s="10">
        <f>'Tolerances'!$B$6</f>
        <v>0.001</v>
      </c>
      <c r="G12" s="15" t="str">
        <f>IF(C12=0,IF(D12&lt;=0.000001,"PASS","FAIL"),IF(E12&lt;=F12,"PASS","FAIL"))</f>
        <v>PASS</v>
      </c>
      <c r="H12" t="inlineStr">
        <is>
          <t xml:space="preserve">DCF_MSFT!F31</t>
        </is>
      </c>
    </row>
    <row r="13">
      <c r="A13" t="inlineStr">
        <is>
          <t xml:space="preserve">FCF Year 5</t>
        </is>
      </c>
      <c r="B13" s="6">
        <v>217849890888.32507</v>
      </c>
      <c r="C13" s="6">
        <v>217849890888.32507</v>
      </c>
      <c r="D13" s="11">
        <f>ABS(B13-C13)</f>
        <v>0.0</v>
      </c>
      <c r="E13" s="10">
        <f>IF(C13=0,"n/a (zero denom)",D13/ABS(C13))</f>
        <v>0.0</v>
      </c>
      <c r="F13" s="10">
        <f>'Tolerances'!$B$6</f>
        <v>0.001</v>
      </c>
      <c r="G13" s="15" t="str">
        <f>IF(C13=0,IF(D13&lt;=0.000001,"PASS","FAIL"),IF(E13&lt;=F13,"PASS","FAIL"))</f>
        <v>PASS</v>
      </c>
      <c r="H13" t="inlineStr">
        <is>
          <t xml:space="preserve">DCF_MSFT!G31</t>
        </is>
      </c>
    </row>
    <row r="14">
      <c r="A14" t="inlineStr">
        <is>
          <t xml:space="preserve">Terminal Value</t>
        </is>
      </c>
      <c r="B14" s="6">
        <v>2977114493450.9736</v>
      </c>
      <c r="C14" s="6">
        <v>2977114493450.9736</v>
      </c>
      <c r="D14" s="11">
        <f>ABS(B14-C14)</f>
        <v>0.0</v>
      </c>
      <c r="E14" s="10">
        <f>IF(C14=0,"n/a (zero denom)",D14/ABS(C14))</f>
        <v>0.0</v>
      </c>
      <c r="F14" s="10">
        <f>'Tolerances'!$B$7</f>
        <v>0.002</v>
      </c>
      <c r="G14" s="15" t="str">
        <f>IF(C14=0,IF(D14&lt;=0.000001,"PASS","FAIL"),IF(E14&lt;=F14,"PASS","FAIL"))</f>
        <v>PASS</v>
      </c>
      <c r="H14" t="inlineStr">
        <is>
          <t xml:space="preserve">DCF_MSFT!B34</t>
        </is>
      </c>
    </row>
    <row r="15">
      <c r="A15" t="inlineStr">
        <is>
          <t xml:space="preserve">PV of Explicit FCF (sum of pv_fcf series)</t>
        </is>
      </c>
      <c r="B15" s="6">
        <v>633278359490.3066</v>
      </c>
      <c r="C15" s="6">
        <v>633278359490.3066</v>
      </c>
      <c r="D15" s="11">
        <f>ABS(B15-C15)</f>
        <v>0.0</v>
      </c>
      <c r="E15" s="10">
        <f>IF(C15=0,"n/a (zero denom)",D15/ABS(C15))</f>
        <v>0.0</v>
      </c>
      <c r="F15" s="10">
        <f>'Tolerances'!$B$8</f>
        <v>0.002</v>
      </c>
      <c r="G15" s="15" t="str">
        <f>IF(C15=0,IF(D15&lt;=0.000001,"PASS","FAIL"),IF(E15&lt;=F15,"PASS","FAIL"))</f>
        <v>PASS</v>
      </c>
      <c r="H15" t="inlineStr">
        <is>
          <t xml:space="preserve">DCF_MSFT!B39</t>
        </is>
      </c>
    </row>
    <row r="16">
      <c r="A16" t="inlineStr">
        <is>
          <t xml:space="preserve">PV of Terminal Value</t>
        </is>
      </c>
      <c r="B16" s="6">
        <v>1848518446589.798</v>
      </c>
      <c r="C16" s="6">
        <v>1848518446589.798</v>
      </c>
      <c r="D16" s="11">
        <f>ABS(B16-C16)</f>
        <v>0.0</v>
      </c>
      <c r="E16" s="10">
        <f>IF(C16=0,"n/a (zero denom)",D16/ABS(C16))</f>
        <v>0.0</v>
      </c>
      <c r="F16" s="10">
        <f>'Tolerances'!$B$9</f>
        <v>0.002</v>
      </c>
      <c r="G16" s="15" t="str">
        <f>IF(C16=0,IF(D16&lt;=0.000001,"PASS","FAIL"),IF(E16&lt;=F16,"PASS","FAIL"))</f>
        <v>PASS</v>
      </c>
      <c r="H16" t="inlineStr">
        <is>
          <t xml:space="preserve">DCF_MSFT!B40</t>
        </is>
      </c>
    </row>
    <row r="17">
      <c r="A17" t="inlineStr">
        <is>
          <t xml:space="preserve">Enterprise Value</t>
        </is>
      </c>
      <c r="B17" s="6">
        <v>2481796806080.1045</v>
      </c>
      <c r="C17" s="6">
        <v>2481796806080.1045</v>
      </c>
      <c r="D17" s="11">
        <f>ABS(B17-C17)</f>
        <v>0.0</v>
      </c>
      <c r="E17" s="10">
        <f>IF(C17=0,"n/a (zero denom)",D17/ABS(C17))</f>
        <v>0.0</v>
      </c>
      <c r="F17" s="10">
        <f>'Tolerances'!$B$10</f>
        <v>0.002</v>
      </c>
      <c r="G17" s="15" t="str">
        <f>IF(C17=0,IF(D17&lt;=0.000001,"PASS","FAIL"),IF(E17&lt;=F17,"PASS","FAIL"))</f>
        <v>PASS</v>
      </c>
      <c r="H17" t="inlineStr">
        <is>
          <t xml:space="preserve">DCF_MSFT!B41</t>
        </is>
      </c>
    </row>
    <row r="18">
      <c r="A18" t="inlineStr">
        <is>
          <t xml:space="preserve">Equity Value</t>
        </is>
      </c>
      <c r="B18" s="6">
        <v>2462437806080.1045</v>
      </c>
      <c r="C18" s="6">
        <v>2462437806080.1045</v>
      </c>
      <c r="D18" s="11">
        <f>ABS(B18-C18)</f>
        <v>0.0</v>
      </c>
      <c r="E18" s="10">
        <f>IF(C18=0,"n/a (zero denom)",D18/ABS(C18))</f>
        <v>0.0</v>
      </c>
      <c r="F18" s="10">
        <f>'Tolerances'!$B$11</f>
        <v>0.002</v>
      </c>
      <c r="G18" s="15" t="str">
        <f>IF(C18=0,IF(D18&lt;=0.000001,"PASS","FAIL"),IF(E18&lt;=F18,"PASS","FAIL"))</f>
        <v>PASS</v>
      </c>
      <c r="H18" t="inlineStr">
        <is>
          <t xml:space="preserve">DCF_MSFT!B42</t>
        </is>
      </c>
    </row>
    <row r="19">
      <c r="A19" t="inlineStr">
        <is>
          <t xml:space="preserve">Intrinsic Value per Share</t>
        </is>
      </c>
      <c r="B19" s="7">
        <v>331.61709251726467</v>
      </c>
      <c r="C19" s="7">
        <v>331.61709251726467</v>
      </c>
      <c r="D19" s="12">
        <f>ABS(B19-C19)</f>
        <v>0.0</v>
      </c>
      <c r="E19" s="10">
        <f>IF(C19=0,"n/a (zero denom)",D19/ABS(C19))</f>
        <v>0.0</v>
      </c>
      <c r="F19" s="10">
        <f>'Tolerances'!$B$12</f>
        <v>0.005</v>
      </c>
      <c r="G19" s="15" t="str">
        <f>IF(C19=0,IF(D19&lt;=0.000001,"PASS","FAIL"),IF(E19&lt;=F19,"PASS","FAIL"))</f>
        <v>PASS</v>
      </c>
      <c r="H19" t="inlineStr">
        <is>
          <t xml:space="preserve">DCF_MSFT!B43</t>
        </is>
      </c>
    </row>
    <row r="20">
      <c r="A20" s="3" t="inlineStr">
        <is>
          <t xml:space="preserve">-- CAT (Caterpillar Inc.) --</t>
        </is>
      </c>
    </row>
    <row r="21">
      <c r="A21" t="inlineStr">
        <is>
          <t xml:space="preserve">Historical Revenue CAGR</t>
        </is>
      </c>
      <c r="B21" s="5">
        <v>0.073095112192894</v>
      </c>
      <c r="C21" s="5">
        <v>0.073095112192894</v>
      </c>
      <c r="D21" s="10">
        <f>ABS(B21-C21)</f>
        <v>0.0</v>
      </c>
      <c r="E21" s="10">
        <f>D21</f>
        <v>0.0</v>
      </c>
      <c r="F21" s="10">
        <f>'Tolerances'!$B$3</f>
        <v>0.0001</v>
      </c>
      <c r="G21" s="15" t="str">
        <f>IF(D21&lt;=F21,"PASS","FAIL")</f>
        <v>PASS</v>
      </c>
      <c r="H21" t="inlineStr">
        <is>
          <t xml:space="preserve">DCF_CAT!B9</t>
        </is>
      </c>
    </row>
    <row r="22">
      <c r="A22" t="inlineStr">
        <is>
          <t xml:space="preserve">Historical average Operating Margin</t>
        </is>
      </c>
      <c r="B22" s="5">
        <v>0.1655950160952213</v>
      </c>
      <c r="C22" s="5">
        <v>0.1655950160952213</v>
      </c>
      <c r="D22" s="10">
        <f>ABS(B22-C22)</f>
        <v>0.0</v>
      </c>
      <c r="E22" s="10">
        <f>D22</f>
        <v>0.0</v>
      </c>
      <c r="F22" s="10">
        <f>'Tolerances'!$B$4</f>
        <v>0.0001</v>
      </c>
      <c r="G22" s="15" t="str">
        <f>IF(D22&lt;=F22,"PASS","FAIL")</f>
        <v>PASS</v>
      </c>
      <c r="H22" t="inlineStr">
        <is>
          <t xml:space="preserve">DCF_CAT!B10</t>
        </is>
      </c>
    </row>
    <row r="23">
      <c r="A23" t="inlineStr">
        <is>
          <t xml:space="preserve">WACC (final, clamped [5%,20%])</t>
        </is>
      </c>
      <c r="B23" s="5">
        <v>0.12095875169517725</v>
      </c>
      <c r="C23" s="5">
        <v>0.12095875169517725</v>
      </c>
      <c r="D23" s="10">
        <f>ABS(B23-C23)</f>
        <v>0.0</v>
      </c>
      <c r="E23" s="10">
        <f>D23</f>
        <v>0.0</v>
      </c>
      <c r="F23" s="10">
        <f>'Tolerances'!$B$5</f>
        <v>0.0005</v>
      </c>
      <c r="G23" s="15" t="str">
        <f>IF(D23&lt;=F23,"PASS","FAIL")</f>
        <v>PASS</v>
      </c>
      <c r="H23" t="inlineStr">
        <is>
          <t xml:space="preserve">DCF_CAT!B21</t>
        </is>
      </c>
    </row>
    <row r="24">
      <c r="A24" t="inlineStr">
        <is>
          <t xml:space="preserve">FCF Year 1</t>
        </is>
      </c>
      <c r="B24" s="6">
        <v>8355205000.088836</v>
      </c>
      <c r="C24" s="6">
        <v>8355205000.088836</v>
      </c>
      <c r="D24" s="11">
        <f>ABS(B24-C24)</f>
        <v>0.0</v>
      </c>
      <c r="E24" s="10">
        <f>IF(C24=0,"n/a (zero denom)",D24/ABS(C24))</f>
        <v>0.0</v>
      </c>
      <c r="F24" s="10">
        <f>'Tolerances'!$B$6</f>
        <v>0.001</v>
      </c>
      <c r="G24" s="15" t="str">
        <f>IF(C24=0,IF(D24&lt;=0.000001,"PASS","FAIL"),IF(E24&lt;=F24,"PASS","FAIL"))</f>
        <v>PASS</v>
      </c>
      <c r="H24" t="inlineStr">
        <is>
          <t xml:space="preserve">DCF_CAT!C31</t>
        </is>
      </c>
    </row>
    <row r="25">
      <c r="A25" t="inlineStr">
        <is>
          <t xml:space="preserve">FCF Year 2</t>
        </is>
      </c>
      <c r="B25" s="6">
        <v>8965929646.96496</v>
      </c>
      <c r="C25" s="6">
        <v>8965929646.96496</v>
      </c>
      <c r="D25" s="11">
        <f>ABS(B25-C25)</f>
        <v>0.0</v>
      </c>
      <c r="E25" s="10">
        <f>IF(C25=0,"n/a (zero denom)",D25/ABS(C25))</f>
        <v>0.0</v>
      </c>
      <c r="F25" s="10">
        <f>'Tolerances'!$B$6</f>
        <v>0.001</v>
      </c>
      <c r="G25" s="15" t="str">
        <f>IF(C25=0,IF(D25&lt;=0.000001,"PASS","FAIL"),IF(E25&lt;=F25,"PASS","FAIL"))</f>
        <v>PASS</v>
      </c>
      <c r="H25" t="inlineStr">
        <is>
          <t xml:space="preserve">DCF_CAT!D31</t>
        </is>
      </c>
    </row>
    <row r="26">
      <c r="A26" t="inlineStr">
        <is>
          <t xml:space="preserve">FCF Year 3</t>
        </is>
      </c>
      <c r="B26" s="6">
        <v>9621295280.423456</v>
      </c>
      <c r="C26" s="6">
        <v>9621295280.423456</v>
      </c>
      <c r="D26" s="11">
        <f>ABS(B26-C26)</f>
        <v>0.0</v>
      </c>
      <c r="E26" s="10">
        <f>IF(C26=0,"n/a (zero denom)",D26/ABS(C26))</f>
        <v>0.0</v>
      </c>
      <c r="F26" s="10">
        <f>'Tolerances'!$B$6</f>
        <v>0.001</v>
      </c>
      <c r="G26" s="15" t="str">
        <f>IF(C26=0,IF(D26&lt;=0.000001,"PASS","FAIL"),IF(E26&lt;=F26,"PASS","FAIL"))</f>
        <v>PASS</v>
      </c>
      <c r="H26" t="inlineStr">
        <is>
          <t xml:space="preserve">DCF_CAT!E31</t>
        </is>
      </c>
    </row>
    <row r="27">
      <c r="A27" t="inlineStr">
        <is>
          <t xml:space="preserve">FCF Year 4</t>
        </is>
      </c>
      <c r="B27" s="6">
        <v>10324564938.386972</v>
      </c>
      <c r="C27" s="6">
        <v>10324564938.386972</v>
      </c>
      <c r="D27" s="11">
        <f>ABS(B27-C27)</f>
        <v>0.0</v>
      </c>
      <c r="E27" s="10">
        <f>IF(C27=0,"n/a (zero denom)",D27/ABS(C27))</f>
        <v>0.0</v>
      </c>
      <c r="F27" s="10">
        <f>'Tolerances'!$B$6</f>
        <v>0.001</v>
      </c>
      <c r="G27" s="15" t="str">
        <f>IF(C27=0,IF(D27&lt;=0.000001,"PASS","FAIL"),IF(E27&lt;=F27,"PASS","FAIL"))</f>
        <v>PASS</v>
      </c>
      <c r="H27" t="inlineStr">
        <is>
          <t xml:space="preserve">DCF_CAT!F31</t>
        </is>
      </c>
    </row>
    <row r="28">
      <c r="A28" t="inlineStr">
        <is>
          <t xml:space="preserve">FCF Year 5</t>
        </is>
      </c>
      <c r="B28" s="6">
        <v>11079240170.901186</v>
      </c>
      <c r="C28" s="6">
        <v>11079240170.901186</v>
      </c>
      <c r="D28" s="11">
        <f>ABS(B28-C28)</f>
        <v>0.0</v>
      </c>
      <c r="E28" s="10">
        <f>IF(C28=0,"n/a (zero denom)",D28/ABS(C28))</f>
        <v>0.0</v>
      </c>
      <c r="F28" s="10">
        <f>'Tolerances'!$B$6</f>
        <v>0.001</v>
      </c>
      <c r="G28" s="15" t="str">
        <f>IF(C28=0,IF(D28&lt;=0.000001,"PASS","FAIL"),IF(E28&lt;=F28,"PASS","FAIL"))</f>
        <v>PASS</v>
      </c>
      <c r="H28" t="inlineStr">
        <is>
          <t xml:space="preserve">DCF_CAT!G31</t>
        </is>
      </c>
    </row>
    <row r="29">
      <c r="A29" t="inlineStr">
        <is>
          <t xml:space="preserve">Terminal Value</t>
        </is>
      </c>
      <c r="B29" s="6">
        <v>118344819774.72891</v>
      </c>
      <c r="C29" s="6">
        <v>118344819774.72891</v>
      </c>
      <c r="D29" s="11">
        <f>ABS(B29-C29)</f>
        <v>0.0</v>
      </c>
      <c r="E29" s="10">
        <f>IF(C29=0,"n/a (zero denom)",D29/ABS(C29))</f>
        <v>0.0</v>
      </c>
      <c r="F29" s="10">
        <f>'Tolerances'!$B$7</f>
        <v>0.002</v>
      </c>
      <c r="G29" s="15" t="str">
        <f>IF(C29=0,IF(D29&lt;=0.000001,"PASS","FAIL"),IF(E29&lt;=F29,"PASS","FAIL"))</f>
        <v>PASS</v>
      </c>
      <c r="H29" t="inlineStr">
        <is>
          <t xml:space="preserve">DCF_CAT!B34</t>
        </is>
      </c>
    </row>
    <row r="30">
      <c r="A30" t="inlineStr">
        <is>
          <t xml:space="preserve">PV of Explicit FCF (sum of pv_fcf series)</t>
        </is>
      </c>
      <c r="B30" s="6">
        <v>34218526042.022396</v>
      </c>
      <c r="C30" s="6">
        <v>34218526042.022396</v>
      </c>
      <c r="D30" s="11">
        <f>ABS(B30-C30)</f>
        <v>0.0</v>
      </c>
      <c r="E30" s="10">
        <f>IF(C30=0,"n/a (zero denom)",D30/ABS(C30))</f>
        <v>0.0</v>
      </c>
      <c r="F30" s="10">
        <f>'Tolerances'!$B$8</f>
        <v>0.002</v>
      </c>
      <c r="G30" s="15" t="str">
        <f>IF(C30=0,IF(D30&lt;=0.000001,"PASS","FAIL"),IF(E30&lt;=F30,"PASS","FAIL"))</f>
        <v>PASS</v>
      </c>
      <c r="H30" t="inlineStr">
        <is>
          <t xml:space="preserve">DCF_CAT!B39</t>
        </is>
      </c>
    </row>
    <row r="31">
      <c r="A31" t="inlineStr">
        <is>
          <t xml:space="preserve">PV of Terminal Value</t>
        </is>
      </c>
      <c r="B31" s="6">
        <v>66865345437.2181</v>
      </c>
      <c r="C31" s="6">
        <v>66865345437.2181</v>
      </c>
      <c r="D31" s="11">
        <f>ABS(B31-C31)</f>
        <v>0.0</v>
      </c>
      <c r="E31" s="10">
        <f>IF(C31=0,"n/a (zero denom)",D31/ABS(C31))</f>
        <v>0.0</v>
      </c>
      <c r="F31" s="10">
        <f>'Tolerances'!$B$9</f>
        <v>0.002</v>
      </c>
      <c r="G31" s="15" t="str">
        <f>IF(C31=0,IF(D31&lt;=0.000001,"PASS","FAIL"),IF(E31&lt;=F31,"PASS","FAIL"))</f>
        <v>PASS</v>
      </c>
      <c r="H31" t="inlineStr">
        <is>
          <t xml:space="preserve">DCF_CAT!B40</t>
        </is>
      </c>
    </row>
    <row r="32">
      <c r="A32" t="inlineStr">
        <is>
          <t xml:space="preserve">Enterprise Value</t>
        </is>
      </c>
      <c r="B32" s="6">
        <v>101083871479.2405</v>
      </c>
      <c r="C32" s="6">
        <v>101083871479.2405</v>
      </c>
      <c r="D32" s="11">
        <f>ABS(B32-C32)</f>
        <v>0.0</v>
      </c>
      <c r="E32" s="10">
        <f>IF(C32=0,"n/a (zero denom)",D32/ABS(C32))</f>
        <v>0.0</v>
      </c>
      <c r="F32" s="10">
        <f>'Tolerances'!$B$10</f>
        <v>0.002</v>
      </c>
      <c r="G32" s="15" t="str">
        <f>IF(C32=0,IF(D32&lt;=0.000001,"PASS","FAIL"),IF(E32&lt;=F32,"PASS","FAIL"))</f>
        <v>PASS</v>
      </c>
      <c r="H32" t="inlineStr">
        <is>
          <t xml:space="preserve">DCF_CAT!B41</t>
        </is>
      </c>
    </row>
    <row r="33">
      <c r="A33" t="inlineStr">
        <is>
          <t xml:space="preserve">Equity Value</t>
        </is>
      </c>
      <c r="B33" s="6">
        <v>74853871479.2405</v>
      </c>
      <c r="C33" s="6">
        <v>74853871479.2405</v>
      </c>
      <c r="D33" s="11">
        <f>ABS(B33-C33)</f>
        <v>0.0</v>
      </c>
      <c r="E33" s="10">
        <f>IF(C33=0,"n/a (zero denom)",D33/ABS(C33))</f>
        <v>0.0</v>
      </c>
      <c r="F33" s="10">
        <f>'Tolerances'!$B$11</f>
        <v>0.002</v>
      </c>
      <c r="G33" s="15" t="str">
        <f>IF(C33=0,IF(D33&lt;=0.000001,"PASS","FAIL"),IF(E33&lt;=F33,"PASS","FAIL"))</f>
        <v>PASS</v>
      </c>
      <c r="H33" t="inlineStr">
        <is>
          <t xml:space="preserve">DCF_CAT!B42</t>
        </is>
      </c>
    </row>
    <row r="34">
      <c r="A34" t="inlineStr">
        <is>
          <t xml:space="preserve">Intrinsic Value per Share</t>
        </is>
      </c>
      <c r="B34" s="7">
        <v>162.84089749188038</v>
      </c>
      <c r="C34" s="7">
        <v>162.84089749188038</v>
      </c>
      <c r="D34" s="12">
        <f>ABS(B34-C34)</f>
        <v>0.0</v>
      </c>
      <c r="E34" s="10">
        <f>IF(C34=0,"n/a (zero denom)",D34/ABS(C34))</f>
        <v>0.0</v>
      </c>
      <c r="F34" s="10">
        <f>'Tolerances'!$B$12</f>
        <v>0.005</v>
      </c>
      <c r="G34" s="15" t="str">
        <f>IF(C34=0,IF(D34&lt;=0.000001,"PASS","FAIL"),IF(E34&lt;=F34,"PASS","FAIL"))</f>
        <v>PASS</v>
      </c>
      <c r="H34" t="inlineStr">
        <is>
          <t xml:space="preserve">DCF_CAT!B43</t>
        </is>
      </c>
    </row>
    <row r="35">
      <c r="A35" s="3" t="inlineStr">
        <is>
          <t xml:space="preserve">-- INTC (Intel Corporation) --</t>
        </is>
      </c>
    </row>
    <row r="36">
      <c r="A36" t="inlineStr">
        <is>
          <t xml:space="preserve">Historical Revenue CAGR</t>
        </is>
      </c>
      <c r="B36" s="5">
        <v>-0.09554417293826767</v>
      </c>
      <c r="C36" s="5">
        <v>-0.09554417293826767</v>
      </c>
      <c r="D36" s="10">
        <f>ABS(B36-C36)</f>
        <v>0.0</v>
      </c>
      <c r="E36" s="10">
        <f>D36</f>
        <v>0.0</v>
      </c>
      <c r="F36" s="10">
        <f>'Tolerances'!$B$3</f>
        <v>0.0001</v>
      </c>
      <c r="G36" s="15" t="str">
        <f>IF(D36&lt;=F36,"PASS","FAIL")</f>
        <v>PASS</v>
      </c>
      <c r="H36" t="inlineStr">
        <is>
          <t xml:space="preserve">DCF_INTC!B9</t>
        </is>
      </c>
    </row>
    <row r="37">
      <c r="A37" t="inlineStr">
        <is>
          <t xml:space="preserve">Historical average Operating Margin</t>
        </is>
      </c>
      <c r="B37" s="5">
        <v>0.004624851749122934</v>
      </c>
      <c r="C37" s="5">
        <v>0.004624851749122934</v>
      </c>
      <c r="D37" s="10">
        <f>ABS(B37-C37)</f>
        <v>0.0</v>
      </c>
      <c r="E37" s="10">
        <f>D37</f>
        <v>0.0</v>
      </c>
      <c r="F37" s="10">
        <f>'Tolerances'!$B$4</f>
        <v>0.0001</v>
      </c>
      <c r="G37" s="15" t="str">
        <f>IF(D37&lt;=F37,"PASS","FAIL")</f>
        <v>PASS</v>
      </c>
      <c r="H37" t="inlineStr">
        <is>
          <t xml:space="preserve">DCF_INTC!B10</t>
        </is>
      </c>
    </row>
    <row r="38">
      <c r="A38" t="inlineStr">
        <is>
          <t xml:space="preserve">WACC (final, clamped [5%,20%])</t>
        </is>
      </c>
      <c r="B38" s="5">
        <v>0.15054644593281</v>
      </c>
      <c r="C38" s="5">
        <v>0.15054644593281</v>
      </c>
      <c r="D38" s="10">
        <f>ABS(B38-C38)</f>
        <v>0.0</v>
      </c>
      <c r="E38" s="10">
        <f>D38</f>
        <v>0.0</v>
      </c>
      <c r="F38" s="10">
        <f>'Tolerances'!$B$5</f>
        <v>0.0005</v>
      </c>
      <c r="G38" s="15" t="str">
        <f>IF(D38&lt;=F38,"PASS","FAIL")</f>
        <v>PASS</v>
      </c>
      <c r="H38" t="inlineStr">
        <is>
          <t xml:space="preserve">DCF_INTC!B21</t>
        </is>
      </c>
    </row>
    <row r="39">
      <c r="A39" t="inlineStr">
        <is>
          <t xml:space="preserve">FCF Year 1</t>
        </is>
      </c>
      <c r="B39" s="6">
        <v>-423842264.73515886</v>
      </c>
      <c r="C39" s="6">
        <v>-423842264.73515886</v>
      </c>
      <c r="D39" s="11">
        <f>ABS(B39-C39)</f>
        <v>0.0</v>
      </c>
      <c r="E39" s="10">
        <f>IF(C39=0,"n/a (zero denom)",D39/ABS(C39))</f>
        <v>0.0</v>
      </c>
      <c r="F39" s="10">
        <f>'Tolerances'!$B$6</f>
        <v>0.001</v>
      </c>
      <c r="G39" s="15" t="str">
        <f>IF(C39=0,IF(D39&lt;=0.000001,"PASS","FAIL"),IF(E39&lt;=F39,"PASS","FAIL"))</f>
        <v>PASS</v>
      </c>
      <c r="H39" t="inlineStr">
        <is>
          <t xml:space="preserve">DCF_INTC!C31</t>
        </is>
      </c>
    </row>
    <row r="40">
      <c r="A40" t="inlineStr">
        <is>
          <t xml:space="preserve">FCF Year 2</t>
        </is>
      </c>
      <c r="B40" s="6">
        <v>-383346606.09475577</v>
      </c>
      <c r="C40" s="6">
        <v>-383346606.09475577</v>
      </c>
      <c r="D40" s="11">
        <f>ABS(B40-C40)</f>
        <v>0.0</v>
      </c>
      <c r="E40" s="10">
        <f>IF(C40=0,"n/a (zero denom)",D40/ABS(C40))</f>
        <v>0.0</v>
      </c>
      <c r="F40" s="10">
        <f>'Tolerances'!$B$6</f>
        <v>0.001</v>
      </c>
      <c r="G40" s="15" t="str">
        <f>IF(C40=0,IF(D40&lt;=0.000001,"PASS","FAIL"),IF(E40&lt;=F40,"PASS","FAIL"))</f>
        <v>PASS</v>
      </c>
      <c r="H40" t="inlineStr">
        <is>
          <t xml:space="preserve">DCF_INTC!D31</t>
        </is>
      </c>
    </row>
    <row r="41">
      <c r="A41" t="inlineStr">
        <is>
          <t xml:space="preserve">FCF Year 3</t>
        </is>
      </c>
      <c r="B41" s="6">
        <v>-346720071.6667405</v>
      </c>
      <c r="C41" s="6">
        <v>-346720071.6667405</v>
      </c>
      <c r="D41" s="11">
        <f>ABS(B41-C41)</f>
        <v>0.0</v>
      </c>
      <c r="E41" s="10">
        <f>IF(C41=0,"n/a (zero denom)",D41/ABS(C41))</f>
        <v>0.0</v>
      </c>
      <c r="F41" s="10">
        <f>'Tolerances'!$B$6</f>
        <v>0.001</v>
      </c>
      <c r="G41" s="15" t="str">
        <f>IF(C41=0,IF(D41&lt;=0.000001,"PASS","FAIL"),IF(E41&lt;=F41,"PASS","FAIL"))</f>
        <v>PASS</v>
      </c>
      <c r="H41" t="inlineStr">
        <is>
          <t xml:space="preserve">DCF_INTC!E31</t>
        </is>
      </c>
    </row>
    <row r="42">
      <c r="A42" t="inlineStr">
        <is>
          <t xml:space="preserve">FCF Year 4</t>
        </is>
      </c>
      <c r="B42" s="6">
        <v>-313592989.17824495</v>
      </c>
      <c r="C42" s="6">
        <v>-313592989.17824495</v>
      </c>
      <c r="D42" s="11">
        <f>ABS(B42-C42)</f>
        <v>0.0</v>
      </c>
      <c r="E42" s="10">
        <f>IF(C42=0,"n/a (zero denom)",D42/ABS(C42))</f>
        <v>0.0</v>
      </c>
      <c r="F42" s="10">
        <f>'Tolerances'!$B$6</f>
        <v>0.001</v>
      </c>
      <c r="G42" s="15" t="str">
        <f>IF(C42=0,IF(D42&lt;=0.000001,"PASS","FAIL"),IF(E42&lt;=F42,"PASS","FAIL"))</f>
        <v>PASS</v>
      </c>
      <c r="H42" t="inlineStr">
        <is>
          <t xml:space="preserve">DCF_INTC!F31</t>
        </is>
      </c>
    </row>
    <row r="43">
      <c r="A43" t="inlineStr">
        <is>
          <t xml:space="preserve">FCF Year 5</t>
        </is>
      </c>
      <c r="B43" s="6">
        <v>-283631006.38797045</v>
      </c>
      <c r="C43" s="6">
        <v>-283631006.38797045</v>
      </c>
      <c r="D43" s="11">
        <f>ABS(B43-C43)</f>
        <v>0.0</v>
      </c>
      <c r="E43" s="10">
        <f>IF(C43=0,"n/a (zero denom)",D43/ABS(C43))</f>
        <v>0.0</v>
      </c>
      <c r="F43" s="10">
        <f>'Tolerances'!$B$6</f>
        <v>0.001</v>
      </c>
      <c r="G43" s="15" t="str">
        <f>IF(C43=0,IF(D43&lt;=0.000001,"PASS","FAIL"),IF(E43&lt;=F43,"PASS","FAIL"))</f>
        <v>PASS</v>
      </c>
      <c r="H43" t="inlineStr">
        <is>
          <t xml:space="preserve">DCF_INTC!G31</t>
        </is>
      </c>
    </row>
    <row r="44">
      <c r="A44" t="inlineStr">
        <is>
          <t xml:space="preserve">Terminal Value</t>
        </is>
      </c>
      <c r="B44" s="6">
        <v>-2315651226.8237233</v>
      </c>
      <c r="C44" s="6">
        <v>-2315651226.8237233</v>
      </c>
      <c r="D44" s="11">
        <f>ABS(B44-C44)</f>
        <v>0.0</v>
      </c>
      <c r="E44" s="10">
        <f>IF(C44=0,"n/a (zero denom)",D44/ABS(C44))</f>
        <v>0.0</v>
      </c>
      <c r="F44" s="10">
        <f>'Tolerances'!$B$7</f>
        <v>0.002</v>
      </c>
      <c r="G44" s="15" t="str">
        <f>IF(C44=0,IF(D44&lt;=0.000001,"PASS","FAIL"),IF(E44&lt;=F44,"PASS","FAIL"))</f>
        <v>PASS</v>
      </c>
      <c r="H44" t="inlineStr">
        <is>
          <t xml:space="preserve">DCF_INTC!B34</t>
        </is>
      </c>
    </row>
    <row r="45">
      <c r="A45" t="inlineStr">
        <is>
          <t xml:space="preserve">PV of Explicit FCF (sum of pv_fcf series)</t>
        </is>
      </c>
      <c r="B45" s="6">
        <v>-1205260295.0809765</v>
      </c>
      <c r="C45" s="6">
        <v>-1205260295.0809765</v>
      </c>
      <c r="D45" s="11">
        <f>ABS(B45-C45)</f>
        <v>0.0</v>
      </c>
      <c r="E45" s="10">
        <f>IF(C45=0,"n/a (zero denom)",D45/ABS(C45))</f>
        <v>0.0</v>
      </c>
      <c r="F45" s="10">
        <f>'Tolerances'!$B$8</f>
        <v>0.002</v>
      </c>
      <c r="G45" s="15" t="str">
        <f>IF(C45=0,IF(D45&lt;=0.000001,"PASS","FAIL"),IF(E45&lt;=F45,"PASS","FAIL"))</f>
        <v>PASS</v>
      </c>
      <c r="H45" t="inlineStr">
        <is>
          <t xml:space="preserve">DCF_INTC!B39</t>
        </is>
      </c>
    </row>
    <row r="46">
      <c r="A46" t="inlineStr">
        <is>
          <t xml:space="preserve">PV of Terminal Value</t>
        </is>
      </c>
      <c r="B46" s="6">
        <v>-1148556522.3441927</v>
      </c>
      <c r="C46" s="6">
        <v>-1148556522.3441927</v>
      </c>
      <c r="D46" s="11">
        <f>ABS(B46-C46)</f>
        <v>0.0</v>
      </c>
      <c r="E46" s="10">
        <f>IF(C46=0,"n/a (zero denom)",D46/ABS(C46))</f>
        <v>0.0</v>
      </c>
      <c r="F46" s="10">
        <f>'Tolerances'!$B$9</f>
        <v>0.002</v>
      </c>
      <c r="G46" s="15" t="str">
        <f>IF(C46=0,IF(D46&lt;=0.000001,"PASS","FAIL"),IF(E46&lt;=F46,"PASS","FAIL"))</f>
        <v>PASS</v>
      </c>
      <c r="H46" t="inlineStr">
        <is>
          <t xml:space="preserve">DCF_INTC!B40</t>
        </is>
      </c>
    </row>
    <row r="47">
      <c r="A47" t="inlineStr">
        <is>
          <t xml:space="preserve">Enterprise Value</t>
        </is>
      </c>
      <c r="B47" s="6">
        <v>-2353816817.425169</v>
      </c>
      <c r="C47" s="6">
        <v>-2353816817.425169</v>
      </c>
      <c r="D47" s="11">
        <f>ABS(B47-C47)</f>
        <v>0.0</v>
      </c>
      <c r="E47" s="10">
        <f>IF(C47=0,"n/a (zero denom)",D47/ABS(C47))</f>
        <v>0.0</v>
      </c>
      <c r="F47" s="10">
        <f>'Tolerances'!$B$10</f>
        <v>0.002</v>
      </c>
      <c r="G47" s="15" t="str">
        <f>IF(C47=0,IF(D47&lt;=0.000001,"PASS","FAIL"),IF(E47&lt;=F47,"PASS","FAIL"))</f>
        <v>PASS</v>
      </c>
      <c r="H47" t="inlineStr">
        <is>
          <t xml:space="preserve">DCF_INTC!B41</t>
        </is>
      </c>
    </row>
    <row r="48">
      <c r="A48" t="inlineStr">
        <is>
          <t xml:space="preserve">Equity Value</t>
        </is>
      </c>
      <c r="B48" s="6">
        <v>-34673816817.42517</v>
      </c>
      <c r="C48" s="6">
        <v>-34673816817.42517</v>
      </c>
      <c r="D48" s="11">
        <f>ABS(B48-C48)</f>
        <v>0.0</v>
      </c>
      <c r="E48" s="10">
        <f>IF(C48=0,"n/a (zero denom)",D48/ABS(C48))</f>
        <v>0.0</v>
      </c>
      <c r="F48" s="10">
        <f>'Tolerances'!$B$11</f>
        <v>0.002</v>
      </c>
      <c r="G48" s="15" t="str">
        <f>IF(C48=0,IF(D48&lt;=0.000001,"PASS","FAIL"),IF(E48&lt;=F48,"PASS","FAIL"))</f>
        <v>PASS</v>
      </c>
      <c r="H48" t="inlineStr">
        <is>
          <t xml:space="preserve">DCF_INTC!B42</t>
        </is>
      </c>
    </row>
    <row r="49">
      <c r="A49" t="inlineStr">
        <is>
          <t xml:space="preserve">Intrinsic Value per Share</t>
        </is>
      </c>
      <c r="B49" s="7">
        <v>-6.55942609896238</v>
      </c>
      <c r="C49" s="7">
        <v>-6.55942609896238</v>
      </c>
      <c r="D49" s="12">
        <f>ABS(B49-C49)</f>
        <v>0.0</v>
      </c>
      <c r="E49" s="10">
        <f>IF(C49=0,"n/a (zero denom)",D49/ABS(C49))</f>
        <v>0.0</v>
      </c>
      <c r="F49" s="10">
        <f>'Tolerances'!$B$12</f>
        <v>0.005</v>
      </c>
      <c r="G49" s="15" t="str">
        <f>IF(C49=0,IF(D49&lt;=0.000001,"PASS","FAIL"),IF(E49&lt;=F49,"PASS","FAIL"))</f>
        <v>PASS</v>
      </c>
      <c r="H49" t="inlineStr">
        <is>
          <t xml:space="preserve">DCF_INTC!B43</t>
        </is>
      </c>
    </row>
    <row r="50">
      <c r="A50" s="3" t="inlineStr">
        <is>
          <t xml:space="preserve">-- VZ (Verizon Communications Inc.) --</t>
        </is>
      </c>
    </row>
    <row r="51">
      <c r="A51" t="inlineStr">
        <is>
          <t xml:space="preserve">Historical Revenue CAGR</t>
        </is>
      </c>
      <c r="B51" s="5">
        <v>0.008457873514414072</v>
      </c>
      <c r="C51" s="5">
        <v>0.008457873514414072</v>
      </c>
      <c r="D51" s="10">
        <f>ABS(B51-C51)</f>
        <v>0.0</v>
      </c>
      <c r="E51" s="10">
        <f>D51</f>
        <v>0.0</v>
      </c>
      <c r="F51" s="10">
        <f>'Tolerances'!$B$3</f>
        <v>0.0001</v>
      </c>
      <c r="G51" s="15" t="str">
        <f>IF(D51&lt;=F51,"PASS","FAIL")</f>
        <v>PASS</v>
      </c>
      <c r="H51" t="inlineStr">
        <is>
          <t xml:space="preserve">DCF_VZ!B9</t>
        </is>
      </c>
    </row>
    <row r="52">
      <c r="A52" t="inlineStr">
        <is>
          <t xml:space="preserve">Historical average Operating Margin</t>
        </is>
      </c>
      <c r="B52" s="5">
        <v>0.21216289003447653</v>
      </c>
      <c r="C52" s="5">
        <v>0.21216289003447653</v>
      </c>
      <c r="D52" s="10">
        <f>ABS(B52-C52)</f>
        <v>0.0</v>
      </c>
      <c r="E52" s="10">
        <f>D52</f>
        <v>0.0</v>
      </c>
      <c r="F52" s="10">
        <f>'Tolerances'!$B$4</f>
        <v>0.0001</v>
      </c>
      <c r="G52" s="15" t="str">
        <f>IF(D52&lt;=F52,"PASS","FAIL")</f>
        <v>PASS</v>
      </c>
      <c r="H52" t="inlineStr">
        <is>
          <t xml:space="preserve">DCF_VZ!B10</t>
        </is>
      </c>
    </row>
    <row r="53">
      <c r="A53" t="inlineStr">
        <is>
          <t xml:space="preserve">WACC (final, clamped [5%,20%])</t>
        </is>
      </c>
      <c r="B53" s="5">
        <v>0.05</v>
      </c>
      <c r="C53" s="5">
        <v>0.05</v>
      </c>
      <c r="D53" s="10">
        <f>ABS(B53-C53)</f>
        <v>0.0</v>
      </c>
      <c r="E53" s="10">
        <f>D53</f>
        <v>0.0</v>
      </c>
      <c r="F53" s="10">
        <f>'Tolerances'!$B$5</f>
        <v>0.0005</v>
      </c>
      <c r="G53" s="15" t="str">
        <f>IF(D53&lt;=F53,"PASS","FAIL")</f>
        <v>PASS</v>
      </c>
      <c r="H53" t="inlineStr">
        <is>
          <t xml:space="preserve">DCF_VZ!B21</t>
        </is>
      </c>
    </row>
    <row r="54">
      <c r="A54" t="inlineStr">
        <is>
          <t xml:space="preserve">FCF Year 1</t>
        </is>
      </c>
      <c r="B54" s="6">
        <v>21557635393.014256</v>
      </c>
      <c r="C54" s="6">
        <v>21557635393.014256</v>
      </c>
      <c r="D54" s="11">
        <f>ABS(B54-C54)</f>
        <v>0.0</v>
      </c>
      <c r="E54" s="10">
        <f>IF(C54=0,"n/a (zero denom)",D54/ABS(C54))</f>
        <v>0.0</v>
      </c>
      <c r="F54" s="10">
        <f>'Tolerances'!$B$6</f>
        <v>0.001</v>
      </c>
      <c r="G54" s="15" t="str">
        <f>IF(C54=0,IF(D54&lt;=0.000001,"PASS","FAIL"),IF(E54&lt;=F54,"PASS","FAIL"))</f>
        <v>PASS</v>
      </c>
      <c r="H54" t="inlineStr">
        <is>
          <t xml:space="preserve">DCF_VZ!C31</t>
        </is>
      </c>
    </row>
    <row r="55">
      <c r="A55" t="inlineStr">
        <is>
          <t xml:space="preserve">FCF Year 2</t>
        </is>
      </c>
      <c r="B55" s="6">
        <v>21739967146.438225</v>
      </c>
      <c r="C55" s="6">
        <v>21739967146.438225</v>
      </c>
      <c r="D55" s="11">
        <f>ABS(B55-C55)</f>
        <v>0.0</v>
      </c>
      <c r="E55" s="10">
        <f>IF(C55=0,"n/a (zero denom)",D55/ABS(C55))</f>
        <v>0.0</v>
      </c>
      <c r="F55" s="10">
        <f>'Tolerances'!$B$6</f>
        <v>0.001</v>
      </c>
      <c r="G55" s="15" t="str">
        <f>IF(C55=0,IF(D55&lt;=0.000001,"PASS","FAIL"),IF(E55&lt;=F55,"PASS","FAIL"))</f>
        <v>PASS</v>
      </c>
      <c r="H55" t="inlineStr">
        <is>
          <t xml:space="preserve">DCF_VZ!D31</t>
        </is>
      </c>
    </row>
    <row r="56">
      <c r="A56" t="inlineStr">
        <is>
          <t xml:space="preserve">FCF Year 3</t>
        </is>
      </c>
      <c r="B56" s="6">
        <v>21923841038.770325</v>
      </c>
      <c r="C56" s="6">
        <v>21923841038.770325</v>
      </c>
      <c r="D56" s="11">
        <f>ABS(B56-C56)</f>
        <v>0.0</v>
      </c>
      <c r="E56" s="10">
        <f>IF(C56=0,"n/a (zero denom)",D56/ABS(C56))</f>
        <v>0.0</v>
      </c>
      <c r="F56" s="10">
        <f>'Tolerances'!$B$6</f>
        <v>0.001</v>
      </c>
      <c r="G56" s="15" t="str">
        <f>IF(C56=0,IF(D56&lt;=0.000001,"PASS","FAIL"),IF(E56&lt;=F56,"PASS","FAIL"))</f>
        <v>PASS</v>
      </c>
      <c r="H56" t="inlineStr">
        <is>
          <t xml:space="preserve">DCF_VZ!E31</t>
        </is>
      </c>
    </row>
    <row r="57">
      <c r="A57" t="inlineStr">
        <is>
          <t xml:space="preserve">FCF Year 4</t>
        </is>
      </c>
      <c r="B57" s="6">
        <v>22109270113.22636</v>
      </c>
      <c r="C57" s="6">
        <v>22109270113.22636</v>
      </c>
      <c r="D57" s="11">
        <f>ABS(B57-C57)</f>
        <v>0.0</v>
      </c>
      <c r="E57" s="10">
        <f>IF(C57=0,"n/a (zero denom)",D57/ABS(C57))</f>
        <v>0.0</v>
      </c>
      <c r="F57" s="10">
        <f>'Tolerances'!$B$6</f>
        <v>0.001</v>
      </c>
      <c r="G57" s="15" t="str">
        <f>IF(C57=0,IF(D57&lt;=0.000001,"PASS","FAIL"),IF(E57&lt;=F57,"PASS","FAIL"))</f>
        <v>PASS</v>
      </c>
      <c r="H57" t="inlineStr">
        <is>
          <t xml:space="preserve">DCF_VZ!F31</t>
        </is>
      </c>
    </row>
    <row r="58">
      <c r="A58" t="inlineStr">
        <is>
          <t xml:space="preserve">FCF Year 5</t>
        </is>
      </c>
      <c r="B58" s="6">
        <v>22296267523.340042</v>
      </c>
      <c r="C58" s="6">
        <v>22296267523.340042</v>
      </c>
      <c r="D58" s="11">
        <f>ABS(B58-C58)</f>
        <v>0.0</v>
      </c>
      <c r="E58" s="10">
        <f>IF(C58=0,"n/a (zero denom)",D58/ABS(C58))</f>
        <v>0.0</v>
      </c>
      <c r="F58" s="10">
        <f>'Tolerances'!$B$6</f>
        <v>0.001</v>
      </c>
      <c r="G58" s="15" t="str">
        <f>IF(C58=0,IF(D58&lt;=0.000001,"PASS","FAIL"),IF(E58&lt;=F58,"PASS","FAIL"))</f>
        <v>PASS</v>
      </c>
      <c r="H58" t="inlineStr">
        <is>
          <t xml:space="preserve">DCF_VZ!G31</t>
        </is>
      </c>
    </row>
    <row r="59">
      <c r="A59" t="inlineStr">
        <is>
          <t xml:space="preserve">Terminal Value</t>
        </is>
      </c>
      <c r="B59" s="6">
        <v>914146968456.9417</v>
      </c>
      <c r="C59" s="6">
        <v>914146968456.9417</v>
      </c>
      <c r="D59" s="11">
        <f>ABS(B59-C59)</f>
        <v>0.0</v>
      </c>
      <c r="E59" s="10">
        <f>IF(C59=0,"n/a (zero denom)",D59/ABS(C59))</f>
        <v>0.0</v>
      </c>
      <c r="F59" s="10">
        <f>'Tolerances'!$B$7</f>
        <v>0.002</v>
      </c>
      <c r="G59" s="15" t="str">
        <f>IF(C59=0,IF(D59&lt;=0.000001,"PASS","FAIL"),IF(E59&lt;=F59,"PASS","FAIL"))</f>
        <v>PASS</v>
      </c>
      <c r="H59" t="inlineStr">
        <is>
          <t xml:space="preserve">DCF_VZ!B34</t>
        </is>
      </c>
    </row>
    <row r="60">
      <c r="A60" t="inlineStr">
        <is>
          <t xml:space="preserve">PV of Explicit FCF (sum of pv_fcf series)</t>
        </is>
      </c>
      <c r="B60" s="6">
        <v>94847570839.83777</v>
      </c>
      <c r="C60" s="6">
        <v>94847570839.83777</v>
      </c>
      <c r="D60" s="11">
        <f>ABS(B60-C60)</f>
        <v>0.0</v>
      </c>
      <c r="E60" s="10">
        <f>IF(C60=0,"n/a (zero denom)",D60/ABS(C60))</f>
        <v>0.0</v>
      </c>
      <c r="F60" s="10">
        <f>'Tolerances'!$B$8</f>
        <v>0.002</v>
      </c>
      <c r="G60" s="15" t="str">
        <f>IF(C60=0,IF(D60&lt;=0.000001,"PASS","FAIL"),IF(E60&lt;=F60,"PASS","FAIL"))</f>
        <v>PASS</v>
      </c>
      <c r="H60" t="inlineStr">
        <is>
          <t xml:space="preserve">DCF_VZ!B39</t>
        </is>
      </c>
    </row>
    <row r="61">
      <c r="A61" t="inlineStr">
        <is>
          <t xml:space="preserve">PV of Terminal Value</t>
        </is>
      </c>
      <c r="B61" s="6">
        <v>716258069783.8307</v>
      </c>
      <c r="C61" s="6">
        <v>716258069783.8307</v>
      </c>
      <c r="D61" s="11">
        <f>ABS(B61-C61)</f>
        <v>0.0</v>
      </c>
      <c r="E61" s="10">
        <f>IF(C61=0,"n/a (zero denom)",D61/ABS(C61))</f>
        <v>0.0</v>
      </c>
      <c r="F61" s="10">
        <f>'Tolerances'!$B$9</f>
        <v>0.002</v>
      </c>
      <c r="G61" s="15" t="str">
        <f>IF(C61=0,IF(D61&lt;=0.000001,"PASS","FAIL"),IF(E61&lt;=F61,"PASS","FAIL"))</f>
        <v>PASS</v>
      </c>
      <c r="H61" t="inlineStr">
        <is>
          <t xml:space="preserve">DCF_VZ!B40</t>
        </is>
      </c>
    </row>
    <row r="62">
      <c r="A62" t="inlineStr">
        <is>
          <t xml:space="preserve">Enterprise Value</t>
        </is>
      </c>
      <c r="B62" s="6">
        <v>811105640623.6685</v>
      </c>
      <c r="C62" s="6">
        <v>811105640623.6685</v>
      </c>
      <c r="D62" s="11">
        <f>ABS(B62-C62)</f>
        <v>0.0</v>
      </c>
      <c r="E62" s="10">
        <f>IF(C62=0,"n/a (zero denom)",D62/ABS(C62))</f>
        <v>0.0</v>
      </c>
      <c r="F62" s="10">
        <f>'Tolerances'!$B$10</f>
        <v>0.002</v>
      </c>
      <c r="G62" s="15" t="str">
        <f>IF(C62=0,IF(D62&lt;=0.000001,"PASS","FAIL"),IF(E62&lt;=F62,"PASS","FAIL"))</f>
        <v>PASS</v>
      </c>
      <c r="H62" t="inlineStr">
        <is>
          <t xml:space="preserve">DCF_VZ!B41</t>
        </is>
      </c>
    </row>
    <row r="63">
      <c r="A63" t="inlineStr">
        <is>
          <t xml:space="preserve">Equity Value</t>
        </is>
      </c>
      <c r="B63" s="6">
        <v>672003640623.6685</v>
      </c>
      <c r="C63" s="6">
        <v>672003640623.6685</v>
      </c>
      <c r="D63" s="11">
        <f>ABS(B63-C63)</f>
        <v>0.0</v>
      </c>
      <c r="E63" s="10">
        <f>IF(C63=0,"n/a (zero denom)",D63/ABS(C63))</f>
        <v>0.0</v>
      </c>
      <c r="F63" s="10">
        <f>'Tolerances'!$B$11</f>
        <v>0.002</v>
      </c>
      <c r="G63" s="15" t="str">
        <f>IF(C63=0,IF(D63&lt;=0.000001,"PASS","FAIL"),IF(E63&lt;=F63,"PASS","FAIL"))</f>
        <v>PASS</v>
      </c>
      <c r="H63" t="inlineStr">
        <is>
          <t xml:space="preserve">DCF_VZ!B42</t>
        </is>
      </c>
    </row>
    <row r="64">
      <c r="A64" t="inlineStr">
        <is>
          <t xml:space="preserve">Intrinsic Value per Share</t>
        </is>
      </c>
      <c r="B64" s="7">
        <v>161.74247894330927</v>
      </c>
      <c r="C64" s="7">
        <v>161.74247894330927</v>
      </c>
      <c r="D64" s="12">
        <f>ABS(B64-C64)</f>
        <v>0.0</v>
      </c>
      <c r="E64" s="10">
        <f>IF(C64=0,"n/a (zero denom)",D64/ABS(C64))</f>
        <v>0.0</v>
      </c>
      <c r="F64" s="10">
        <f>'Tolerances'!$B$12</f>
        <v>0.005</v>
      </c>
      <c r="G64" s="15" t="str">
        <f>IF(C64=0,IF(D64&lt;=0.000001,"PASS","FAIL"),IF(E64&lt;=F64,"PASS","FAIL"))</f>
        <v>PASS</v>
      </c>
      <c r="H64" t="inlineStr">
        <is>
          <t xml:space="preserve">DCF_VZ!B43</t>
        </is>
      </c>
    </row>
  </sheetData>
</worksheet>
</file>

<file path=xl/worksheets/sheet4.xml><?xml version="1.0" encoding="utf-8"?>
<worksheet xmlns="http://schemas.openxmlformats.org/spreadsheetml/2006/main">
  <dimension ref="A1:H27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width="32" customWidth="1"/>
    <col min="2" max="2" width="16" customWidth="1"/>
    <col min="3" max="3" width="16" customWidth="1"/>
    <col min="4" max="4" width="14" customWidth="1"/>
    <col min="5" max="5" width="12" customWidth="1"/>
    <col min="6" max="6" width="12" customWidth="1"/>
    <col min="7" max="7" width="10" customWidth="1"/>
    <col min="8" max="8" width="30" customWidth="1"/>
  </cols>
  <sheetData>
    <row r="1">
      <c r="A1" s="1" t="inlineStr">
        <is>
          <t xml:space="preserve">Detailed base-case reconciliation -- MSFT (Microsoft Corporation)</t>
        </is>
      </c>
    </row>
    <row r="2">
      <c r="A2" s="18" t="inlineStr">
        <is>
          <t xml:space="preserve">All metrics within tolerance.</t>
        </is>
      </c>
    </row>
    <row r="4">
      <c r="A4" s="2" t="inlineStr">
        <is>
          <t xml:space="preserve">Metric</t>
        </is>
      </c>
      <c r="B4" s="2" t="inlineStr">
        <is>
          <t xml:space="preserve">Codebase Output</t>
        </is>
      </c>
      <c r="C4" s="2" t="inlineStr">
        <is>
          <t xml:space="preserve">Workbook Output</t>
        </is>
      </c>
      <c r="D4" s="2" t="inlineStr">
        <is>
          <t xml:space="preserve">Absolute Difference</t>
        </is>
      </c>
      <c r="E4" s="2" t="inlineStr">
        <is>
          <t xml:space="preserve">Relative/pp Difference</t>
        </is>
      </c>
      <c r="F4" s="2" t="inlineStr">
        <is>
          <t xml:space="preserve">Tolerance</t>
        </is>
      </c>
      <c r="G4" s="2" t="inlineStr">
        <is>
          <t xml:space="preserve">PASS/FAIL</t>
        </is>
      </c>
      <c r="H4" s="2" t="inlineStr">
        <is>
          <t xml:space="preserve">Workbook Cell</t>
        </is>
      </c>
    </row>
    <row r="5">
      <c r="A5" t="inlineStr">
        <is>
          <t xml:space="preserve">Historical Revenue CAGR</t>
        </is>
      </c>
      <c r="B5" s="5">
        <v>0.1374114735301586</v>
      </c>
      <c r="C5" s="5">
        <v>0.1374114735301586</v>
      </c>
      <c r="D5" s="10">
        <f>ABS(B5-C5)</f>
        <v>0.0</v>
      </c>
      <c r="E5" s="10">
        <f>D5</f>
        <v>0.0</v>
      </c>
      <c r="F5" s="10">
        <f>'Tolerances'!$B$3</f>
        <v>0.0001</v>
      </c>
      <c r="G5" s="15" t="str">
        <f>IF(D5&lt;=F5,"PASS","FAIL")</f>
        <v>PASS</v>
      </c>
      <c r="H5" t="inlineStr">
        <is>
          <t xml:space="preserve">DCF_MSFT!B9</t>
        </is>
      </c>
    </row>
    <row r="6">
      <c r="A6" t="inlineStr">
        <is>
          <t xml:space="preserve">Historical average Operating Margin</t>
        </is>
      </c>
      <c r="B6" s="5">
        <v>0.4417504660304294</v>
      </c>
      <c r="C6" s="5">
        <v>0.4417504660304294</v>
      </c>
      <c r="D6" s="10">
        <f>ABS(B6-C6)</f>
        <v>0.0</v>
      </c>
      <c r="E6" s="10">
        <f>D6</f>
        <v>0.0</v>
      </c>
      <c r="F6" s="10">
        <f>'Tolerances'!$B$4</f>
        <v>0.0001</v>
      </c>
      <c r="G6" s="15" t="str">
        <f>IF(D6&lt;=F6,"PASS","FAIL")</f>
        <v>PASS</v>
      </c>
      <c r="H6" t="inlineStr">
        <is>
          <t xml:space="preserve">DCF_MSFT!B10</t>
        </is>
      </c>
    </row>
    <row r="7">
      <c r="A7" t="inlineStr">
        <is>
          <t xml:space="preserve">WACC (final, clamped [5%,20%])</t>
        </is>
      </c>
      <c r="B7" s="5">
        <v>0.1000042158780718</v>
      </c>
      <c r="C7" s="5">
        <v>0.1000042158780718</v>
      </c>
      <c r="D7" s="10">
        <f>ABS(B7-C7)</f>
        <v>0.0</v>
      </c>
      <c r="E7" s="10">
        <f>D7</f>
        <v>0.0</v>
      </c>
      <c r="F7" s="10">
        <f>'Tolerances'!$B$5</f>
        <v>0.0005</v>
      </c>
      <c r="G7" s="15" t="str">
        <f>IF(D7&lt;=F7,"PASS","FAIL")</f>
        <v>PASS</v>
      </c>
      <c r="H7" t="inlineStr">
        <is>
          <t xml:space="preserve">DCF_MSFT!B21</t>
        </is>
      </c>
    </row>
    <row r="8">
      <c r="A8" t="inlineStr">
        <is>
          <t xml:space="preserve">FCF Year 1</t>
        </is>
      </c>
      <c r="B8" s="6">
        <v>130162813492.17007</v>
      </c>
      <c r="C8" s="6">
        <v>130162813492.17007</v>
      </c>
      <c r="D8" s="11">
        <f>ABS(B8-C8)</f>
        <v>0.0</v>
      </c>
      <c r="E8" s="10">
        <f>IF(C8=0,"n/a (zero denom)",D8/ABS(C8))</f>
        <v>0.0</v>
      </c>
      <c r="F8" s="10">
        <f>'Tolerances'!$B$6</f>
        <v>0.001</v>
      </c>
      <c r="G8" s="15" t="str">
        <f>IF(C8=0,IF(D8&lt;=0.000001,"PASS","FAIL"),IF(E8&lt;=F8,"PASS","FAIL"))</f>
        <v>PASS</v>
      </c>
      <c r="H8" t="inlineStr">
        <is>
          <t xml:space="preserve">DCF_MSFT!C31</t>
        </is>
      </c>
    </row>
    <row r="9">
      <c r="A9" t="inlineStr">
        <is>
          <t xml:space="preserve">FCF Year 2</t>
        </is>
      </c>
      <c r="B9" s="6">
        <v>148048677492.96033</v>
      </c>
      <c r="C9" s="6">
        <v>148048677492.96033</v>
      </c>
      <c r="D9" s="11">
        <f>ABS(B9-C9)</f>
        <v>0.0</v>
      </c>
      <c r="E9" s="10">
        <f>IF(C9=0,"n/a (zero denom)",D9/ABS(C9))</f>
        <v>0.0</v>
      </c>
      <c r="F9" s="10">
        <f>'Tolerances'!$B$6</f>
        <v>0.001</v>
      </c>
      <c r="G9" s="15" t="str">
        <f>IF(C9=0,IF(D9&lt;=0.000001,"PASS","FAIL"),IF(E9&lt;=F9,"PASS","FAIL"))</f>
        <v>PASS</v>
      </c>
      <c r="H9" t="inlineStr">
        <is>
          <t xml:space="preserve">DCF_MSFT!D31</t>
        </is>
      </c>
    </row>
    <row r="10">
      <c r="A10" t="inlineStr">
        <is>
          <t xml:space="preserve">FCF Year 3</t>
        </is>
      </c>
      <c r="B10" s="6">
        <v>168392264421.45926</v>
      </c>
      <c r="C10" s="6">
        <v>168392264421.45926</v>
      </c>
      <c r="D10" s="11">
        <f>ABS(B10-C10)</f>
        <v>0.0</v>
      </c>
      <c r="E10" s="10">
        <f>IF(C10=0,"n/a (zero denom)",D10/ABS(C10))</f>
        <v>0.0</v>
      </c>
      <c r="F10" s="10">
        <f>'Tolerances'!$B$6</f>
        <v>0.001</v>
      </c>
      <c r="G10" s="15" t="str">
        <f>IF(C10=0,IF(D10&lt;=0.000001,"PASS","FAIL"),IF(E10&lt;=F10,"PASS","FAIL"))</f>
        <v>PASS</v>
      </c>
      <c r="H10" t="inlineStr">
        <is>
          <t xml:space="preserve">DCF_MSFT!E31</t>
        </is>
      </c>
    </row>
    <row r="11">
      <c r="A11" t="inlineStr">
        <is>
          <t xml:space="preserve">FCF Year 4</t>
        </is>
      </c>
      <c r="B11" s="6">
        <v>191531293606.69208</v>
      </c>
      <c r="C11" s="6">
        <v>191531293606.69208</v>
      </c>
      <c r="D11" s="11">
        <f>ABS(B11-C11)</f>
        <v>0.0</v>
      </c>
      <c r="E11" s="10">
        <f>IF(C11=0,"n/a (zero denom)",D11/ABS(C11))</f>
        <v>0.0</v>
      </c>
      <c r="F11" s="10">
        <f>'Tolerances'!$B$6</f>
        <v>0.001</v>
      </c>
      <c r="G11" s="15" t="str">
        <f>IF(C11=0,IF(D11&lt;=0.000001,"PASS","FAIL"),IF(E11&lt;=F11,"PASS","FAIL"))</f>
        <v>PASS</v>
      </c>
      <c r="H11" t="inlineStr">
        <is>
          <t xml:space="preserve">DCF_MSFT!F31</t>
        </is>
      </c>
    </row>
    <row r="12">
      <c r="A12" t="inlineStr">
        <is>
          <t xml:space="preserve">FCF Year 5</t>
        </is>
      </c>
      <c r="B12" s="6">
        <v>217849890888.32507</v>
      </c>
      <c r="C12" s="6">
        <v>217849890888.32507</v>
      </c>
      <c r="D12" s="11">
        <f>ABS(B12-C12)</f>
        <v>0.0</v>
      </c>
      <c r="E12" s="10">
        <f>IF(C12=0,"n/a (zero denom)",D12/ABS(C12))</f>
        <v>0.0</v>
      </c>
      <c r="F12" s="10">
        <f>'Tolerances'!$B$6</f>
        <v>0.001</v>
      </c>
      <c r="G12" s="15" t="str">
        <f>IF(C12=0,IF(D12&lt;=0.000001,"PASS","FAIL"),IF(E12&lt;=F12,"PASS","FAIL"))</f>
        <v>PASS</v>
      </c>
      <c r="H12" t="inlineStr">
        <is>
          <t xml:space="preserve">DCF_MSFT!G31</t>
        </is>
      </c>
    </row>
    <row r="13">
      <c r="A13" t="inlineStr">
        <is>
          <t xml:space="preserve">Terminal Value</t>
        </is>
      </c>
      <c r="B13" s="6">
        <v>2977114493450.9736</v>
      </c>
      <c r="C13" s="6">
        <v>2977114493450.9736</v>
      </c>
      <c r="D13" s="11">
        <f>ABS(B13-C13)</f>
        <v>0.0</v>
      </c>
      <c r="E13" s="10">
        <f>IF(C13=0,"n/a (zero denom)",D13/ABS(C13))</f>
        <v>0.0</v>
      </c>
      <c r="F13" s="10">
        <f>'Tolerances'!$B$7</f>
        <v>0.002</v>
      </c>
      <c r="G13" s="15" t="str">
        <f>IF(C13=0,IF(D13&lt;=0.000001,"PASS","FAIL"),IF(E13&lt;=F13,"PASS","FAIL"))</f>
        <v>PASS</v>
      </c>
      <c r="H13" t="inlineStr">
        <is>
          <t xml:space="preserve">DCF_MSFT!B34</t>
        </is>
      </c>
    </row>
    <row r="14">
      <c r="A14" t="inlineStr">
        <is>
          <t xml:space="preserve">PV of Explicit FCF (sum of pv_fcf series)</t>
        </is>
      </c>
      <c r="B14" s="6">
        <v>633278359490.3066</v>
      </c>
      <c r="C14" s="6">
        <v>633278359490.3066</v>
      </c>
      <c r="D14" s="11">
        <f>ABS(B14-C14)</f>
        <v>0.0</v>
      </c>
      <c r="E14" s="10">
        <f>IF(C14=0,"n/a (zero denom)",D14/ABS(C14))</f>
        <v>0.0</v>
      </c>
      <c r="F14" s="10">
        <f>'Tolerances'!$B$8</f>
        <v>0.002</v>
      </c>
      <c r="G14" s="15" t="str">
        <f>IF(C14=0,IF(D14&lt;=0.000001,"PASS","FAIL"),IF(E14&lt;=F14,"PASS","FAIL"))</f>
        <v>PASS</v>
      </c>
      <c r="H14" t="inlineStr">
        <is>
          <t xml:space="preserve">DCF_MSFT!B39</t>
        </is>
      </c>
    </row>
    <row r="15">
      <c r="A15" t="inlineStr">
        <is>
          <t xml:space="preserve">PV of Terminal Value</t>
        </is>
      </c>
      <c r="B15" s="6">
        <v>1848518446589.798</v>
      </c>
      <c r="C15" s="6">
        <v>1848518446589.798</v>
      </c>
      <c r="D15" s="11">
        <f>ABS(B15-C15)</f>
        <v>0.0</v>
      </c>
      <c r="E15" s="10">
        <f>IF(C15=0,"n/a (zero denom)",D15/ABS(C15))</f>
        <v>0.0</v>
      </c>
      <c r="F15" s="10">
        <f>'Tolerances'!$B$9</f>
        <v>0.002</v>
      </c>
      <c r="G15" s="15" t="str">
        <f>IF(C15=0,IF(D15&lt;=0.000001,"PASS","FAIL"),IF(E15&lt;=F15,"PASS","FAIL"))</f>
        <v>PASS</v>
      </c>
      <c r="H15" t="inlineStr">
        <is>
          <t xml:space="preserve">DCF_MSFT!B40</t>
        </is>
      </c>
    </row>
    <row r="16">
      <c r="A16" t="inlineStr">
        <is>
          <t xml:space="preserve">Enterprise Value</t>
        </is>
      </c>
      <c r="B16" s="6">
        <v>2481796806080.1045</v>
      </c>
      <c r="C16" s="6">
        <v>2481796806080.1045</v>
      </c>
      <c r="D16" s="11">
        <f>ABS(B16-C16)</f>
        <v>0.0</v>
      </c>
      <c r="E16" s="10">
        <f>IF(C16=0,"n/a (zero denom)",D16/ABS(C16))</f>
        <v>0.0</v>
      </c>
      <c r="F16" s="10">
        <f>'Tolerances'!$B$10</f>
        <v>0.002</v>
      </c>
      <c r="G16" s="15" t="str">
        <f>IF(C16=0,IF(D16&lt;=0.000001,"PASS","FAIL"),IF(E16&lt;=F16,"PASS","FAIL"))</f>
        <v>PASS</v>
      </c>
      <c r="H16" t="inlineStr">
        <is>
          <t xml:space="preserve">DCF_MSFT!B41</t>
        </is>
      </c>
    </row>
    <row r="17">
      <c r="A17" t="inlineStr">
        <is>
          <t xml:space="preserve">Equity Value</t>
        </is>
      </c>
      <c r="B17" s="6">
        <v>2462437806080.1045</v>
      </c>
      <c r="C17" s="6">
        <v>2462437806080.1045</v>
      </c>
      <c r="D17" s="11">
        <f>ABS(B17-C17)</f>
        <v>0.0</v>
      </c>
      <c r="E17" s="10">
        <f>IF(C17=0,"n/a (zero denom)",D17/ABS(C17))</f>
        <v>0.0</v>
      </c>
      <c r="F17" s="10">
        <f>'Tolerances'!$B$11</f>
        <v>0.002</v>
      </c>
      <c r="G17" s="15" t="str">
        <f>IF(C17=0,IF(D17&lt;=0.000001,"PASS","FAIL"),IF(E17&lt;=F17,"PASS","FAIL"))</f>
        <v>PASS</v>
      </c>
      <c r="H17" t="inlineStr">
        <is>
          <t xml:space="preserve">DCF_MSFT!B42</t>
        </is>
      </c>
    </row>
    <row r="18">
      <c r="A18" t="inlineStr">
        <is>
          <t xml:space="preserve">Intrinsic Value per Share</t>
        </is>
      </c>
      <c r="B18" s="7">
        <v>331.61709251726467</v>
      </c>
      <c r="C18" s="7">
        <v>331.61709251726467</v>
      </c>
      <c r="D18" s="12">
        <f>ABS(B18-C18)</f>
        <v>0.0</v>
      </c>
      <c r="E18" s="10">
        <f>IF(C18=0,"n/a (zero denom)",D18/ABS(C18))</f>
        <v>0.0</v>
      </c>
      <c r="F18" s="10">
        <f>'Tolerances'!$B$12</f>
        <v>0.005</v>
      </c>
      <c r="G18" s="15" t="str">
        <f>IF(C18=0,IF(D18&lt;=0.000001,"PASS","FAIL"),IF(E18&lt;=F18,"PASS","FAIL"))</f>
        <v>PASS</v>
      </c>
      <c r="H18" t="inlineStr">
        <is>
          <t xml:space="preserve">DCF_MSFT!B43</t>
        </is>
      </c>
    </row>
    <row r="20">
      <c r="A20" s="3" t="inlineStr">
        <is>
          <t xml:space="preserve">Sensitivity reconciliation coverage (full per-cell detail: 'All Sensitivity Comparisons' sheet)</t>
        </is>
      </c>
    </row>
    <row r="21">
      <c r="A21" s="2" t="inlineStr">
        <is>
          <t xml:space="preserve">Table</t>
        </is>
      </c>
      <c r="B21" s="2" t="inlineStr">
        <is>
          <t xml:space="preserve">Scenario Rows</t>
        </is>
      </c>
      <c r="C21" s="2" t="inlineStr">
        <is>
          <t xml:space="preserve">Outputs / Row</t>
        </is>
      </c>
      <c r="D21" s="2" t="inlineStr">
        <is>
          <t xml:space="preserve">Scalar Comparisons</t>
        </is>
      </c>
      <c r="E21" s="2" t="inlineStr">
        <is>
          <t xml:space="preserve">All Pass</t>
        </is>
      </c>
    </row>
    <row r="22">
      <c r="A22" t="inlineStr">
        <is>
          <t xml:space="preserve">Table 1 -- WACC</t>
        </is>
      </c>
      <c r="B22" s="8">
        <v>7</v>
      </c>
      <c r="C22" s="8">
        <v>4</v>
      </c>
      <c r="D22" s="13">
        <f>B22*C22</f>
        <v>28</v>
      </c>
      <c r="E22" s="15" t="inlineStr">
        <is>
          <t xml:space="preserve">PASS</t>
        </is>
      </c>
    </row>
    <row r="23">
      <c r="A23" t="inlineStr">
        <is>
          <t xml:space="preserve">Table 2 -- Terminal growth</t>
        </is>
      </c>
      <c r="B23" s="8">
        <v>7</v>
      </c>
      <c r="C23" s="8">
        <v>4</v>
      </c>
      <c r="D23" s="13">
        <f>B23*C23</f>
        <v>28</v>
      </c>
      <c r="E23" s="15" t="inlineStr">
        <is>
          <t xml:space="preserve">PASS</t>
        </is>
      </c>
    </row>
    <row r="24">
      <c r="A24" t="inlineStr">
        <is>
          <t xml:space="preserve">Table 3 -- Revenue growth</t>
        </is>
      </c>
      <c r="B24" s="8">
        <v>8</v>
      </c>
      <c r="C24" s="8">
        <v>9</v>
      </c>
      <c r="D24" s="13">
        <f>B24*C24</f>
        <v>72</v>
      </c>
      <c r="E24" s="15" t="inlineStr">
        <is>
          <t xml:space="preserve">PASS</t>
        </is>
      </c>
    </row>
    <row r="25">
      <c r="A25" t="inlineStr">
        <is>
          <t xml:space="preserve">Table 4 -- Operating margin</t>
        </is>
      </c>
      <c r="B25" s="8">
        <v>7</v>
      </c>
      <c r="C25" s="8">
        <v>9</v>
      </c>
      <c r="D25" s="13">
        <f>B25*C25</f>
        <v>63</v>
      </c>
      <c r="E25" s="15" t="inlineStr">
        <is>
          <t xml:space="preserve">PASS</t>
        </is>
      </c>
    </row>
    <row r="26">
      <c r="A26" t="inlineStr">
        <is>
          <t xml:space="preserve">Table 5 -- WACC x g two-way grid</t>
        </is>
      </c>
      <c r="B26" s="8">
        <v>36</v>
      </c>
      <c r="C26" s="8">
        <v>1</v>
      </c>
      <c r="D26" s="13">
        <f>B26*C26</f>
        <v>36</v>
      </c>
      <c r="E26" s="15" t="inlineStr">
        <is>
          <t xml:space="preserve">PASS</t>
        </is>
      </c>
    </row>
    <row r="27">
      <c r="A27" s="18" t="inlineStr">
        <is>
          <t xml:space="preserve">TOTAL (this company)</t>
        </is>
      </c>
      <c r="D27" s="13">
        <f>SUM(D22:D26)</f>
        <v>227</v>
      </c>
    </row>
  </sheetData>
</worksheet>
</file>

<file path=xl/worksheets/sheet5.xml><?xml version="1.0" encoding="utf-8"?>
<worksheet xmlns="http://schemas.openxmlformats.org/spreadsheetml/2006/main">
  <dimension ref="A1:H27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width="32" customWidth="1"/>
    <col min="2" max="2" width="16" customWidth="1"/>
    <col min="3" max="3" width="16" customWidth="1"/>
    <col min="4" max="4" width="14" customWidth="1"/>
    <col min="5" max="5" width="12" customWidth="1"/>
    <col min="6" max="6" width="12" customWidth="1"/>
    <col min="7" max="7" width="10" customWidth="1"/>
    <col min="8" max="8" width="30" customWidth="1"/>
  </cols>
  <sheetData>
    <row r="1">
      <c r="A1" s="1" t="inlineStr">
        <is>
          <t xml:space="preserve">Detailed base-case reconciliation -- CAT (Caterpillar Inc.)</t>
        </is>
      </c>
    </row>
    <row r="2">
      <c r="A2" s="18" t="inlineStr">
        <is>
          <t xml:space="preserve">All metrics within tolerance.</t>
        </is>
      </c>
    </row>
    <row r="4">
      <c r="A4" s="2" t="inlineStr">
        <is>
          <t xml:space="preserve">Metric</t>
        </is>
      </c>
      <c r="B4" s="2" t="inlineStr">
        <is>
          <t xml:space="preserve">Codebase Output</t>
        </is>
      </c>
      <c r="C4" s="2" t="inlineStr">
        <is>
          <t xml:space="preserve">Workbook Output</t>
        </is>
      </c>
      <c r="D4" s="2" t="inlineStr">
        <is>
          <t xml:space="preserve">Absolute Difference</t>
        </is>
      </c>
      <c r="E4" s="2" t="inlineStr">
        <is>
          <t xml:space="preserve">Relative/pp Difference</t>
        </is>
      </c>
      <c r="F4" s="2" t="inlineStr">
        <is>
          <t xml:space="preserve">Tolerance</t>
        </is>
      </c>
      <c r="G4" s="2" t="inlineStr">
        <is>
          <t xml:space="preserve">PASS/FAIL</t>
        </is>
      </c>
      <c r="H4" s="2" t="inlineStr">
        <is>
          <t xml:space="preserve">Workbook Cell</t>
        </is>
      </c>
    </row>
    <row r="5">
      <c r="A5" t="inlineStr">
        <is>
          <t xml:space="preserve">Historical Revenue CAGR</t>
        </is>
      </c>
      <c r="B5" s="5">
        <v>0.073095112192894</v>
      </c>
      <c r="C5" s="5">
        <v>0.073095112192894</v>
      </c>
      <c r="D5" s="10">
        <f>ABS(B5-C5)</f>
        <v>0.0</v>
      </c>
      <c r="E5" s="10">
        <f>D5</f>
        <v>0.0</v>
      </c>
      <c r="F5" s="10">
        <f>'Tolerances'!$B$3</f>
        <v>0.0001</v>
      </c>
      <c r="G5" s="15" t="str">
        <f>IF(D5&lt;=F5,"PASS","FAIL")</f>
        <v>PASS</v>
      </c>
      <c r="H5" t="inlineStr">
        <is>
          <t xml:space="preserve">DCF_CAT!B9</t>
        </is>
      </c>
    </row>
    <row r="6">
      <c r="A6" t="inlineStr">
        <is>
          <t xml:space="preserve">Historical average Operating Margin</t>
        </is>
      </c>
      <c r="B6" s="5">
        <v>0.1655950160952213</v>
      </c>
      <c r="C6" s="5">
        <v>0.1655950160952213</v>
      </c>
      <c r="D6" s="10">
        <f>ABS(B6-C6)</f>
        <v>0.0</v>
      </c>
      <c r="E6" s="10">
        <f>D6</f>
        <v>0.0</v>
      </c>
      <c r="F6" s="10">
        <f>'Tolerances'!$B$4</f>
        <v>0.0001</v>
      </c>
      <c r="G6" s="15" t="str">
        <f>IF(D6&lt;=F6,"PASS","FAIL")</f>
        <v>PASS</v>
      </c>
      <c r="H6" t="inlineStr">
        <is>
          <t xml:space="preserve">DCF_CAT!B10</t>
        </is>
      </c>
    </row>
    <row r="7">
      <c r="A7" t="inlineStr">
        <is>
          <t xml:space="preserve">WACC (final, clamped [5%,20%])</t>
        </is>
      </c>
      <c r="B7" s="5">
        <v>0.12095875169517725</v>
      </c>
      <c r="C7" s="5">
        <v>0.12095875169517725</v>
      </c>
      <c r="D7" s="10">
        <f>ABS(B7-C7)</f>
        <v>0.0</v>
      </c>
      <c r="E7" s="10">
        <f>D7</f>
        <v>0.0</v>
      </c>
      <c r="F7" s="10">
        <f>'Tolerances'!$B$5</f>
        <v>0.0005</v>
      </c>
      <c r="G7" s="15" t="str">
        <f>IF(D7&lt;=F7,"PASS","FAIL")</f>
        <v>PASS</v>
      </c>
      <c r="H7" t="inlineStr">
        <is>
          <t xml:space="preserve">DCF_CAT!B21</t>
        </is>
      </c>
    </row>
    <row r="8">
      <c r="A8" t="inlineStr">
        <is>
          <t xml:space="preserve">FCF Year 1</t>
        </is>
      </c>
      <c r="B8" s="6">
        <v>8355205000.088836</v>
      </c>
      <c r="C8" s="6">
        <v>8355205000.088836</v>
      </c>
      <c r="D8" s="11">
        <f>ABS(B8-C8)</f>
        <v>0.0</v>
      </c>
      <c r="E8" s="10">
        <f>IF(C8=0,"n/a (zero denom)",D8/ABS(C8))</f>
        <v>0.0</v>
      </c>
      <c r="F8" s="10">
        <f>'Tolerances'!$B$6</f>
        <v>0.001</v>
      </c>
      <c r="G8" s="15" t="str">
        <f>IF(C8=0,IF(D8&lt;=0.000001,"PASS","FAIL"),IF(E8&lt;=F8,"PASS","FAIL"))</f>
        <v>PASS</v>
      </c>
      <c r="H8" t="inlineStr">
        <is>
          <t xml:space="preserve">DCF_CAT!C31</t>
        </is>
      </c>
    </row>
    <row r="9">
      <c r="A9" t="inlineStr">
        <is>
          <t xml:space="preserve">FCF Year 2</t>
        </is>
      </c>
      <c r="B9" s="6">
        <v>8965929646.96496</v>
      </c>
      <c r="C9" s="6">
        <v>8965929646.96496</v>
      </c>
      <c r="D9" s="11">
        <f>ABS(B9-C9)</f>
        <v>0.0</v>
      </c>
      <c r="E9" s="10">
        <f>IF(C9=0,"n/a (zero denom)",D9/ABS(C9))</f>
        <v>0.0</v>
      </c>
      <c r="F9" s="10">
        <f>'Tolerances'!$B$6</f>
        <v>0.001</v>
      </c>
      <c r="G9" s="15" t="str">
        <f>IF(C9=0,IF(D9&lt;=0.000001,"PASS","FAIL"),IF(E9&lt;=F9,"PASS","FAIL"))</f>
        <v>PASS</v>
      </c>
      <c r="H9" t="inlineStr">
        <is>
          <t xml:space="preserve">DCF_CAT!D31</t>
        </is>
      </c>
    </row>
    <row r="10">
      <c r="A10" t="inlineStr">
        <is>
          <t xml:space="preserve">FCF Year 3</t>
        </is>
      </c>
      <c r="B10" s="6">
        <v>9621295280.423456</v>
      </c>
      <c r="C10" s="6">
        <v>9621295280.423456</v>
      </c>
      <c r="D10" s="11">
        <f>ABS(B10-C10)</f>
        <v>0.0</v>
      </c>
      <c r="E10" s="10">
        <f>IF(C10=0,"n/a (zero denom)",D10/ABS(C10))</f>
        <v>0.0</v>
      </c>
      <c r="F10" s="10">
        <f>'Tolerances'!$B$6</f>
        <v>0.001</v>
      </c>
      <c r="G10" s="15" t="str">
        <f>IF(C10=0,IF(D10&lt;=0.000001,"PASS","FAIL"),IF(E10&lt;=F10,"PASS","FAIL"))</f>
        <v>PASS</v>
      </c>
      <c r="H10" t="inlineStr">
        <is>
          <t xml:space="preserve">DCF_CAT!E31</t>
        </is>
      </c>
    </row>
    <row r="11">
      <c r="A11" t="inlineStr">
        <is>
          <t xml:space="preserve">FCF Year 4</t>
        </is>
      </c>
      <c r="B11" s="6">
        <v>10324564938.386972</v>
      </c>
      <c r="C11" s="6">
        <v>10324564938.386972</v>
      </c>
      <c r="D11" s="11">
        <f>ABS(B11-C11)</f>
        <v>0.0</v>
      </c>
      <c r="E11" s="10">
        <f>IF(C11=0,"n/a (zero denom)",D11/ABS(C11))</f>
        <v>0.0</v>
      </c>
      <c r="F11" s="10">
        <f>'Tolerances'!$B$6</f>
        <v>0.001</v>
      </c>
      <c r="G11" s="15" t="str">
        <f>IF(C11=0,IF(D11&lt;=0.000001,"PASS","FAIL"),IF(E11&lt;=F11,"PASS","FAIL"))</f>
        <v>PASS</v>
      </c>
      <c r="H11" t="inlineStr">
        <is>
          <t xml:space="preserve">DCF_CAT!F31</t>
        </is>
      </c>
    </row>
    <row r="12">
      <c r="A12" t="inlineStr">
        <is>
          <t xml:space="preserve">FCF Year 5</t>
        </is>
      </c>
      <c r="B12" s="6">
        <v>11079240170.901186</v>
      </c>
      <c r="C12" s="6">
        <v>11079240170.901186</v>
      </c>
      <c r="D12" s="11">
        <f>ABS(B12-C12)</f>
        <v>0.0</v>
      </c>
      <c r="E12" s="10">
        <f>IF(C12=0,"n/a (zero denom)",D12/ABS(C12))</f>
        <v>0.0</v>
      </c>
      <c r="F12" s="10">
        <f>'Tolerances'!$B$6</f>
        <v>0.001</v>
      </c>
      <c r="G12" s="15" t="str">
        <f>IF(C12=0,IF(D12&lt;=0.000001,"PASS","FAIL"),IF(E12&lt;=F12,"PASS","FAIL"))</f>
        <v>PASS</v>
      </c>
      <c r="H12" t="inlineStr">
        <is>
          <t xml:space="preserve">DCF_CAT!G31</t>
        </is>
      </c>
    </row>
    <row r="13">
      <c r="A13" t="inlineStr">
        <is>
          <t xml:space="preserve">Terminal Value</t>
        </is>
      </c>
      <c r="B13" s="6">
        <v>118344819774.72891</v>
      </c>
      <c r="C13" s="6">
        <v>118344819774.72891</v>
      </c>
      <c r="D13" s="11">
        <f>ABS(B13-C13)</f>
        <v>0.0</v>
      </c>
      <c r="E13" s="10">
        <f>IF(C13=0,"n/a (zero denom)",D13/ABS(C13))</f>
        <v>0.0</v>
      </c>
      <c r="F13" s="10">
        <f>'Tolerances'!$B$7</f>
        <v>0.002</v>
      </c>
      <c r="G13" s="15" t="str">
        <f>IF(C13=0,IF(D13&lt;=0.000001,"PASS","FAIL"),IF(E13&lt;=F13,"PASS","FAIL"))</f>
        <v>PASS</v>
      </c>
      <c r="H13" t="inlineStr">
        <is>
          <t xml:space="preserve">DCF_CAT!B34</t>
        </is>
      </c>
    </row>
    <row r="14">
      <c r="A14" t="inlineStr">
        <is>
          <t xml:space="preserve">PV of Explicit FCF (sum of pv_fcf series)</t>
        </is>
      </c>
      <c r="B14" s="6">
        <v>34218526042.022396</v>
      </c>
      <c r="C14" s="6">
        <v>34218526042.022396</v>
      </c>
      <c r="D14" s="11">
        <f>ABS(B14-C14)</f>
        <v>0.0</v>
      </c>
      <c r="E14" s="10">
        <f>IF(C14=0,"n/a (zero denom)",D14/ABS(C14))</f>
        <v>0.0</v>
      </c>
      <c r="F14" s="10">
        <f>'Tolerances'!$B$8</f>
        <v>0.002</v>
      </c>
      <c r="G14" s="15" t="str">
        <f>IF(C14=0,IF(D14&lt;=0.000001,"PASS","FAIL"),IF(E14&lt;=F14,"PASS","FAIL"))</f>
        <v>PASS</v>
      </c>
      <c r="H14" t="inlineStr">
        <is>
          <t xml:space="preserve">DCF_CAT!B39</t>
        </is>
      </c>
    </row>
    <row r="15">
      <c r="A15" t="inlineStr">
        <is>
          <t xml:space="preserve">PV of Terminal Value</t>
        </is>
      </c>
      <c r="B15" s="6">
        <v>66865345437.2181</v>
      </c>
      <c r="C15" s="6">
        <v>66865345437.2181</v>
      </c>
      <c r="D15" s="11">
        <f>ABS(B15-C15)</f>
        <v>0.0</v>
      </c>
      <c r="E15" s="10">
        <f>IF(C15=0,"n/a (zero denom)",D15/ABS(C15))</f>
        <v>0.0</v>
      </c>
      <c r="F15" s="10">
        <f>'Tolerances'!$B$9</f>
        <v>0.002</v>
      </c>
      <c r="G15" s="15" t="str">
        <f>IF(C15=0,IF(D15&lt;=0.000001,"PASS","FAIL"),IF(E15&lt;=F15,"PASS","FAIL"))</f>
        <v>PASS</v>
      </c>
      <c r="H15" t="inlineStr">
        <is>
          <t xml:space="preserve">DCF_CAT!B40</t>
        </is>
      </c>
    </row>
    <row r="16">
      <c r="A16" t="inlineStr">
        <is>
          <t xml:space="preserve">Enterprise Value</t>
        </is>
      </c>
      <c r="B16" s="6">
        <v>101083871479.2405</v>
      </c>
      <c r="C16" s="6">
        <v>101083871479.2405</v>
      </c>
      <c r="D16" s="11">
        <f>ABS(B16-C16)</f>
        <v>0.0</v>
      </c>
      <c r="E16" s="10">
        <f>IF(C16=0,"n/a (zero denom)",D16/ABS(C16))</f>
        <v>0.0</v>
      </c>
      <c r="F16" s="10">
        <f>'Tolerances'!$B$10</f>
        <v>0.002</v>
      </c>
      <c r="G16" s="15" t="str">
        <f>IF(C16=0,IF(D16&lt;=0.000001,"PASS","FAIL"),IF(E16&lt;=F16,"PASS","FAIL"))</f>
        <v>PASS</v>
      </c>
      <c r="H16" t="inlineStr">
        <is>
          <t xml:space="preserve">DCF_CAT!B41</t>
        </is>
      </c>
    </row>
    <row r="17">
      <c r="A17" t="inlineStr">
        <is>
          <t xml:space="preserve">Equity Value</t>
        </is>
      </c>
      <c r="B17" s="6">
        <v>74853871479.2405</v>
      </c>
      <c r="C17" s="6">
        <v>74853871479.2405</v>
      </c>
      <c r="D17" s="11">
        <f>ABS(B17-C17)</f>
        <v>0.0</v>
      </c>
      <c r="E17" s="10">
        <f>IF(C17=0,"n/a (zero denom)",D17/ABS(C17))</f>
        <v>0.0</v>
      </c>
      <c r="F17" s="10">
        <f>'Tolerances'!$B$11</f>
        <v>0.002</v>
      </c>
      <c r="G17" s="15" t="str">
        <f>IF(C17=0,IF(D17&lt;=0.000001,"PASS","FAIL"),IF(E17&lt;=F17,"PASS","FAIL"))</f>
        <v>PASS</v>
      </c>
      <c r="H17" t="inlineStr">
        <is>
          <t xml:space="preserve">DCF_CAT!B42</t>
        </is>
      </c>
    </row>
    <row r="18">
      <c r="A18" t="inlineStr">
        <is>
          <t xml:space="preserve">Intrinsic Value per Share</t>
        </is>
      </c>
      <c r="B18" s="7">
        <v>162.84089749188038</v>
      </c>
      <c r="C18" s="7">
        <v>162.84089749188038</v>
      </c>
      <c r="D18" s="12">
        <f>ABS(B18-C18)</f>
        <v>0.0</v>
      </c>
      <c r="E18" s="10">
        <f>IF(C18=0,"n/a (zero denom)",D18/ABS(C18))</f>
        <v>0.0</v>
      </c>
      <c r="F18" s="10">
        <f>'Tolerances'!$B$12</f>
        <v>0.005</v>
      </c>
      <c r="G18" s="15" t="str">
        <f>IF(C18=0,IF(D18&lt;=0.000001,"PASS","FAIL"),IF(E18&lt;=F18,"PASS","FAIL"))</f>
        <v>PASS</v>
      </c>
      <c r="H18" t="inlineStr">
        <is>
          <t xml:space="preserve">DCF_CAT!B43</t>
        </is>
      </c>
    </row>
    <row r="20">
      <c r="A20" s="3" t="inlineStr">
        <is>
          <t xml:space="preserve">Sensitivity reconciliation coverage (full per-cell detail: 'All Sensitivity Comparisons' sheet)</t>
        </is>
      </c>
    </row>
    <row r="21">
      <c r="A21" s="2" t="inlineStr">
        <is>
          <t xml:space="preserve">Table</t>
        </is>
      </c>
      <c r="B21" s="2" t="inlineStr">
        <is>
          <t xml:space="preserve">Scenario Rows</t>
        </is>
      </c>
      <c r="C21" s="2" t="inlineStr">
        <is>
          <t xml:space="preserve">Outputs / Row</t>
        </is>
      </c>
      <c r="D21" s="2" t="inlineStr">
        <is>
          <t xml:space="preserve">Scalar Comparisons</t>
        </is>
      </c>
      <c r="E21" s="2" t="inlineStr">
        <is>
          <t xml:space="preserve">All Pass</t>
        </is>
      </c>
    </row>
    <row r="22">
      <c r="A22" t="inlineStr">
        <is>
          <t xml:space="preserve">Table 1 -- WACC</t>
        </is>
      </c>
      <c r="B22" s="8">
        <v>7</v>
      </c>
      <c r="C22" s="8">
        <v>4</v>
      </c>
      <c r="D22" s="13">
        <f>B22*C22</f>
        <v>28</v>
      </c>
      <c r="E22" s="15" t="inlineStr">
        <is>
          <t xml:space="preserve">PASS</t>
        </is>
      </c>
    </row>
    <row r="23">
      <c r="A23" t="inlineStr">
        <is>
          <t xml:space="preserve">Table 2 -- Terminal growth</t>
        </is>
      </c>
      <c r="B23" s="8">
        <v>7</v>
      </c>
      <c r="C23" s="8">
        <v>4</v>
      </c>
      <c r="D23" s="13">
        <f>B23*C23</f>
        <v>28</v>
      </c>
      <c r="E23" s="15" t="inlineStr">
        <is>
          <t xml:space="preserve">PASS</t>
        </is>
      </c>
    </row>
    <row r="24">
      <c r="A24" t="inlineStr">
        <is>
          <t xml:space="preserve">Table 3 -- Revenue growth</t>
        </is>
      </c>
      <c r="B24" s="8">
        <v>8</v>
      </c>
      <c r="C24" s="8">
        <v>9</v>
      </c>
      <c r="D24" s="13">
        <f>B24*C24</f>
        <v>72</v>
      </c>
      <c r="E24" s="15" t="inlineStr">
        <is>
          <t xml:space="preserve">PASS</t>
        </is>
      </c>
    </row>
    <row r="25">
      <c r="A25" t="inlineStr">
        <is>
          <t xml:space="preserve">Table 4 -- Operating margin</t>
        </is>
      </c>
      <c r="B25" s="8">
        <v>7</v>
      </c>
      <c r="C25" s="8">
        <v>9</v>
      </c>
      <c r="D25" s="13">
        <f>B25*C25</f>
        <v>63</v>
      </c>
      <c r="E25" s="15" t="inlineStr">
        <is>
          <t xml:space="preserve">PASS</t>
        </is>
      </c>
    </row>
    <row r="26">
      <c r="A26" t="inlineStr">
        <is>
          <t xml:space="preserve">Table 5 -- WACC x g two-way grid</t>
        </is>
      </c>
      <c r="B26" s="8">
        <v>36</v>
      </c>
      <c r="C26" s="8">
        <v>1</v>
      </c>
      <c r="D26" s="13">
        <f>B26*C26</f>
        <v>36</v>
      </c>
      <c r="E26" s="15" t="inlineStr">
        <is>
          <t xml:space="preserve">PASS</t>
        </is>
      </c>
    </row>
    <row r="27">
      <c r="A27" s="18" t="inlineStr">
        <is>
          <t xml:space="preserve">TOTAL (this company)</t>
        </is>
      </c>
      <c r="D27" s="13">
        <f>SUM(D22:D26)</f>
        <v>227</v>
      </c>
    </row>
  </sheetData>
</worksheet>
</file>

<file path=xl/worksheets/sheet6.xml><?xml version="1.0" encoding="utf-8"?>
<worksheet xmlns="http://schemas.openxmlformats.org/spreadsheetml/2006/main">
  <dimension ref="A1:H27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width="32" customWidth="1"/>
    <col min="2" max="2" width="16" customWidth="1"/>
    <col min="3" max="3" width="16" customWidth="1"/>
    <col min="4" max="4" width="14" customWidth="1"/>
    <col min="5" max="5" width="12" customWidth="1"/>
    <col min="6" max="6" width="12" customWidth="1"/>
    <col min="7" max="7" width="10" customWidth="1"/>
    <col min="8" max="8" width="30" customWidth="1"/>
  </cols>
  <sheetData>
    <row r="1">
      <c r="A1" s="1" t="inlineStr">
        <is>
          <t xml:space="preserve">Detailed base-case reconciliation -- INTC (Intel Corporation)</t>
        </is>
      </c>
    </row>
    <row r="2">
      <c r="A2" s="18" t="inlineStr">
        <is>
          <t xml:space="preserve">All metrics within tolerance.</t>
        </is>
      </c>
    </row>
    <row r="4">
      <c r="A4" s="2" t="inlineStr">
        <is>
          <t xml:space="preserve">Metric</t>
        </is>
      </c>
      <c r="B4" s="2" t="inlineStr">
        <is>
          <t xml:space="preserve">Codebase Output</t>
        </is>
      </c>
      <c r="C4" s="2" t="inlineStr">
        <is>
          <t xml:space="preserve">Workbook Output</t>
        </is>
      </c>
      <c r="D4" s="2" t="inlineStr">
        <is>
          <t xml:space="preserve">Absolute Difference</t>
        </is>
      </c>
      <c r="E4" s="2" t="inlineStr">
        <is>
          <t xml:space="preserve">Relative/pp Difference</t>
        </is>
      </c>
      <c r="F4" s="2" t="inlineStr">
        <is>
          <t xml:space="preserve">Tolerance</t>
        </is>
      </c>
      <c r="G4" s="2" t="inlineStr">
        <is>
          <t xml:space="preserve">PASS/FAIL</t>
        </is>
      </c>
      <c r="H4" s="2" t="inlineStr">
        <is>
          <t xml:space="preserve">Workbook Cell</t>
        </is>
      </c>
    </row>
    <row r="5">
      <c r="A5" t="inlineStr">
        <is>
          <t xml:space="preserve">Historical Revenue CAGR</t>
        </is>
      </c>
      <c r="B5" s="5">
        <v>-0.09554417293826767</v>
      </c>
      <c r="C5" s="5">
        <v>-0.09554417293826767</v>
      </c>
      <c r="D5" s="10">
        <f>ABS(B5-C5)</f>
        <v>0.0</v>
      </c>
      <c r="E5" s="10">
        <f>D5</f>
        <v>0.0</v>
      </c>
      <c r="F5" s="10">
        <f>'Tolerances'!$B$3</f>
        <v>0.0001</v>
      </c>
      <c r="G5" s="15" t="str">
        <f>IF(D5&lt;=F5,"PASS","FAIL")</f>
        <v>PASS</v>
      </c>
      <c r="H5" t="inlineStr">
        <is>
          <t xml:space="preserve">DCF_INTC!B9</t>
        </is>
      </c>
    </row>
    <row r="6">
      <c r="A6" t="inlineStr">
        <is>
          <t xml:space="preserve">Historical average Operating Margin</t>
        </is>
      </c>
      <c r="B6" s="5">
        <v>0.004624851749122934</v>
      </c>
      <c r="C6" s="5">
        <v>0.004624851749122934</v>
      </c>
      <c r="D6" s="10">
        <f>ABS(B6-C6)</f>
        <v>0.0</v>
      </c>
      <c r="E6" s="10">
        <f>D6</f>
        <v>0.0</v>
      </c>
      <c r="F6" s="10">
        <f>'Tolerances'!$B$4</f>
        <v>0.0001</v>
      </c>
      <c r="G6" s="15" t="str">
        <f>IF(D6&lt;=F6,"PASS","FAIL")</f>
        <v>PASS</v>
      </c>
      <c r="H6" t="inlineStr">
        <is>
          <t xml:space="preserve">DCF_INTC!B10</t>
        </is>
      </c>
    </row>
    <row r="7">
      <c r="A7" t="inlineStr">
        <is>
          <t xml:space="preserve">WACC (final, clamped [5%,20%])</t>
        </is>
      </c>
      <c r="B7" s="5">
        <v>0.15054644593281</v>
      </c>
      <c r="C7" s="5">
        <v>0.15054644593281</v>
      </c>
      <c r="D7" s="10">
        <f>ABS(B7-C7)</f>
        <v>0.0</v>
      </c>
      <c r="E7" s="10">
        <f>D7</f>
        <v>0.0</v>
      </c>
      <c r="F7" s="10">
        <f>'Tolerances'!$B$5</f>
        <v>0.0005</v>
      </c>
      <c r="G7" s="15" t="str">
        <f>IF(D7&lt;=F7,"PASS","FAIL")</f>
        <v>PASS</v>
      </c>
      <c r="H7" t="inlineStr">
        <is>
          <t xml:space="preserve">DCF_INTC!B21</t>
        </is>
      </c>
    </row>
    <row r="8">
      <c r="A8" t="inlineStr">
        <is>
          <t xml:space="preserve">FCF Year 1</t>
        </is>
      </c>
      <c r="B8" s="6">
        <v>-423842264.73515886</v>
      </c>
      <c r="C8" s="6">
        <v>-423842264.73515886</v>
      </c>
      <c r="D8" s="11">
        <f>ABS(B8-C8)</f>
        <v>0.0</v>
      </c>
      <c r="E8" s="10">
        <f>IF(C8=0,"n/a (zero denom)",D8/ABS(C8))</f>
        <v>0.0</v>
      </c>
      <c r="F8" s="10">
        <f>'Tolerances'!$B$6</f>
        <v>0.001</v>
      </c>
      <c r="G8" s="15" t="str">
        <f>IF(C8=0,IF(D8&lt;=0.000001,"PASS","FAIL"),IF(E8&lt;=F8,"PASS","FAIL"))</f>
        <v>PASS</v>
      </c>
      <c r="H8" t="inlineStr">
        <is>
          <t xml:space="preserve">DCF_INTC!C31</t>
        </is>
      </c>
    </row>
    <row r="9">
      <c r="A9" t="inlineStr">
        <is>
          <t xml:space="preserve">FCF Year 2</t>
        </is>
      </c>
      <c r="B9" s="6">
        <v>-383346606.09475577</v>
      </c>
      <c r="C9" s="6">
        <v>-383346606.09475577</v>
      </c>
      <c r="D9" s="11">
        <f>ABS(B9-C9)</f>
        <v>0.0</v>
      </c>
      <c r="E9" s="10">
        <f>IF(C9=0,"n/a (zero denom)",D9/ABS(C9))</f>
        <v>0.0</v>
      </c>
      <c r="F9" s="10">
        <f>'Tolerances'!$B$6</f>
        <v>0.001</v>
      </c>
      <c r="G9" s="15" t="str">
        <f>IF(C9=0,IF(D9&lt;=0.000001,"PASS","FAIL"),IF(E9&lt;=F9,"PASS","FAIL"))</f>
        <v>PASS</v>
      </c>
      <c r="H9" t="inlineStr">
        <is>
          <t xml:space="preserve">DCF_INTC!D31</t>
        </is>
      </c>
    </row>
    <row r="10">
      <c r="A10" t="inlineStr">
        <is>
          <t xml:space="preserve">FCF Year 3</t>
        </is>
      </c>
      <c r="B10" s="6">
        <v>-346720071.6667405</v>
      </c>
      <c r="C10" s="6">
        <v>-346720071.6667405</v>
      </c>
      <c r="D10" s="11">
        <f>ABS(B10-C10)</f>
        <v>0.0</v>
      </c>
      <c r="E10" s="10">
        <f>IF(C10=0,"n/a (zero denom)",D10/ABS(C10))</f>
        <v>0.0</v>
      </c>
      <c r="F10" s="10">
        <f>'Tolerances'!$B$6</f>
        <v>0.001</v>
      </c>
      <c r="G10" s="15" t="str">
        <f>IF(C10=0,IF(D10&lt;=0.000001,"PASS","FAIL"),IF(E10&lt;=F10,"PASS","FAIL"))</f>
        <v>PASS</v>
      </c>
      <c r="H10" t="inlineStr">
        <is>
          <t xml:space="preserve">DCF_INTC!E31</t>
        </is>
      </c>
    </row>
    <row r="11">
      <c r="A11" t="inlineStr">
        <is>
          <t xml:space="preserve">FCF Year 4</t>
        </is>
      </c>
      <c r="B11" s="6">
        <v>-313592989.17824495</v>
      </c>
      <c r="C11" s="6">
        <v>-313592989.17824495</v>
      </c>
      <c r="D11" s="11">
        <f>ABS(B11-C11)</f>
        <v>0.0</v>
      </c>
      <c r="E11" s="10">
        <f>IF(C11=0,"n/a (zero denom)",D11/ABS(C11))</f>
        <v>0.0</v>
      </c>
      <c r="F11" s="10">
        <f>'Tolerances'!$B$6</f>
        <v>0.001</v>
      </c>
      <c r="G11" s="15" t="str">
        <f>IF(C11=0,IF(D11&lt;=0.000001,"PASS","FAIL"),IF(E11&lt;=F11,"PASS","FAIL"))</f>
        <v>PASS</v>
      </c>
      <c r="H11" t="inlineStr">
        <is>
          <t xml:space="preserve">DCF_INTC!F31</t>
        </is>
      </c>
    </row>
    <row r="12">
      <c r="A12" t="inlineStr">
        <is>
          <t xml:space="preserve">FCF Year 5</t>
        </is>
      </c>
      <c r="B12" s="6">
        <v>-283631006.38797045</v>
      </c>
      <c r="C12" s="6">
        <v>-283631006.38797045</v>
      </c>
      <c r="D12" s="11">
        <f>ABS(B12-C12)</f>
        <v>0.0</v>
      </c>
      <c r="E12" s="10">
        <f>IF(C12=0,"n/a (zero denom)",D12/ABS(C12))</f>
        <v>0.0</v>
      </c>
      <c r="F12" s="10">
        <f>'Tolerances'!$B$6</f>
        <v>0.001</v>
      </c>
      <c r="G12" s="15" t="str">
        <f>IF(C12=0,IF(D12&lt;=0.000001,"PASS","FAIL"),IF(E12&lt;=F12,"PASS","FAIL"))</f>
        <v>PASS</v>
      </c>
      <c r="H12" t="inlineStr">
        <is>
          <t xml:space="preserve">DCF_INTC!G31</t>
        </is>
      </c>
    </row>
    <row r="13">
      <c r="A13" t="inlineStr">
        <is>
          <t xml:space="preserve">Terminal Value</t>
        </is>
      </c>
      <c r="B13" s="6">
        <v>-2315651226.8237233</v>
      </c>
      <c r="C13" s="6">
        <v>-2315651226.8237233</v>
      </c>
      <c r="D13" s="11">
        <f>ABS(B13-C13)</f>
        <v>0.0</v>
      </c>
      <c r="E13" s="10">
        <f>IF(C13=0,"n/a (zero denom)",D13/ABS(C13))</f>
        <v>0.0</v>
      </c>
      <c r="F13" s="10">
        <f>'Tolerances'!$B$7</f>
        <v>0.002</v>
      </c>
      <c r="G13" s="15" t="str">
        <f>IF(C13=0,IF(D13&lt;=0.000001,"PASS","FAIL"),IF(E13&lt;=F13,"PASS","FAIL"))</f>
        <v>PASS</v>
      </c>
      <c r="H13" t="inlineStr">
        <is>
          <t xml:space="preserve">DCF_INTC!B34</t>
        </is>
      </c>
    </row>
    <row r="14">
      <c r="A14" t="inlineStr">
        <is>
          <t xml:space="preserve">PV of Explicit FCF (sum of pv_fcf series)</t>
        </is>
      </c>
      <c r="B14" s="6">
        <v>-1205260295.0809765</v>
      </c>
      <c r="C14" s="6">
        <v>-1205260295.0809765</v>
      </c>
      <c r="D14" s="11">
        <f>ABS(B14-C14)</f>
        <v>0.0</v>
      </c>
      <c r="E14" s="10">
        <f>IF(C14=0,"n/a (zero denom)",D14/ABS(C14))</f>
        <v>0.0</v>
      </c>
      <c r="F14" s="10">
        <f>'Tolerances'!$B$8</f>
        <v>0.002</v>
      </c>
      <c r="G14" s="15" t="str">
        <f>IF(C14=0,IF(D14&lt;=0.000001,"PASS","FAIL"),IF(E14&lt;=F14,"PASS","FAIL"))</f>
        <v>PASS</v>
      </c>
      <c r="H14" t="inlineStr">
        <is>
          <t xml:space="preserve">DCF_INTC!B39</t>
        </is>
      </c>
    </row>
    <row r="15">
      <c r="A15" t="inlineStr">
        <is>
          <t xml:space="preserve">PV of Terminal Value</t>
        </is>
      </c>
      <c r="B15" s="6">
        <v>-1148556522.3441927</v>
      </c>
      <c r="C15" s="6">
        <v>-1148556522.3441927</v>
      </c>
      <c r="D15" s="11">
        <f>ABS(B15-C15)</f>
        <v>0.0</v>
      </c>
      <c r="E15" s="10">
        <f>IF(C15=0,"n/a (zero denom)",D15/ABS(C15))</f>
        <v>0.0</v>
      </c>
      <c r="F15" s="10">
        <f>'Tolerances'!$B$9</f>
        <v>0.002</v>
      </c>
      <c r="G15" s="15" t="str">
        <f>IF(C15=0,IF(D15&lt;=0.000001,"PASS","FAIL"),IF(E15&lt;=F15,"PASS","FAIL"))</f>
        <v>PASS</v>
      </c>
      <c r="H15" t="inlineStr">
        <is>
          <t xml:space="preserve">DCF_INTC!B40</t>
        </is>
      </c>
    </row>
    <row r="16">
      <c r="A16" t="inlineStr">
        <is>
          <t xml:space="preserve">Enterprise Value</t>
        </is>
      </c>
      <c r="B16" s="6">
        <v>-2353816817.425169</v>
      </c>
      <c r="C16" s="6">
        <v>-2353816817.425169</v>
      </c>
      <c r="D16" s="11">
        <f>ABS(B16-C16)</f>
        <v>0.0</v>
      </c>
      <c r="E16" s="10">
        <f>IF(C16=0,"n/a (zero denom)",D16/ABS(C16))</f>
        <v>0.0</v>
      </c>
      <c r="F16" s="10">
        <f>'Tolerances'!$B$10</f>
        <v>0.002</v>
      </c>
      <c r="G16" s="15" t="str">
        <f>IF(C16=0,IF(D16&lt;=0.000001,"PASS","FAIL"),IF(E16&lt;=F16,"PASS","FAIL"))</f>
        <v>PASS</v>
      </c>
      <c r="H16" t="inlineStr">
        <is>
          <t xml:space="preserve">DCF_INTC!B41</t>
        </is>
      </c>
    </row>
    <row r="17">
      <c r="A17" t="inlineStr">
        <is>
          <t xml:space="preserve">Equity Value</t>
        </is>
      </c>
      <c r="B17" s="6">
        <v>-34673816817.42517</v>
      </c>
      <c r="C17" s="6">
        <v>-34673816817.42517</v>
      </c>
      <c r="D17" s="11">
        <f>ABS(B17-C17)</f>
        <v>0.0</v>
      </c>
      <c r="E17" s="10">
        <f>IF(C17=0,"n/a (zero denom)",D17/ABS(C17))</f>
        <v>0.0</v>
      </c>
      <c r="F17" s="10">
        <f>'Tolerances'!$B$11</f>
        <v>0.002</v>
      </c>
      <c r="G17" s="15" t="str">
        <f>IF(C17=0,IF(D17&lt;=0.000001,"PASS","FAIL"),IF(E17&lt;=F17,"PASS","FAIL"))</f>
        <v>PASS</v>
      </c>
      <c r="H17" t="inlineStr">
        <is>
          <t xml:space="preserve">DCF_INTC!B42</t>
        </is>
      </c>
    </row>
    <row r="18">
      <c r="A18" t="inlineStr">
        <is>
          <t xml:space="preserve">Intrinsic Value per Share</t>
        </is>
      </c>
      <c r="B18" s="7">
        <v>-6.55942609896238</v>
      </c>
      <c r="C18" s="7">
        <v>-6.55942609896238</v>
      </c>
      <c r="D18" s="12">
        <f>ABS(B18-C18)</f>
        <v>0.0</v>
      </c>
      <c r="E18" s="10">
        <f>IF(C18=0,"n/a (zero denom)",D18/ABS(C18))</f>
        <v>0.0</v>
      </c>
      <c r="F18" s="10">
        <f>'Tolerances'!$B$12</f>
        <v>0.005</v>
      </c>
      <c r="G18" s="15" t="str">
        <f>IF(C18=0,IF(D18&lt;=0.000001,"PASS","FAIL"),IF(E18&lt;=F18,"PASS","FAIL"))</f>
        <v>PASS</v>
      </c>
      <c r="H18" t="inlineStr">
        <is>
          <t xml:space="preserve">DCF_INTC!B43</t>
        </is>
      </c>
    </row>
    <row r="20">
      <c r="A20" s="3" t="inlineStr">
        <is>
          <t xml:space="preserve">Sensitivity reconciliation coverage (full per-cell detail: 'All Sensitivity Comparisons' sheet)</t>
        </is>
      </c>
    </row>
    <row r="21">
      <c r="A21" s="2" t="inlineStr">
        <is>
          <t xml:space="preserve">Table</t>
        </is>
      </c>
      <c r="B21" s="2" t="inlineStr">
        <is>
          <t xml:space="preserve">Scenario Rows</t>
        </is>
      </c>
      <c r="C21" s="2" t="inlineStr">
        <is>
          <t xml:space="preserve">Outputs / Row</t>
        </is>
      </c>
      <c r="D21" s="2" t="inlineStr">
        <is>
          <t xml:space="preserve">Scalar Comparisons</t>
        </is>
      </c>
      <c r="E21" s="2" t="inlineStr">
        <is>
          <t xml:space="preserve">All Pass</t>
        </is>
      </c>
    </row>
    <row r="22">
      <c r="A22" t="inlineStr">
        <is>
          <t xml:space="preserve">Table 1 -- WACC</t>
        </is>
      </c>
      <c r="B22" s="8">
        <v>7</v>
      </c>
      <c r="C22" s="8">
        <v>4</v>
      </c>
      <c r="D22" s="13">
        <f>B22*C22</f>
        <v>28</v>
      </c>
      <c r="E22" s="15" t="inlineStr">
        <is>
          <t xml:space="preserve">PASS</t>
        </is>
      </c>
    </row>
    <row r="23">
      <c r="A23" t="inlineStr">
        <is>
          <t xml:space="preserve">Table 2 -- Terminal growth</t>
        </is>
      </c>
      <c r="B23" s="8">
        <v>7</v>
      </c>
      <c r="C23" s="8">
        <v>4</v>
      </c>
      <c r="D23" s="13">
        <f>B23*C23</f>
        <v>28</v>
      </c>
      <c r="E23" s="15" t="inlineStr">
        <is>
          <t xml:space="preserve">PASS</t>
        </is>
      </c>
    </row>
    <row r="24">
      <c r="A24" t="inlineStr">
        <is>
          <t xml:space="preserve">Table 3 -- Revenue growth</t>
        </is>
      </c>
      <c r="B24" s="8">
        <v>8</v>
      </c>
      <c r="C24" s="8">
        <v>9</v>
      </c>
      <c r="D24" s="13">
        <f>B24*C24</f>
        <v>72</v>
      </c>
      <c r="E24" s="15" t="inlineStr">
        <is>
          <t xml:space="preserve">PASS</t>
        </is>
      </c>
    </row>
    <row r="25">
      <c r="A25" t="inlineStr">
        <is>
          <t xml:space="preserve">Table 4 -- Operating margin</t>
        </is>
      </c>
      <c r="B25" s="8">
        <v>7</v>
      </c>
      <c r="C25" s="8">
        <v>9</v>
      </c>
      <c r="D25" s="13">
        <f>B25*C25</f>
        <v>63</v>
      </c>
      <c r="E25" s="15" t="inlineStr">
        <is>
          <t xml:space="preserve">PASS</t>
        </is>
      </c>
    </row>
    <row r="26">
      <c r="A26" t="inlineStr">
        <is>
          <t xml:space="preserve">Table 5 -- WACC x g two-way grid</t>
        </is>
      </c>
      <c r="B26" s="8">
        <v>36</v>
      </c>
      <c r="C26" s="8">
        <v>1</v>
      </c>
      <c r="D26" s="13">
        <f>B26*C26</f>
        <v>36</v>
      </c>
      <c r="E26" s="15" t="inlineStr">
        <is>
          <t xml:space="preserve">PASS</t>
        </is>
      </c>
    </row>
    <row r="27">
      <c r="A27" s="18" t="inlineStr">
        <is>
          <t xml:space="preserve">TOTAL (this company)</t>
        </is>
      </c>
      <c r="D27" s="13">
        <f>SUM(D22:D26)</f>
        <v>227</v>
      </c>
    </row>
  </sheetData>
</worksheet>
</file>

<file path=xl/worksheets/sheet7.xml><?xml version="1.0" encoding="utf-8"?>
<worksheet xmlns="http://schemas.openxmlformats.org/spreadsheetml/2006/main">
  <dimension ref="A1:H27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width="32" customWidth="1"/>
    <col min="2" max="2" width="16" customWidth="1"/>
    <col min="3" max="3" width="16" customWidth="1"/>
    <col min="4" max="4" width="14" customWidth="1"/>
    <col min="5" max="5" width="12" customWidth="1"/>
    <col min="6" max="6" width="12" customWidth="1"/>
    <col min="7" max="7" width="10" customWidth="1"/>
    <col min="8" max="8" width="30" customWidth="1"/>
  </cols>
  <sheetData>
    <row r="1">
      <c r="A1" s="1" t="inlineStr">
        <is>
          <t xml:space="preserve">Detailed base-case reconciliation -- VZ (Verizon Communications Inc.)</t>
        </is>
      </c>
    </row>
    <row r="2">
      <c r="A2" s="18" t="inlineStr">
        <is>
          <t xml:space="preserve">All metrics within tolerance.</t>
        </is>
      </c>
    </row>
    <row r="4">
      <c r="A4" s="2" t="inlineStr">
        <is>
          <t xml:space="preserve">Metric</t>
        </is>
      </c>
      <c r="B4" s="2" t="inlineStr">
        <is>
          <t xml:space="preserve">Codebase Output</t>
        </is>
      </c>
      <c r="C4" s="2" t="inlineStr">
        <is>
          <t xml:space="preserve">Workbook Output</t>
        </is>
      </c>
      <c r="D4" s="2" t="inlineStr">
        <is>
          <t xml:space="preserve">Absolute Difference</t>
        </is>
      </c>
      <c r="E4" s="2" t="inlineStr">
        <is>
          <t xml:space="preserve">Relative/pp Difference</t>
        </is>
      </c>
      <c r="F4" s="2" t="inlineStr">
        <is>
          <t xml:space="preserve">Tolerance</t>
        </is>
      </c>
      <c r="G4" s="2" t="inlineStr">
        <is>
          <t xml:space="preserve">PASS/FAIL</t>
        </is>
      </c>
      <c r="H4" s="2" t="inlineStr">
        <is>
          <t xml:space="preserve">Workbook Cell</t>
        </is>
      </c>
    </row>
    <row r="5">
      <c r="A5" t="inlineStr">
        <is>
          <t xml:space="preserve">Historical Revenue CAGR</t>
        </is>
      </c>
      <c r="B5" s="5">
        <v>0.008457873514414072</v>
      </c>
      <c r="C5" s="5">
        <v>0.008457873514414072</v>
      </c>
      <c r="D5" s="10">
        <f>ABS(B5-C5)</f>
        <v>0.0</v>
      </c>
      <c r="E5" s="10">
        <f>D5</f>
        <v>0.0</v>
      </c>
      <c r="F5" s="10">
        <f>'Tolerances'!$B$3</f>
        <v>0.0001</v>
      </c>
      <c r="G5" s="15" t="str">
        <f>IF(D5&lt;=F5,"PASS","FAIL")</f>
        <v>PASS</v>
      </c>
      <c r="H5" t="inlineStr">
        <is>
          <t xml:space="preserve">DCF_VZ!B9</t>
        </is>
      </c>
    </row>
    <row r="6">
      <c r="A6" t="inlineStr">
        <is>
          <t xml:space="preserve">Historical average Operating Margin</t>
        </is>
      </c>
      <c r="B6" s="5">
        <v>0.21216289003447653</v>
      </c>
      <c r="C6" s="5">
        <v>0.21216289003447653</v>
      </c>
      <c r="D6" s="10">
        <f>ABS(B6-C6)</f>
        <v>0.0</v>
      </c>
      <c r="E6" s="10">
        <f>D6</f>
        <v>0.0</v>
      </c>
      <c r="F6" s="10">
        <f>'Tolerances'!$B$4</f>
        <v>0.0001</v>
      </c>
      <c r="G6" s="15" t="str">
        <f>IF(D6&lt;=F6,"PASS","FAIL")</f>
        <v>PASS</v>
      </c>
      <c r="H6" t="inlineStr">
        <is>
          <t xml:space="preserve">DCF_VZ!B10</t>
        </is>
      </c>
    </row>
    <row r="7">
      <c r="A7" t="inlineStr">
        <is>
          <t xml:space="preserve">WACC (final, clamped [5%,20%])</t>
        </is>
      </c>
      <c r="B7" s="5">
        <v>0.05</v>
      </c>
      <c r="C7" s="5">
        <v>0.05</v>
      </c>
      <c r="D7" s="10">
        <f>ABS(B7-C7)</f>
        <v>0.0</v>
      </c>
      <c r="E7" s="10">
        <f>D7</f>
        <v>0.0</v>
      </c>
      <c r="F7" s="10">
        <f>'Tolerances'!$B$5</f>
        <v>0.0005</v>
      </c>
      <c r="G7" s="15" t="str">
        <f>IF(D7&lt;=F7,"PASS","FAIL")</f>
        <v>PASS</v>
      </c>
      <c r="H7" t="inlineStr">
        <is>
          <t xml:space="preserve">DCF_VZ!B21</t>
        </is>
      </c>
    </row>
    <row r="8">
      <c r="A8" t="inlineStr">
        <is>
          <t xml:space="preserve">FCF Year 1</t>
        </is>
      </c>
      <c r="B8" s="6">
        <v>21557635393.014256</v>
      </c>
      <c r="C8" s="6">
        <v>21557635393.014256</v>
      </c>
      <c r="D8" s="11">
        <f>ABS(B8-C8)</f>
        <v>0.0</v>
      </c>
      <c r="E8" s="10">
        <f>IF(C8=0,"n/a (zero denom)",D8/ABS(C8))</f>
        <v>0.0</v>
      </c>
      <c r="F8" s="10">
        <f>'Tolerances'!$B$6</f>
        <v>0.001</v>
      </c>
      <c r="G8" s="15" t="str">
        <f>IF(C8=0,IF(D8&lt;=0.000001,"PASS","FAIL"),IF(E8&lt;=F8,"PASS","FAIL"))</f>
        <v>PASS</v>
      </c>
      <c r="H8" t="inlineStr">
        <is>
          <t xml:space="preserve">DCF_VZ!C31</t>
        </is>
      </c>
    </row>
    <row r="9">
      <c r="A9" t="inlineStr">
        <is>
          <t xml:space="preserve">FCF Year 2</t>
        </is>
      </c>
      <c r="B9" s="6">
        <v>21739967146.438225</v>
      </c>
      <c r="C9" s="6">
        <v>21739967146.438225</v>
      </c>
      <c r="D9" s="11">
        <f>ABS(B9-C9)</f>
        <v>0.0</v>
      </c>
      <c r="E9" s="10">
        <f>IF(C9=0,"n/a (zero denom)",D9/ABS(C9))</f>
        <v>0.0</v>
      </c>
      <c r="F9" s="10">
        <f>'Tolerances'!$B$6</f>
        <v>0.001</v>
      </c>
      <c r="G9" s="15" t="str">
        <f>IF(C9=0,IF(D9&lt;=0.000001,"PASS","FAIL"),IF(E9&lt;=F9,"PASS","FAIL"))</f>
        <v>PASS</v>
      </c>
      <c r="H9" t="inlineStr">
        <is>
          <t xml:space="preserve">DCF_VZ!D31</t>
        </is>
      </c>
    </row>
    <row r="10">
      <c r="A10" t="inlineStr">
        <is>
          <t xml:space="preserve">FCF Year 3</t>
        </is>
      </c>
      <c r="B10" s="6">
        <v>21923841038.770325</v>
      </c>
      <c r="C10" s="6">
        <v>21923841038.770325</v>
      </c>
      <c r="D10" s="11">
        <f>ABS(B10-C10)</f>
        <v>0.0</v>
      </c>
      <c r="E10" s="10">
        <f>IF(C10=0,"n/a (zero denom)",D10/ABS(C10))</f>
        <v>0.0</v>
      </c>
      <c r="F10" s="10">
        <f>'Tolerances'!$B$6</f>
        <v>0.001</v>
      </c>
      <c r="G10" s="15" t="str">
        <f>IF(C10=0,IF(D10&lt;=0.000001,"PASS","FAIL"),IF(E10&lt;=F10,"PASS","FAIL"))</f>
        <v>PASS</v>
      </c>
      <c r="H10" t="inlineStr">
        <is>
          <t xml:space="preserve">DCF_VZ!E31</t>
        </is>
      </c>
    </row>
    <row r="11">
      <c r="A11" t="inlineStr">
        <is>
          <t xml:space="preserve">FCF Year 4</t>
        </is>
      </c>
      <c r="B11" s="6">
        <v>22109270113.22636</v>
      </c>
      <c r="C11" s="6">
        <v>22109270113.22636</v>
      </c>
      <c r="D11" s="11">
        <f>ABS(B11-C11)</f>
        <v>0.0</v>
      </c>
      <c r="E11" s="10">
        <f>IF(C11=0,"n/a (zero denom)",D11/ABS(C11))</f>
        <v>0.0</v>
      </c>
      <c r="F11" s="10">
        <f>'Tolerances'!$B$6</f>
        <v>0.001</v>
      </c>
      <c r="G11" s="15" t="str">
        <f>IF(C11=0,IF(D11&lt;=0.000001,"PASS","FAIL"),IF(E11&lt;=F11,"PASS","FAIL"))</f>
        <v>PASS</v>
      </c>
      <c r="H11" t="inlineStr">
        <is>
          <t xml:space="preserve">DCF_VZ!F31</t>
        </is>
      </c>
    </row>
    <row r="12">
      <c r="A12" t="inlineStr">
        <is>
          <t xml:space="preserve">FCF Year 5</t>
        </is>
      </c>
      <c r="B12" s="6">
        <v>22296267523.340042</v>
      </c>
      <c r="C12" s="6">
        <v>22296267523.340042</v>
      </c>
      <c r="D12" s="11">
        <f>ABS(B12-C12)</f>
        <v>0.0</v>
      </c>
      <c r="E12" s="10">
        <f>IF(C12=0,"n/a (zero denom)",D12/ABS(C12))</f>
        <v>0.0</v>
      </c>
      <c r="F12" s="10">
        <f>'Tolerances'!$B$6</f>
        <v>0.001</v>
      </c>
      <c r="G12" s="15" t="str">
        <f>IF(C12=0,IF(D12&lt;=0.000001,"PASS","FAIL"),IF(E12&lt;=F12,"PASS","FAIL"))</f>
        <v>PASS</v>
      </c>
      <c r="H12" t="inlineStr">
        <is>
          <t xml:space="preserve">DCF_VZ!G31</t>
        </is>
      </c>
    </row>
    <row r="13">
      <c r="A13" t="inlineStr">
        <is>
          <t xml:space="preserve">Terminal Value</t>
        </is>
      </c>
      <c r="B13" s="6">
        <v>914146968456.9417</v>
      </c>
      <c r="C13" s="6">
        <v>914146968456.9417</v>
      </c>
      <c r="D13" s="11">
        <f>ABS(B13-C13)</f>
        <v>0.0</v>
      </c>
      <c r="E13" s="10">
        <f>IF(C13=0,"n/a (zero denom)",D13/ABS(C13))</f>
        <v>0.0</v>
      </c>
      <c r="F13" s="10">
        <f>'Tolerances'!$B$7</f>
        <v>0.002</v>
      </c>
      <c r="G13" s="15" t="str">
        <f>IF(C13=0,IF(D13&lt;=0.000001,"PASS","FAIL"),IF(E13&lt;=F13,"PASS","FAIL"))</f>
        <v>PASS</v>
      </c>
      <c r="H13" t="inlineStr">
        <is>
          <t xml:space="preserve">DCF_VZ!B34</t>
        </is>
      </c>
    </row>
    <row r="14">
      <c r="A14" t="inlineStr">
        <is>
          <t xml:space="preserve">PV of Explicit FCF (sum of pv_fcf series)</t>
        </is>
      </c>
      <c r="B14" s="6">
        <v>94847570839.83777</v>
      </c>
      <c r="C14" s="6">
        <v>94847570839.83777</v>
      </c>
      <c r="D14" s="11">
        <f>ABS(B14-C14)</f>
        <v>0.0</v>
      </c>
      <c r="E14" s="10">
        <f>IF(C14=0,"n/a (zero denom)",D14/ABS(C14))</f>
        <v>0.0</v>
      </c>
      <c r="F14" s="10">
        <f>'Tolerances'!$B$8</f>
        <v>0.002</v>
      </c>
      <c r="G14" s="15" t="str">
        <f>IF(C14=0,IF(D14&lt;=0.000001,"PASS","FAIL"),IF(E14&lt;=F14,"PASS","FAIL"))</f>
        <v>PASS</v>
      </c>
      <c r="H14" t="inlineStr">
        <is>
          <t xml:space="preserve">DCF_VZ!B39</t>
        </is>
      </c>
    </row>
    <row r="15">
      <c r="A15" t="inlineStr">
        <is>
          <t xml:space="preserve">PV of Terminal Value</t>
        </is>
      </c>
      <c r="B15" s="6">
        <v>716258069783.8307</v>
      </c>
      <c r="C15" s="6">
        <v>716258069783.8307</v>
      </c>
      <c r="D15" s="11">
        <f>ABS(B15-C15)</f>
        <v>0.0</v>
      </c>
      <c r="E15" s="10">
        <f>IF(C15=0,"n/a (zero denom)",D15/ABS(C15))</f>
        <v>0.0</v>
      </c>
      <c r="F15" s="10">
        <f>'Tolerances'!$B$9</f>
        <v>0.002</v>
      </c>
      <c r="G15" s="15" t="str">
        <f>IF(C15=0,IF(D15&lt;=0.000001,"PASS","FAIL"),IF(E15&lt;=F15,"PASS","FAIL"))</f>
        <v>PASS</v>
      </c>
      <c r="H15" t="inlineStr">
        <is>
          <t xml:space="preserve">DCF_VZ!B40</t>
        </is>
      </c>
    </row>
    <row r="16">
      <c r="A16" t="inlineStr">
        <is>
          <t xml:space="preserve">Enterprise Value</t>
        </is>
      </c>
      <c r="B16" s="6">
        <v>811105640623.6685</v>
      </c>
      <c r="C16" s="6">
        <v>811105640623.6685</v>
      </c>
      <c r="D16" s="11">
        <f>ABS(B16-C16)</f>
        <v>0.0</v>
      </c>
      <c r="E16" s="10">
        <f>IF(C16=0,"n/a (zero denom)",D16/ABS(C16))</f>
        <v>0.0</v>
      </c>
      <c r="F16" s="10">
        <f>'Tolerances'!$B$10</f>
        <v>0.002</v>
      </c>
      <c r="G16" s="15" t="str">
        <f>IF(C16=0,IF(D16&lt;=0.000001,"PASS","FAIL"),IF(E16&lt;=F16,"PASS","FAIL"))</f>
        <v>PASS</v>
      </c>
      <c r="H16" t="inlineStr">
        <is>
          <t xml:space="preserve">DCF_VZ!B41</t>
        </is>
      </c>
    </row>
    <row r="17">
      <c r="A17" t="inlineStr">
        <is>
          <t xml:space="preserve">Equity Value</t>
        </is>
      </c>
      <c r="B17" s="6">
        <v>672003640623.6685</v>
      </c>
      <c r="C17" s="6">
        <v>672003640623.6685</v>
      </c>
      <c r="D17" s="11">
        <f>ABS(B17-C17)</f>
        <v>0.0</v>
      </c>
      <c r="E17" s="10">
        <f>IF(C17=0,"n/a (zero denom)",D17/ABS(C17))</f>
        <v>0.0</v>
      </c>
      <c r="F17" s="10">
        <f>'Tolerances'!$B$11</f>
        <v>0.002</v>
      </c>
      <c r="G17" s="15" t="str">
        <f>IF(C17=0,IF(D17&lt;=0.000001,"PASS","FAIL"),IF(E17&lt;=F17,"PASS","FAIL"))</f>
        <v>PASS</v>
      </c>
      <c r="H17" t="inlineStr">
        <is>
          <t xml:space="preserve">DCF_VZ!B42</t>
        </is>
      </c>
    </row>
    <row r="18">
      <c r="A18" t="inlineStr">
        <is>
          <t xml:space="preserve">Intrinsic Value per Share</t>
        </is>
      </c>
      <c r="B18" s="7">
        <v>161.74247894330927</v>
      </c>
      <c r="C18" s="7">
        <v>161.74247894330927</v>
      </c>
      <c r="D18" s="12">
        <f>ABS(B18-C18)</f>
        <v>0.0</v>
      </c>
      <c r="E18" s="10">
        <f>IF(C18=0,"n/a (zero denom)",D18/ABS(C18))</f>
        <v>0.0</v>
      </c>
      <c r="F18" s="10">
        <f>'Tolerances'!$B$12</f>
        <v>0.005</v>
      </c>
      <c r="G18" s="15" t="str">
        <f>IF(C18=0,IF(D18&lt;=0.000001,"PASS","FAIL"),IF(E18&lt;=F18,"PASS","FAIL"))</f>
        <v>PASS</v>
      </c>
      <c r="H18" t="inlineStr">
        <is>
          <t xml:space="preserve">DCF_VZ!B43</t>
        </is>
      </c>
    </row>
    <row r="20">
      <c r="A20" s="3" t="inlineStr">
        <is>
          <t xml:space="preserve">Sensitivity reconciliation coverage (full per-cell detail: 'All Sensitivity Comparisons' sheet)</t>
        </is>
      </c>
    </row>
    <row r="21">
      <c r="A21" s="2" t="inlineStr">
        <is>
          <t xml:space="preserve">Table</t>
        </is>
      </c>
      <c r="B21" s="2" t="inlineStr">
        <is>
          <t xml:space="preserve">Scenario Rows</t>
        </is>
      </c>
      <c r="C21" s="2" t="inlineStr">
        <is>
          <t xml:space="preserve">Outputs / Row</t>
        </is>
      </c>
      <c r="D21" s="2" t="inlineStr">
        <is>
          <t xml:space="preserve">Scalar Comparisons</t>
        </is>
      </c>
      <c r="E21" s="2" t="inlineStr">
        <is>
          <t xml:space="preserve">All Pass</t>
        </is>
      </c>
    </row>
    <row r="22">
      <c r="A22" t="inlineStr">
        <is>
          <t xml:space="preserve">Table 1 -- WACC</t>
        </is>
      </c>
      <c r="B22" s="8">
        <v>7</v>
      </c>
      <c r="C22" s="8">
        <v>4</v>
      </c>
      <c r="D22" s="13">
        <f>B22*C22</f>
        <v>28</v>
      </c>
      <c r="E22" s="15" t="inlineStr">
        <is>
          <t xml:space="preserve">PASS</t>
        </is>
      </c>
    </row>
    <row r="23">
      <c r="A23" t="inlineStr">
        <is>
          <t xml:space="preserve">Table 2 -- Terminal growth</t>
        </is>
      </c>
      <c r="B23" s="8">
        <v>7</v>
      </c>
      <c r="C23" s="8">
        <v>4</v>
      </c>
      <c r="D23" s="13">
        <f>B23*C23</f>
        <v>28</v>
      </c>
      <c r="E23" s="15" t="inlineStr">
        <is>
          <t xml:space="preserve">PASS</t>
        </is>
      </c>
    </row>
    <row r="24">
      <c r="A24" t="inlineStr">
        <is>
          <t xml:space="preserve">Table 3 -- Revenue growth</t>
        </is>
      </c>
      <c r="B24" s="8">
        <v>8</v>
      </c>
      <c r="C24" s="8">
        <v>9</v>
      </c>
      <c r="D24" s="13">
        <f>B24*C24</f>
        <v>72</v>
      </c>
      <c r="E24" s="15" t="inlineStr">
        <is>
          <t xml:space="preserve">PASS</t>
        </is>
      </c>
    </row>
    <row r="25">
      <c r="A25" t="inlineStr">
        <is>
          <t xml:space="preserve">Table 4 -- Operating margin</t>
        </is>
      </c>
      <c r="B25" s="8">
        <v>7</v>
      </c>
      <c r="C25" s="8">
        <v>9</v>
      </c>
      <c r="D25" s="13">
        <f>B25*C25</f>
        <v>63</v>
      </c>
      <c r="E25" s="15" t="inlineStr">
        <is>
          <t xml:space="preserve">PASS</t>
        </is>
      </c>
    </row>
    <row r="26">
      <c r="A26" t="inlineStr">
        <is>
          <t xml:space="preserve">Table 5 -- WACC x g two-way grid</t>
        </is>
      </c>
      <c r="B26" s="8">
        <v>36</v>
      </c>
      <c r="C26" s="8">
        <v>1</v>
      </c>
      <c r="D26" s="13">
        <f>B26*C26</f>
        <v>36</v>
      </c>
      <c r="E26" s="15" t="inlineStr">
        <is>
          <t xml:space="preserve">PASS</t>
        </is>
      </c>
    </row>
    <row r="27">
      <c r="A27" s="18" t="inlineStr">
        <is>
          <t xml:space="preserve">TOTAL (this company)</t>
        </is>
      </c>
      <c r="D27" s="13">
        <f>SUM(D22:D26)</f>
        <v>227</v>
      </c>
    </row>
  </sheetData>
</worksheet>
</file>

<file path=xl/worksheets/sheet8.xml><?xml version="1.0" encoding="utf-8"?>
<worksheet xmlns="http://schemas.openxmlformats.org/spreadsheetml/2006/main">
  <dimension ref="A1:G110"/>
  <sheetViews>
    <sheetView workbookViewId="0"/>
  </sheetViews>
  <sheetFormatPr defaultRowHeight="15"/>
  <cols>
    <col min="1" max="1" width="14" customWidth="1"/>
    <col min="2" max="2" width="16" customWidth="1"/>
    <col min="3" max="3" width="16" customWidth="1"/>
    <col min="4" max="4" width="14" customWidth="1"/>
    <col min="5" max="5" width="12" customWidth="1"/>
    <col min="6" max="6" width="12" customWidth="1"/>
    <col min="7" max="7" width="10" customWidth="1"/>
  </cols>
  <sheetData>
    <row r="1">
      <c r="A1" s="1" t="inlineStr">
        <is>
          <t xml:space="preserve">Sensitivity reconciliation -- production recompute vs. workbook V2 cached grid, all four companies</t>
        </is>
      </c>
    </row>
    <row r="2">
      <c r="A2" s="17" t="inlineStr">
        <is>
          <t xml:space="preserve">Table 1 (WACC) and Table 2 (terminal growth) IVPS rows shown here with full live-formula reconciliation for quick visual scanning. ALL FIVE tables' full per-scalar-comparison detail (908 rows total across four companies) is on the 'All Sensitivity Comparisons' sheet -- never summarized-out to JSON only.</t>
        </is>
      </c>
    </row>
    <row r="4">
      <c r="A4" s="3" t="inlineStr">
        <is>
          <t xml:space="preserve">Coverage summary -- scenario rows vs. actual scalar comparisons (Finding 3 fix)</t>
        </is>
      </c>
    </row>
    <row r="5">
      <c r="A5" s="2" t="inlineStr">
        <is>
          <t xml:space="preserve">Ticker</t>
        </is>
      </c>
      <c r="B5" s="2" t="inlineStr">
        <is>
          <t xml:space="preserve">Table</t>
        </is>
      </c>
      <c r="C5" s="2" t="inlineStr">
        <is>
          <t xml:space="preserve">Scenario Rows</t>
        </is>
      </c>
      <c r="D5" s="2" t="inlineStr">
        <is>
          <t xml:space="preserve">Outputs / Row</t>
        </is>
      </c>
      <c r="E5" s="2" t="inlineStr">
        <is>
          <t xml:space="preserve">Scalar Comparisons</t>
        </is>
      </c>
      <c r="F5" s="2" t="inlineStr">
        <is>
          <t xml:space="preserve">All Pass</t>
        </is>
      </c>
    </row>
    <row r="6">
      <c r="A6" t="inlineStr">
        <is>
          <t xml:space="preserve">MSFT</t>
        </is>
      </c>
      <c r="B6" t="inlineStr">
        <is>
          <t xml:space="preserve">Table 1 -- WACC</t>
        </is>
      </c>
      <c r="C6" s="8">
        <v>7</v>
      </c>
      <c r="D6" s="8">
        <v>4</v>
      </c>
      <c r="E6" s="13">
        <f>C6*D6</f>
        <v>28</v>
      </c>
      <c r="F6" s="15" t="inlineStr">
        <is>
          <t xml:space="preserve">PASS</t>
        </is>
      </c>
    </row>
    <row r="7">
      <c r="A7" t="inlineStr">
        <is>
          <t xml:space="preserve">MSFT</t>
        </is>
      </c>
      <c r="B7" t="inlineStr">
        <is>
          <t xml:space="preserve">Table 2 -- Terminal growth</t>
        </is>
      </c>
      <c r="C7" s="8">
        <v>7</v>
      </c>
      <c r="D7" s="8">
        <v>4</v>
      </c>
      <c r="E7" s="13">
        <f>C7*D7</f>
        <v>28</v>
      </c>
      <c r="F7" s="15" t="inlineStr">
        <is>
          <t xml:space="preserve">PASS</t>
        </is>
      </c>
    </row>
    <row r="8">
      <c r="A8" t="inlineStr">
        <is>
          <t xml:space="preserve">MSFT</t>
        </is>
      </c>
      <c r="B8" t="inlineStr">
        <is>
          <t xml:space="preserve">Table 3 -- Revenue growth</t>
        </is>
      </c>
      <c r="C8" s="8">
        <v>8</v>
      </c>
      <c r="D8" s="8">
        <v>9</v>
      </c>
      <c r="E8" s="13">
        <f>C8*D8</f>
        <v>72</v>
      </c>
      <c r="F8" s="15" t="inlineStr">
        <is>
          <t xml:space="preserve">PASS</t>
        </is>
      </c>
    </row>
    <row r="9">
      <c r="A9" t="inlineStr">
        <is>
          <t xml:space="preserve">MSFT</t>
        </is>
      </c>
      <c r="B9" t="inlineStr">
        <is>
          <t xml:space="preserve">Table 4 -- Operating margin</t>
        </is>
      </c>
      <c r="C9" s="8">
        <v>7</v>
      </c>
      <c r="D9" s="8">
        <v>9</v>
      </c>
      <c r="E9" s="13">
        <f>C9*D9</f>
        <v>63</v>
      </c>
      <c r="F9" s="15" t="inlineStr">
        <is>
          <t xml:space="preserve">PASS</t>
        </is>
      </c>
    </row>
    <row r="10">
      <c r="A10" t="inlineStr">
        <is>
          <t xml:space="preserve">MSFT</t>
        </is>
      </c>
      <c r="B10" t="inlineStr">
        <is>
          <t xml:space="preserve">Table 5 -- WACC x g two-way grid</t>
        </is>
      </c>
      <c r="C10" s="8">
        <v>36</v>
      </c>
      <c r="D10" s="8">
        <v>1</v>
      </c>
      <c r="E10" s="13">
        <f>C10*D10</f>
        <v>36</v>
      </c>
      <c r="F10" s="15" t="inlineStr">
        <is>
          <t xml:space="preserve">PASS</t>
        </is>
      </c>
    </row>
    <row r="11">
      <c r="A11" t="inlineStr">
        <is>
          <t xml:space="preserve">CAT</t>
        </is>
      </c>
      <c r="B11" t="inlineStr">
        <is>
          <t xml:space="preserve">Table 1 -- WACC</t>
        </is>
      </c>
      <c r="C11" s="8">
        <v>7</v>
      </c>
      <c r="D11" s="8">
        <v>4</v>
      </c>
      <c r="E11" s="13">
        <f>C11*D11</f>
        <v>28</v>
      </c>
      <c r="F11" s="15" t="inlineStr">
        <is>
          <t xml:space="preserve">PASS</t>
        </is>
      </c>
    </row>
    <row r="12">
      <c r="A12" t="inlineStr">
        <is>
          <t xml:space="preserve">CAT</t>
        </is>
      </c>
      <c r="B12" t="inlineStr">
        <is>
          <t xml:space="preserve">Table 2 -- Terminal growth</t>
        </is>
      </c>
      <c r="C12" s="8">
        <v>7</v>
      </c>
      <c r="D12" s="8">
        <v>4</v>
      </c>
      <c r="E12" s="13">
        <f>C12*D12</f>
        <v>28</v>
      </c>
      <c r="F12" s="15" t="inlineStr">
        <is>
          <t xml:space="preserve">PASS</t>
        </is>
      </c>
    </row>
    <row r="13">
      <c r="A13" t="inlineStr">
        <is>
          <t xml:space="preserve">CAT</t>
        </is>
      </c>
      <c r="B13" t="inlineStr">
        <is>
          <t xml:space="preserve">Table 3 -- Revenue growth</t>
        </is>
      </c>
      <c r="C13" s="8">
        <v>8</v>
      </c>
      <c r="D13" s="8">
        <v>9</v>
      </c>
      <c r="E13" s="13">
        <f>C13*D13</f>
        <v>72</v>
      </c>
      <c r="F13" s="15" t="inlineStr">
        <is>
          <t xml:space="preserve">PASS</t>
        </is>
      </c>
    </row>
    <row r="14">
      <c r="A14" t="inlineStr">
        <is>
          <t xml:space="preserve">CAT</t>
        </is>
      </c>
      <c r="B14" t="inlineStr">
        <is>
          <t xml:space="preserve">Table 4 -- Operating margin</t>
        </is>
      </c>
      <c r="C14" s="8">
        <v>7</v>
      </c>
      <c r="D14" s="8">
        <v>9</v>
      </c>
      <c r="E14" s="13">
        <f>C14*D14</f>
        <v>63</v>
      </c>
      <c r="F14" s="15" t="inlineStr">
        <is>
          <t xml:space="preserve">PASS</t>
        </is>
      </c>
    </row>
    <row r="15">
      <c r="A15" t="inlineStr">
        <is>
          <t xml:space="preserve">CAT</t>
        </is>
      </c>
      <c r="B15" t="inlineStr">
        <is>
          <t xml:space="preserve">Table 5 -- WACC x g two-way grid</t>
        </is>
      </c>
      <c r="C15" s="8">
        <v>36</v>
      </c>
      <c r="D15" s="8">
        <v>1</v>
      </c>
      <c r="E15" s="13">
        <f>C15*D15</f>
        <v>36</v>
      </c>
      <c r="F15" s="15" t="inlineStr">
        <is>
          <t xml:space="preserve">PASS</t>
        </is>
      </c>
    </row>
    <row r="16">
      <c r="A16" t="inlineStr">
        <is>
          <t xml:space="preserve">INTC</t>
        </is>
      </c>
      <c r="B16" t="inlineStr">
        <is>
          <t xml:space="preserve">Table 1 -- WACC</t>
        </is>
      </c>
      <c r="C16" s="8">
        <v>7</v>
      </c>
      <c r="D16" s="8">
        <v>4</v>
      </c>
      <c r="E16" s="13">
        <f>C16*D16</f>
        <v>28</v>
      </c>
      <c r="F16" s="15" t="inlineStr">
        <is>
          <t xml:space="preserve">PASS</t>
        </is>
      </c>
    </row>
    <row r="17">
      <c r="A17" t="inlineStr">
        <is>
          <t xml:space="preserve">INTC</t>
        </is>
      </c>
      <c r="B17" t="inlineStr">
        <is>
          <t xml:space="preserve">Table 2 -- Terminal growth</t>
        </is>
      </c>
      <c r="C17" s="8">
        <v>7</v>
      </c>
      <c r="D17" s="8">
        <v>4</v>
      </c>
      <c r="E17" s="13">
        <f>C17*D17</f>
        <v>28</v>
      </c>
      <c r="F17" s="15" t="inlineStr">
        <is>
          <t xml:space="preserve">PASS</t>
        </is>
      </c>
    </row>
    <row r="18">
      <c r="A18" t="inlineStr">
        <is>
          <t xml:space="preserve">INTC</t>
        </is>
      </c>
      <c r="B18" t="inlineStr">
        <is>
          <t xml:space="preserve">Table 3 -- Revenue growth</t>
        </is>
      </c>
      <c r="C18" s="8">
        <v>8</v>
      </c>
      <c r="D18" s="8">
        <v>9</v>
      </c>
      <c r="E18" s="13">
        <f>C18*D18</f>
        <v>72</v>
      </c>
      <c r="F18" s="15" t="inlineStr">
        <is>
          <t xml:space="preserve">PASS</t>
        </is>
      </c>
    </row>
    <row r="19">
      <c r="A19" t="inlineStr">
        <is>
          <t xml:space="preserve">INTC</t>
        </is>
      </c>
      <c r="B19" t="inlineStr">
        <is>
          <t xml:space="preserve">Table 4 -- Operating margin</t>
        </is>
      </c>
      <c r="C19" s="8">
        <v>7</v>
      </c>
      <c r="D19" s="8">
        <v>9</v>
      </c>
      <c r="E19" s="13">
        <f>C19*D19</f>
        <v>63</v>
      </c>
      <c r="F19" s="15" t="inlineStr">
        <is>
          <t xml:space="preserve">PASS</t>
        </is>
      </c>
    </row>
    <row r="20">
      <c r="A20" t="inlineStr">
        <is>
          <t xml:space="preserve">INTC</t>
        </is>
      </c>
      <c r="B20" t="inlineStr">
        <is>
          <t xml:space="preserve">Table 5 -- WACC x g two-way grid</t>
        </is>
      </c>
      <c r="C20" s="8">
        <v>36</v>
      </c>
      <c r="D20" s="8">
        <v>1</v>
      </c>
      <c r="E20" s="13">
        <f>C20*D20</f>
        <v>36</v>
      </c>
      <c r="F20" s="15" t="inlineStr">
        <is>
          <t xml:space="preserve">PASS</t>
        </is>
      </c>
    </row>
    <row r="21">
      <c r="A21" t="inlineStr">
        <is>
          <t xml:space="preserve">VZ</t>
        </is>
      </c>
      <c r="B21" t="inlineStr">
        <is>
          <t xml:space="preserve">Table 1 -- WACC</t>
        </is>
      </c>
      <c r="C21" s="8">
        <v>7</v>
      </c>
      <c r="D21" s="8">
        <v>4</v>
      </c>
      <c r="E21" s="13">
        <f>C21*D21</f>
        <v>28</v>
      </c>
      <c r="F21" s="15" t="inlineStr">
        <is>
          <t xml:space="preserve">PASS</t>
        </is>
      </c>
    </row>
    <row r="22">
      <c r="A22" t="inlineStr">
        <is>
          <t xml:space="preserve">VZ</t>
        </is>
      </c>
      <c r="B22" t="inlineStr">
        <is>
          <t xml:space="preserve">Table 2 -- Terminal growth</t>
        </is>
      </c>
      <c r="C22" s="8">
        <v>7</v>
      </c>
      <c r="D22" s="8">
        <v>4</v>
      </c>
      <c r="E22" s="13">
        <f>C22*D22</f>
        <v>28</v>
      </c>
      <c r="F22" s="15" t="inlineStr">
        <is>
          <t xml:space="preserve">PASS</t>
        </is>
      </c>
    </row>
    <row r="23">
      <c r="A23" t="inlineStr">
        <is>
          <t xml:space="preserve">VZ</t>
        </is>
      </c>
      <c r="B23" t="inlineStr">
        <is>
          <t xml:space="preserve">Table 3 -- Revenue growth</t>
        </is>
      </c>
      <c r="C23" s="8">
        <v>8</v>
      </c>
      <c r="D23" s="8">
        <v>9</v>
      </c>
      <c r="E23" s="13">
        <f>C23*D23</f>
        <v>72</v>
      </c>
      <c r="F23" s="15" t="inlineStr">
        <is>
          <t xml:space="preserve">PASS</t>
        </is>
      </c>
    </row>
    <row r="24">
      <c r="A24" t="inlineStr">
        <is>
          <t xml:space="preserve">VZ</t>
        </is>
      </c>
      <c r="B24" t="inlineStr">
        <is>
          <t xml:space="preserve">Table 4 -- Operating margin</t>
        </is>
      </c>
      <c r="C24" s="8">
        <v>7</v>
      </c>
      <c r="D24" s="8">
        <v>9</v>
      </c>
      <c r="E24" s="13">
        <f>C24*D24</f>
        <v>63</v>
      </c>
      <c r="F24" s="15" t="inlineStr">
        <is>
          <t xml:space="preserve">PASS</t>
        </is>
      </c>
    </row>
    <row r="25">
      <c r="A25" t="inlineStr">
        <is>
          <t xml:space="preserve">VZ</t>
        </is>
      </c>
      <c r="B25" t="inlineStr">
        <is>
          <t xml:space="preserve">Table 5 -- WACC x g two-way grid</t>
        </is>
      </c>
      <c r="C25" s="8">
        <v>36</v>
      </c>
      <c r="D25" s="8">
        <v>1</v>
      </c>
      <c r="E25" s="13">
        <f>C25*D25</f>
        <v>36</v>
      </c>
      <c r="F25" s="15" t="inlineStr">
        <is>
          <t xml:space="preserve">PASS</t>
        </is>
      </c>
    </row>
    <row r="26">
      <c r="A26" s="18" t="inlineStr">
        <is>
          <t xml:space="preserve">GRAND TOTAL (4 companies x 5 tables)</t>
        </is>
      </c>
      <c r="E26" s="13">
        <f>SUM(E5:E25)</f>
        <v>908</v>
      </c>
    </row>
    <row r="28">
      <c r="A28" s="3" t="inlineStr">
        <is>
          <t xml:space="preserve">-- MSFT (Microsoft Corporation) --</t>
        </is>
      </c>
    </row>
    <row r="29">
      <c r="A29" s="18" t="inlineStr">
        <is>
          <t xml:space="preserve">Table 1 -- WACC sensitivity (Intrinsic Value/Share)</t>
        </is>
      </c>
    </row>
    <row r="30">
      <c r="A30" s="2" t="inlineStr">
        <is>
          <t xml:space="preserve">WACC</t>
        </is>
      </c>
      <c r="B30" s="2" t="inlineStr">
        <is>
          <t xml:space="preserve">Codebase IVPS</t>
        </is>
      </c>
      <c r="C30" s="2" t="inlineStr">
        <is>
          <t xml:space="preserve">Workbook IVPS</t>
        </is>
      </c>
      <c r="D30" s="2" t="inlineStr">
        <is>
          <t xml:space="preserve">Abs. Diff</t>
        </is>
      </c>
      <c r="E30" s="2" t="inlineStr">
        <is>
          <t xml:space="preserve">Rel. Diff</t>
        </is>
      </c>
      <c r="F30" s="2" t="inlineStr">
        <is>
          <t xml:space="preserve">Tolerance</t>
        </is>
      </c>
      <c r="G30" s="2" t="inlineStr">
        <is>
          <t xml:space="preserve">PASS/FAIL</t>
        </is>
      </c>
    </row>
    <row r="31">
      <c r="A31" s="5">
        <v>0.05</v>
      </c>
      <c r="B31" s="7">
        <v>1038.435859236888</v>
      </c>
      <c r="C31" s="7">
        <v>1038.435859236888</v>
      </c>
      <c r="D31" s="12">
        <f>ABS(B31-C31)</f>
        <v>0.0</v>
      </c>
      <c r="E31" s="10">
        <f>IF(C31=0,"n/a (zero denom)",D31/ABS(C31))</f>
        <v>0.0</v>
      </c>
      <c r="F31" s="10">
        <f>'Tolerances'!$B$13</f>
        <v>0.005</v>
      </c>
      <c r="G31" s="15" t="str">
        <f>IF(C31=0,IF(D31&lt;=0.000001,"PASS","FAIL"),IF(E31&lt;=F31,"PASS","FAIL"))</f>
        <v>PASS</v>
      </c>
    </row>
    <row r="32">
      <c r="A32" s="5">
        <v>0.075</v>
      </c>
      <c r="B32" s="7">
        <v>507.8851354073267</v>
      </c>
      <c r="C32" s="7">
        <v>507.8851354073267</v>
      </c>
      <c r="D32" s="12">
        <f>ABS(B32-C32)</f>
        <v>0.0</v>
      </c>
      <c r="E32" s="10">
        <f>IF(C32=0,"n/a (zero denom)",D32/ABS(C32))</f>
        <v>0.0</v>
      </c>
      <c r="F32" s="10">
        <f>'Tolerances'!$B$13</f>
        <v>0.005</v>
      </c>
      <c r="G32" s="15" t="str">
        <f>IF(C32=0,IF(D32&lt;=0.000001,"PASS","FAIL"),IF(E32&lt;=F32,"PASS","FAIL"))</f>
        <v>PASS</v>
      </c>
    </row>
    <row r="33">
      <c r="A33" s="5">
        <v>0.1</v>
      </c>
      <c r="B33" s="7">
        <v>331.6368590895439</v>
      </c>
      <c r="C33" s="7">
        <v>331.63685908954386</v>
      </c>
      <c r="D33" s="12">
        <f>ABS(B33-C33)</f>
        <v>5.684341886080802e-14</v>
      </c>
      <c r="E33" s="10">
        <f>IF(C33=0,"n/a (zero denom)",D33/ABS(C33))</f>
        <v>1.7140259685507383e-16</v>
      </c>
      <c r="F33" s="10">
        <f>'Tolerances'!$B$13</f>
        <v>0.005</v>
      </c>
      <c r="G33" s="15" t="str">
        <f>IF(C33=0,IF(D33&lt;=0.000001,"PASS","FAIL"),IF(E33&lt;=F33,"PASS","FAIL"))</f>
        <v>PASS</v>
      </c>
    </row>
    <row r="34">
      <c r="A34" s="5">
        <v>0.125</v>
      </c>
      <c r="B34" s="7">
        <v>243.9125140047147</v>
      </c>
      <c r="C34" s="7">
        <v>243.9125140047147</v>
      </c>
      <c r="D34" s="12">
        <f>ABS(B34-C34)</f>
        <v>0.0</v>
      </c>
      <c r="E34" s="10">
        <f>IF(C34=0,"n/a (zero denom)",D34/ABS(C34))</f>
        <v>0.0</v>
      </c>
      <c r="F34" s="10">
        <f>'Tolerances'!$B$13</f>
        <v>0.005</v>
      </c>
      <c r="G34" s="15" t="str">
        <f>IF(C34=0,IF(D34&lt;=0.000001,"PASS","FAIL"),IF(E34&lt;=F34,"PASS","FAIL"))</f>
        <v>PASS</v>
      </c>
    </row>
    <row r="35">
      <c r="A35" s="5">
        <v>0.15</v>
      </c>
      <c r="B35" s="7">
        <v>191.56201658691054</v>
      </c>
      <c r="C35" s="7">
        <v>191.56201658691054</v>
      </c>
      <c r="D35" s="12">
        <f>ABS(B35-C35)</f>
        <v>0.0</v>
      </c>
      <c r="E35" s="10">
        <f>IF(C35=0,"n/a (zero denom)",D35/ABS(C35))</f>
        <v>0.0</v>
      </c>
      <c r="F35" s="10">
        <f>'Tolerances'!$B$13</f>
        <v>0.005</v>
      </c>
      <c r="G35" s="15" t="str">
        <f>IF(C35=0,IF(D35&lt;=0.000001,"PASS","FAIL"),IF(E35&lt;=F35,"PASS","FAIL"))</f>
        <v>PASS</v>
      </c>
    </row>
    <row r="36">
      <c r="A36" s="5">
        <v>0.175</v>
      </c>
      <c r="B36" s="7">
        <v>156.87262693590807</v>
      </c>
      <c r="C36" s="7">
        <v>156.87262693590807</v>
      </c>
      <c r="D36" s="12">
        <f>ABS(B36-C36)</f>
        <v>0.0</v>
      </c>
      <c r="E36" s="10">
        <f>IF(C36=0,"n/a (zero denom)",D36/ABS(C36))</f>
        <v>0.0</v>
      </c>
      <c r="F36" s="10">
        <f>'Tolerances'!$B$13</f>
        <v>0.005</v>
      </c>
      <c r="G36" s="15" t="str">
        <f>IF(C36=0,IF(D36&lt;=0.000001,"PASS","FAIL"),IF(E36&lt;=F36,"PASS","FAIL"))</f>
        <v>PASS</v>
      </c>
    </row>
    <row r="37">
      <c r="A37" s="5">
        <v>0.2</v>
      </c>
      <c r="B37" s="7">
        <v>132.2560446531056</v>
      </c>
      <c r="C37" s="7">
        <v>132.2560446531056</v>
      </c>
      <c r="D37" s="12">
        <f>ABS(B37-C37)</f>
        <v>0.0</v>
      </c>
      <c r="E37" s="10">
        <f>IF(C37=0,"n/a (zero denom)",D37/ABS(C37))</f>
        <v>0.0</v>
      </c>
      <c r="F37" s="10">
        <f>'Tolerances'!$B$13</f>
        <v>0.005</v>
      </c>
      <c r="G37" s="15" t="str">
        <f>IF(C37=0,IF(D37&lt;=0.000001,"PASS","FAIL"),IF(E37&lt;=F37,"PASS","FAIL"))</f>
        <v>PASS</v>
      </c>
    </row>
    <row r="38">
      <c r="A38" s="18" t="inlineStr">
        <is>
          <t xml:space="preserve">Table 2 -- Terminal growth sensitivity (Intrinsic Value/Share)</t>
        </is>
      </c>
    </row>
    <row r="39">
      <c r="A39" s="2" t="inlineStr">
        <is>
          <t xml:space="preserve">Terminal g</t>
        </is>
      </c>
      <c r="B39" s="2" t="inlineStr">
        <is>
          <t xml:space="preserve">Codebase IVPS</t>
        </is>
      </c>
      <c r="C39" s="2" t="inlineStr">
        <is>
          <t xml:space="preserve">Workbook IVPS</t>
        </is>
      </c>
      <c r="D39" s="2" t="inlineStr">
        <is>
          <t xml:space="preserve">Abs. Diff</t>
        </is>
      </c>
      <c r="E39" s="2" t="inlineStr">
        <is>
          <t xml:space="preserve">Rel. Diff</t>
        </is>
      </c>
      <c r="F39" s="2" t="inlineStr">
        <is>
          <t xml:space="preserve">Tolerance</t>
        </is>
      </c>
      <c r="G39" s="2" t="inlineStr">
        <is>
          <t xml:space="preserve">PASS/FAIL</t>
        </is>
      </c>
    </row>
    <row r="40">
      <c r="A40" s="5">
        <v>0.0</v>
      </c>
      <c r="B40" s="7">
        <v>264.8307577964704</v>
      </c>
      <c r="C40" s="7">
        <v>264.8307577964704</v>
      </c>
      <c r="D40" s="12">
        <f>ABS(B40-C40)</f>
        <v>0.0</v>
      </c>
      <c r="E40" s="10">
        <f>IF(C40=0,"n/a (zero denom)",D40/ABS(C40))</f>
        <v>0.0</v>
      </c>
      <c r="F40" s="10">
        <f>'Tolerances'!$B$13</f>
        <v>0.005</v>
      </c>
      <c r="G40" s="15" t="str">
        <f>IF(C40=0,IF(D40&lt;=0.000001,"PASS","FAIL"),IF(E40&lt;=F40,"PASS","FAIL"))</f>
        <v>PASS</v>
      </c>
    </row>
    <row r="41">
      <c r="A41" s="5">
        <v>0.01</v>
      </c>
      <c r="B41" s="7">
        <v>287.0930779255169</v>
      </c>
      <c r="C41" s="7">
        <v>287.0930779255169</v>
      </c>
      <c r="D41" s="12">
        <f>ABS(B41-C41)</f>
        <v>0.0</v>
      </c>
      <c r="E41" s="10">
        <f>IF(C41=0,"n/a (zero denom)",D41/ABS(C41))</f>
        <v>0.0</v>
      </c>
      <c r="F41" s="10">
        <f>'Tolerances'!$B$13</f>
        <v>0.005</v>
      </c>
      <c r="G41" s="15" t="str">
        <f>IF(C41=0,IF(D41&lt;=0.000001,"PASS","FAIL"),IF(E41&lt;=F41,"PASS","FAIL"))</f>
        <v>PASS</v>
      </c>
    </row>
    <row r="42">
      <c r="A42" s="5">
        <v>0.02</v>
      </c>
      <c r="B42" s="7">
        <v>314.9206848046955</v>
      </c>
      <c r="C42" s="7">
        <v>314.9206848046955</v>
      </c>
      <c r="D42" s="12">
        <f>ABS(B42-C42)</f>
        <v>0.0</v>
      </c>
      <c r="E42" s="10">
        <f>IF(C42=0,"n/a (zero denom)",D42/ABS(C42))</f>
        <v>0.0</v>
      </c>
      <c r="F42" s="10">
        <f>'Tolerances'!$B$13</f>
        <v>0.005</v>
      </c>
      <c r="G42" s="15" t="str">
        <f>IF(C42=0,IF(D42&lt;=0.000001,"PASS","FAIL"),IF(E42&lt;=F42,"PASS","FAIL"))</f>
        <v>PASS</v>
      </c>
    </row>
    <row r="43">
      <c r="A43" s="5">
        <v>0.025</v>
      </c>
      <c r="B43" s="7">
        <v>331.61709251726467</v>
      </c>
      <c r="C43" s="7">
        <v>331.61709251726467</v>
      </c>
      <c r="D43" s="12">
        <f>ABS(B43-C43)</f>
        <v>0.0</v>
      </c>
      <c r="E43" s="10">
        <f>IF(C43=0,"n/a (zero denom)",D43/ABS(C43))</f>
        <v>0.0</v>
      </c>
      <c r="F43" s="10">
        <f>'Tolerances'!$B$13</f>
        <v>0.005</v>
      </c>
      <c r="G43" s="15" t="str">
        <f>IF(C43=0,IF(D43&lt;=0.000001,"PASS","FAIL"),IF(E43&lt;=F43,"PASS","FAIL"))</f>
        <v>PASS</v>
      </c>
    </row>
    <row r="44">
      <c r="A44" s="5">
        <v>0.03</v>
      </c>
      <c r="B44" s="7">
        <v>350.6985576871804</v>
      </c>
      <c r="C44" s="7">
        <v>350.6985576871804</v>
      </c>
      <c r="D44" s="12">
        <f>ABS(B44-C44)</f>
        <v>0.0</v>
      </c>
      <c r="E44" s="10">
        <f>IF(C44=0,"n/a (zero denom)",D44/ABS(C44))</f>
        <v>0.0</v>
      </c>
      <c r="F44" s="10">
        <f>'Tolerances'!$B$13</f>
        <v>0.005</v>
      </c>
      <c r="G44" s="15" t="str">
        <f>IF(C44=0,IF(D44&lt;=0.000001,"PASS","FAIL"),IF(E44&lt;=F44,"PASS","FAIL"))</f>
        <v>PASS</v>
      </c>
    </row>
    <row r="45">
      <c r="A45" s="5">
        <v>0.04</v>
      </c>
      <c r="B45" s="7">
        <v>398.40155028298227</v>
      </c>
      <c r="C45" s="7">
        <v>398.40155028298227</v>
      </c>
      <c r="D45" s="12">
        <f>ABS(B45-C45)</f>
        <v>0.0</v>
      </c>
      <c r="E45" s="10">
        <f>IF(C45=0,"n/a (zero denom)",D45/ABS(C45))</f>
        <v>0.0</v>
      </c>
      <c r="F45" s="10">
        <f>'Tolerances'!$B$13</f>
        <v>0.005</v>
      </c>
      <c r="G45" s="15" t="str">
        <f>IF(C45=0,IF(D45&lt;=0.000001,"PASS","FAIL"),IF(E45&lt;=F45,"PASS","FAIL"))</f>
        <v>PASS</v>
      </c>
    </row>
    <row r="46">
      <c r="A46" s="5">
        <v>0.05</v>
      </c>
      <c r="B46" s="7">
        <v>465.1841311727465</v>
      </c>
      <c r="C46" s="7">
        <v>465.1841311727465</v>
      </c>
      <c r="D46" s="12">
        <f>ABS(B46-C46)</f>
        <v>0.0</v>
      </c>
      <c r="E46" s="10">
        <f>IF(C46=0,"n/a (zero denom)",D46/ABS(C46))</f>
        <v>0.0</v>
      </c>
      <c r="F46" s="10">
        <f>'Tolerances'!$B$13</f>
        <v>0.005</v>
      </c>
      <c r="G46" s="15" t="str">
        <f>IF(C46=0,IF(D46&lt;=0.000001,"PASS","FAIL"),IF(E46&lt;=F46,"PASS","FAIL"))</f>
        <v>PASS</v>
      </c>
    </row>
    <row r="47">
      <c r="A47" s="17" t="inlineStr">
        <is>
          <t xml:space="preserve">Tables 3/4/5 -- see 'All Sensitivity Comparisons' sheet for full detail. Summary: T3=PASS, T4=PASS, T5=PASS (36/36 cells).</t>
        </is>
      </c>
    </row>
    <row r="49">
      <c r="A49" s="3" t="inlineStr">
        <is>
          <t xml:space="preserve">-- CAT (Caterpillar Inc.) --</t>
        </is>
      </c>
    </row>
    <row r="50">
      <c r="A50" s="18" t="inlineStr">
        <is>
          <t xml:space="preserve">Table 1 -- WACC sensitivity (Intrinsic Value/Share)</t>
        </is>
      </c>
    </row>
    <row r="51">
      <c r="A51" s="2" t="inlineStr">
        <is>
          <t xml:space="preserve">WACC</t>
        </is>
      </c>
      <c r="B51" s="2" t="inlineStr">
        <is>
          <t xml:space="preserve">Codebase IVPS</t>
        </is>
      </c>
      <c r="C51" s="2" t="inlineStr">
        <is>
          <t xml:space="preserve">Workbook IVPS</t>
        </is>
      </c>
      <c r="D51" s="2" t="inlineStr">
        <is>
          <t xml:space="preserve">Abs. Diff</t>
        </is>
      </c>
      <c r="E51" s="2" t="inlineStr">
        <is>
          <t xml:space="preserve">Rel. Diff</t>
        </is>
      </c>
      <c r="F51" s="2" t="inlineStr">
        <is>
          <t xml:space="preserve">Tolerance</t>
        </is>
      </c>
      <c r="G51" s="2" t="inlineStr">
        <is>
          <t xml:space="preserve">PASS/FAIL</t>
        </is>
      </c>
    </row>
    <row r="52">
      <c r="A52" s="5">
        <v>0.05</v>
      </c>
      <c r="B52" s="7">
        <v>807.6615092612249</v>
      </c>
      <c r="C52" s="7">
        <v>807.6615092612249</v>
      </c>
      <c r="D52" s="12">
        <f>ABS(B52-C52)</f>
        <v>0.0</v>
      </c>
      <c r="E52" s="10">
        <f>IF(C52=0,"n/a (zero denom)",D52/ABS(C52))</f>
        <v>0.0</v>
      </c>
      <c r="F52" s="10">
        <f>'Tolerances'!$B$13</f>
        <v>0.005</v>
      </c>
      <c r="G52" s="15" t="str">
        <f>IF(C52=0,IF(D52&lt;=0.000001,"PASS","FAIL"),IF(E52&lt;=F52,"PASS","FAIL"))</f>
        <v>PASS</v>
      </c>
    </row>
    <row r="53">
      <c r="A53" s="5">
        <v>0.075</v>
      </c>
      <c r="B53" s="7">
        <v>371.34814265906454</v>
      </c>
      <c r="C53" s="7">
        <v>371.34814265906454</v>
      </c>
      <c r="D53" s="12">
        <f>ABS(B53-C53)</f>
        <v>0.0</v>
      </c>
      <c r="E53" s="10">
        <f>IF(C53=0,"n/a (zero denom)",D53/ABS(C53))</f>
        <v>0.0</v>
      </c>
      <c r="F53" s="10">
        <f>'Tolerances'!$B$13</f>
        <v>0.005</v>
      </c>
      <c r="G53" s="15" t="str">
        <f>IF(C53=0,IF(D53&lt;=0.000001,"PASS","FAIL"),IF(E53&lt;=F53,"PASS","FAIL"))</f>
        <v>PASS</v>
      </c>
    </row>
    <row r="54">
      <c r="A54" s="5">
        <v>0.1</v>
      </c>
      <c r="B54" s="7">
        <v>226.1443375673082</v>
      </c>
      <c r="C54" s="7">
        <v>226.1443375673082</v>
      </c>
      <c r="D54" s="12">
        <f>ABS(B54-C54)</f>
        <v>0.0</v>
      </c>
      <c r="E54" s="10">
        <f>IF(C54=0,"n/a (zero denom)",D54/ABS(C54))</f>
        <v>0.0</v>
      </c>
      <c r="F54" s="10">
        <f>'Tolerances'!$B$13</f>
        <v>0.005</v>
      </c>
      <c r="G54" s="15" t="str">
        <f>IF(C54=0,IF(D54&lt;=0.000001,"PASS","FAIL"),IF(E54&lt;=F54,"PASS","FAIL"))</f>
        <v>PASS</v>
      </c>
    </row>
    <row r="55">
      <c r="A55" s="5">
        <v>0.125</v>
      </c>
      <c r="B55" s="7">
        <v>153.69799636329634</v>
      </c>
      <c r="C55" s="7">
        <v>153.69799636329634</v>
      </c>
      <c r="D55" s="12">
        <f>ABS(B55-C55)</f>
        <v>0.0</v>
      </c>
      <c r="E55" s="10">
        <f>IF(C55=0,"n/a (zero denom)",D55/ABS(C55))</f>
        <v>0.0</v>
      </c>
      <c r="F55" s="10">
        <f>'Tolerances'!$B$13</f>
        <v>0.005</v>
      </c>
      <c r="G55" s="15" t="str">
        <f>IF(C55=0,IF(D55&lt;=0.000001,"PASS","FAIL"),IF(E55&lt;=F55,"PASS","FAIL"))</f>
        <v>PASS</v>
      </c>
    </row>
    <row r="56">
      <c r="A56" s="5">
        <v>0.15</v>
      </c>
      <c r="B56" s="7">
        <v>110.34085467377022</v>
      </c>
      <c r="C56" s="7">
        <v>110.34085467377022</v>
      </c>
      <c r="D56" s="12">
        <f>ABS(B56-C56)</f>
        <v>0.0</v>
      </c>
      <c r="E56" s="10">
        <f>IF(C56=0,"n/a (zero denom)",D56/ABS(C56))</f>
        <v>0.0</v>
      </c>
      <c r="F56" s="10">
        <f>'Tolerances'!$B$13</f>
        <v>0.005</v>
      </c>
      <c r="G56" s="15" t="str">
        <f>IF(C56=0,IF(D56&lt;=0.000001,"PASS","FAIL"),IF(E56&lt;=F56,"PASS","FAIL"))</f>
        <v>PASS</v>
      </c>
    </row>
    <row r="57">
      <c r="A57" s="5">
        <v>0.175</v>
      </c>
      <c r="B57" s="7">
        <v>81.5183420439451</v>
      </c>
      <c r="C57" s="7">
        <v>81.5183420439451</v>
      </c>
      <c r="D57" s="12">
        <f>ABS(B57-C57)</f>
        <v>0.0</v>
      </c>
      <c r="E57" s="10">
        <f>IF(C57=0,"n/a (zero denom)",D57/ABS(C57))</f>
        <v>0.0</v>
      </c>
      <c r="F57" s="10">
        <f>'Tolerances'!$B$13</f>
        <v>0.005</v>
      </c>
      <c r="G57" s="15" t="str">
        <f>IF(C57=0,IF(D57&lt;=0.000001,"PASS","FAIL"),IF(E57&lt;=F57,"PASS","FAIL"))</f>
        <v>PASS</v>
      </c>
    </row>
    <row r="58">
      <c r="A58" s="5">
        <v>0.2</v>
      </c>
      <c r="B58" s="7">
        <v>60.99388909969678</v>
      </c>
      <c r="C58" s="7">
        <v>60.99388909969678</v>
      </c>
      <c r="D58" s="12">
        <f>ABS(B58-C58)</f>
        <v>0.0</v>
      </c>
      <c r="E58" s="10">
        <f>IF(C58=0,"n/a (zero denom)",D58/ABS(C58))</f>
        <v>0.0</v>
      </c>
      <c r="F58" s="10">
        <f>'Tolerances'!$B$13</f>
        <v>0.005</v>
      </c>
      <c r="G58" s="15" t="str">
        <f>IF(C58=0,IF(D58&lt;=0.000001,"PASS","FAIL"),IF(E58&lt;=F58,"PASS","FAIL"))</f>
        <v>PASS</v>
      </c>
    </row>
    <row r="59">
      <c r="A59" s="18" t="inlineStr">
        <is>
          <t xml:space="preserve">Table 2 -- Terminal growth sensitivity (Intrinsic Value/Share)</t>
        </is>
      </c>
    </row>
    <row r="60">
      <c r="A60" s="2" t="inlineStr">
        <is>
          <t xml:space="preserve">Terminal g</t>
        </is>
      </c>
      <c r="B60" s="2" t="inlineStr">
        <is>
          <t xml:space="preserve">Codebase IVPS</t>
        </is>
      </c>
      <c r="C60" s="2" t="inlineStr">
        <is>
          <t xml:space="preserve">Workbook IVPS</t>
        </is>
      </c>
      <c r="D60" s="2" t="inlineStr">
        <is>
          <t xml:space="preserve">Abs. Diff</t>
        </is>
      </c>
      <c r="E60" s="2" t="inlineStr">
        <is>
          <t xml:space="preserve">Rel. Diff</t>
        </is>
      </c>
      <c r="F60" s="2" t="inlineStr">
        <is>
          <t xml:space="preserve">Tolerance</t>
        </is>
      </c>
      <c r="G60" s="2" t="inlineStr">
        <is>
          <t xml:space="preserve">PASS/FAIL</t>
        </is>
      </c>
    </row>
    <row r="61">
      <c r="A61" s="5">
        <v>0.0</v>
      </c>
      <c r="B61" s="7">
        <v>129.96188298827533</v>
      </c>
      <c r="C61" s="7">
        <v>129.96188298827533</v>
      </c>
      <c r="D61" s="12">
        <f>ABS(B61-C61)</f>
        <v>0.0</v>
      </c>
      <c r="E61" s="10">
        <f>IF(C61=0,"n/a (zero denom)",D61/ABS(C61))</f>
        <v>0.0</v>
      </c>
      <c r="F61" s="10">
        <f>'Tolerances'!$B$13</f>
        <v>0.005</v>
      </c>
      <c r="G61" s="15" t="str">
        <f>IF(C61=0,IF(D61&lt;=0.000001,"PASS","FAIL"),IF(E61&lt;=F61,"PASS","FAIL"))</f>
        <v>PASS</v>
      </c>
    </row>
    <row r="62">
      <c r="A62" s="5">
        <v>0.01</v>
      </c>
      <c r="B62" s="7">
        <v>141.33558408181673</v>
      </c>
      <c r="C62" s="7">
        <v>141.33558408181673</v>
      </c>
      <c r="D62" s="12">
        <f>ABS(B62-C62)</f>
        <v>0.0</v>
      </c>
      <c r="E62" s="10">
        <f>IF(C62=0,"n/a (zero denom)",D62/ABS(C62))</f>
        <v>0.0</v>
      </c>
      <c r="F62" s="10">
        <f>'Tolerances'!$B$13</f>
        <v>0.005</v>
      </c>
      <c r="G62" s="15" t="str">
        <f>IF(C62=0,IF(D62&lt;=0.000001,"PASS","FAIL"),IF(E62&lt;=F62,"PASS","FAIL"))</f>
        <v>PASS</v>
      </c>
    </row>
    <row r="63">
      <c r="A63" s="5">
        <v>0.02</v>
      </c>
      <c r="B63" s="7">
        <v>154.96242339320813</v>
      </c>
      <c r="C63" s="7">
        <v>154.96242339320813</v>
      </c>
      <c r="D63" s="12">
        <f>ABS(B63-C63)</f>
        <v>0.0</v>
      </c>
      <c r="E63" s="10">
        <f>IF(C63=0,"n/a (zero denom)",D63/ABS(C63))</f>
        <v>0.0</v>
      </c>
      <c r="F63" s="10">
        <f>'Tolerances'!$B$13</f>
        <v>0.005</v>
      </c>
      <c r="G63" s="15" t="str">
        <f>IF(C63=0,IF(D63&lt;=0.000001,"PASS","FAIL"),IF(E63&lt;=F63,"PASS","FAIL"))</f>
        <v>PASS</v>
      </c>
    </row>
    <row r="64">
      <c r="A64" s="5">
        <v>0.025</v>
      </c>
      <c r="B64" s="7">
        <v>162.84089749188038</v>
      </c>
      <c r="C64" s="7">
        <v>162.84089749188038</v>
      </c>
      <c r="D64" s="12">
        <f>ABS(B64-C64)</f>
        <v>0.0</v>
      </c>
      <c r="E64" s="10">
        <f>IF(C64=0,"n/a (zero denom)",D64/ABS(C64))</f>
        <v>0.0</v>
      </c>
      <c r="F64" s="10">
        <f>'Tolerances'!$B$13</f>
        <v>0.005</v>
      </c>
      <c r="G64" s="15" t="str">
        <f>IF(C64=0,IF(D64&lt;=0.000001,"PASS","FAIL"),IF(E64&lt;=F64,"PASS","FAIL"))</f>
        <v>PASS</v>
      </c>
    </row>
    <row r="65">
      <c r="A65" s="5">
        <v>0.03</v>
      </c>
      <c r="B65" s="7">
        <v>171.5855305859042</v>
      </c>
      <c r="C65" s="7">
        <v>171.5855305859042</v>
      </c>
      <c r="D65" s="12">
        <f>ABS(B65-C65)</f>
        <v>0.0</v>
      </c>
      <c r="E65" s="10">
        <f>IF(C65=0,"n/a (zero denom)",D65/ABS(C65))</f>
        <v>0.0</v>
      </c>
      <c r="F65" s="10">
        <f>'Tolerances'!$B$13</f>
        <v>0.005</v>
      </c>
      <c r="G65" s="15" t="str">
        <f>IF(C65=0,IF(D65&lt;=0.000001,"PASS","FAIL"),IF(E65&lt;=F65,"PASS","FAIL"))</f>
        <v>PASS</v>
      </c>
    </row>
    <row r="66">
      <c r="A66" s="5">
        <v>0.04</v>
      </c>
      <c r="B66" s="7">
        <v>192.31519990922325</v>
      </c>
      <c r="C66" s="7">
        <v>192.31519990922325</v>
      </c>
      <c r="D66" s="12">
        <f>ABS(B66-C66)</f>
        <v>0.0</v>
      </c>
      <c r="E66" s="10">
        <f>IF(C66=0,"n/a (zero denom)",D66/ABS(C66))</f>
        <v>0.0</v>
      </c>
      <c r="F66" s="10">
        <f>'Tolerances'!$B$13</f>
        <v>0.005</v>
      </c>
      <c r="G66" s="15" t="str">
        <f>IF(C66=0,IF(D66&lt;=0.000001,"PASS","FAIL"),IF(E66&lt;=F66,"PASS","FAIL"))</f>
        <v>PASS</v>
      </c>
    </row>
    <row r="67">
      <c r="A67" s="5">
        <v>0.05</v>
      </c>
      <c r="B67" s="7">
        <v>218.88760711281637</v>
      </c>
      <c r="C67" s="7">
        <v>218.88760711281637</v>
      </c>
      <c r="D67" s="12">
        <f>ABS(B67-C67)</f>
        <v>0.0</v>
      </c>
      <c r="E67" s="10">
        <f>IF(C67=0,"n/a (zero denom)",D67/ABS(C67))</f>
        <v>0.0</v>
      </c>
      <c r="F67" s="10">
        <f>'Tolerances'!$B$13</f>
        <v>0.005</v>
      </c>
      <c r="G67" s="15" t="str">
        <f>IF(C67=0,IF(D67&lt;=0.000001,"PASS","FAIL"),IF(E67&lt;=F67,"PASS","FAIL"))</f>
        <v>PASS</v>
      </c>
    </row>
    <row r="68">
      <c r="A68" s="17" t="inlineStr">
        <is>
          <t xml:space="preserve">Tables 3/4/5 -- see 'All Sensitivity Comparisons' sheet for full detail. Summary: T3=PASS, T4=PASS, T5=PASS (36/36 cells).</t>
        </is>
      </c>
    </row>
    <row r="70">
      <c r="A70" s="3" t="inlineStr">
        <is>
          <t xml:space="preserve">-- INTC (Intel Corporation) --</t>
        </is>
      </c>
    </row>
    <row r="71">
      <c r="A71" s="18" t="inlineStr">
        <is>
          <t xml:space="preserve">Table 1 -- WACC sensitivity (Intrinsic Value/Share)</t>
        </is>
      </c>
    </row>
    <row r="72">
      <c r="A72" s="2" t="inlineStr">
        <is>
          <t xml:space="preserve">WACC</t>
        </is>
      </c>
      <c r="B72" s="2" t="inlineStr">
        <is>
          <t xml:space="preserve">Codebase IVPS</t>
        </is>
      </c>
      <c r="C72" s="2" t="inlineStr">
        <is>
          <t xml:space="preserve">Workbook IVPS</t>
        </is>
      </c>
      <c r="D72" s="2" t="inlineStr">
        <is>
          <t xml:space="preserve">Abs. Diff</t>
        </is>
      </c>
      <c r="E72" s="2" t="inlineStr">
        <is>
          <t xml:space="preserve">Rel. Diff</t>
        </is>
      </c>
      <c r="F72" s="2" t="inlineStr">
        <is>
          <t xml:space="preserve">Tolerance</t>
        </is>
      </c>
      <c r="G72" s="2" t="inlineStr">
        <is>
          <t xml:space="preserve">PASS/FAIL</t>
        </is>
      </c>
    </row>
    <row r="73">
      <c r="A73" s="5">
        <v>0.05</v>
      </c>
      <c r="B73" s="7">
        <v>-8.127463347817827</v>
      </c>
      <c r="C73" s="7">
        <v>-8.127463347817827</v>
      </c>
      <c r="D73" s="12">
        <f>ABS(B73-C73)</f>
        <v>0.0</v>
      </c>
      <c r="E73" s="10">
        <f>IF(C73=0,"n/a (zero denom)",D73/ABS(C73))</f>
        <v>0.0</v>
      </c>
      <c r="F73" s="10">
        <f>'Tolerances'!$B$13</f>
        <v>0.005</v>
      </c>
      <c r="G73" s="15" t="str">
        <f>IF(C73=0,IF(D73&lt;=0.000001,"PASS","FAIL"),IF(E73&lt;=F73,"PASS","FAIL"))</f>
        <v>PASS</v>
      </c>
    </row>
    <row r="74">
      <c r="A74" s="5">
        <v>0.075</v>
      </c>
      <c r="B74" s="7">
        <v>-7.1522544217314605</v>
      </c>
      <c r="C74" s="7">
        <v>-7.1522544217314605</v>
      </c>
      <c r="D74" s="12">
        <f>ABS(B74-C74)</f>
        <v>0.0</v>
      </c>
      <c r="E74" s="10">
        <f>IF(C74=0,"n/a (zero denom)",D74/ABS(C74))</f>
        <v>0.0</v>
      </c>
      <c r="F74" s="10">
        <f>'Tolerances'!$B$13</f>
        <v>0.005</v>
      </c>
      <c r="G74" s="15" t="str">
        <f>IF(C74=0,IF(D74&lt;=0.000001,"PASS","FAIL"),IF(E74&lt;=F74,"PASS","FAIL"))</f>
        <v>PASS</v>
      </c>
    </row>
    <row r="75">
      <c r="A75" s="5">
        <v>0.1</v>
      </c>
      <c r="B75" s="7">
        <v>-6.825402221004131</v>
      </c>
      <c r="C75" s="7">
        <v>-6.825402221004131</v>
      </c>
      <c r="D75" s="12">
        <f>ABS(B75-C75)</f>
        <v>0.0</v>
      </c>
      <c r="E75" s="10">
        <f>IF(C75=0,"n/a (zero denom)",D75/ABS(C75))</f>
        <v>0.0</v>
      </c>
      <c r="F75" s="10">
        <f>'Tolerances'!$B$13</f>
        <v>0.005</v>
      </c>
      <c r="G75" s="15" t="str">
        <f>IF(C75=0,IF(D75&lt;=0.000001,"PASS","FAIL"),IF(E75&lt;=F75,"PASS","FAIL"))</f>
        <v>PASS</v>
      </c>
    </row>
    <row r="76">
      <c r="A76" s="5">
        <v>0.125</v>
      </c>
      <c r="B76" s="7">
        <v>-6.660787032646581</v>
      </c>
      <c r="C76" s="7">
        <v>-6.660787032646581</v>
      </c>
      <c r="D76" s="12">
        <f>ABS(B76-C76)</f>
        <v>0.0</v>
      </c>
      <c r="E76" s="10">
        <f>IF(C76=0,"n/a (zero denom)",D76/ABS(C76))</f>
        <v>0.0</v>
      </c>
      <c r="F76" s="10">
        <f>'Tolerances'!$B$13</f>
        <v>0.005</v>
      </c>
      <c r="G76" s="15" t="str">
        <f>IF(C76=0,IF(D76&lt;=0.000001,"PASS","FAIL"),IF(E76&lt;=F76,"PASS","FAIL"))</f>
        <v>PASS</v>
      </c>
    </row>
    <row r="77">
      <c r="A77" s="5">
        <v>0.15</v>
      </c>
      <c r="B77" s="7">
        <v>-6.56116920735397</v>
      </c>
      <c r="C77" s="7">
        <v>-6.56116920735397</v>
      </c>
      <c r="D77" s="12">
        <f>ABS(B77-C77)</f>
        <v>0.0</v>
      </c>
      <c r="E77" s="10">
        <f>IF(C77=0,"n/a (zero denom)",D77/ABS(C77))</f>
        <v>0.0</v>
      </c>
      <c r="F77" s="10">
        <f>'Tolerances'!$B$13</f>
        <v>0.005</v>
      </c>
      <c r="G77" s="15" t="str">
        <f>IF(C77=0,IF(D77&lt;=0.000001,"PASS","FAIL"),IF(E77&lt;=F77,"PASS","FAIL"))</f>
        <v>PASS</v>
      </c>
    </row>
    <row r="78">
      <c r="A78" s="5">
        <v>0.175</v>
      </c>
      <c r="B78" s="7">
        <v>-6.494124442227381</v>
      </c>
      <c r="C78" s="7">
        <v>-6.494124442227381</v>
      </c>
      <c r="D78" s="12">
        <f>ABS(B78-C78)</f>
        <v>0.0</v>
      </c>
      <c r="E78" s="10">
        <f>IF(C78=0,"n/a (zero denom)",D78/ABS(C78))</f>
        <v>0.0</v>
      </c>
      <c r="F78" s="10">
        <f>'Tolerances'!$B$13</f>
        <v>0.005</v>
      </c>
      <c r="G78" s="15" t="str">
        <f>IF(C78=0,IF(D78&lt;=0.000001,"PASS","FAIL"),IF(E78&lt;=F78,"PASS","FAIL"))</f>
        <v>PASS</v>
      </c>
    </row>
    <row r="79">
      <c r="A79" s="5">
        <v>0.2</v>
      </c>
      <c r="B79" s="7">
        <v>-6.44574852645009</v>
      </c>
      <c r="C79" s="7">
        <v>-6.44574852645009</v>
      </c>
      <c r="D79" s="12">
        <f>ABS(B79-C79)</f>
        <v>0.0</v>
      </c>
      <c r="E79" s="10">
        <f>IF(C79=0,"n/a (zero denom)",D79/ABS(C79))</f>
        <v>0.0</v>
      </c>
      <c r="F79" s="10">
        <f>'Tolerances'!$B$13</f>
        <v>0.005</v>
      </c>
      <c r="G79" s="15" t="str">
        <f>IF(C79=0,IF(D79&lt;=0.000001,"PASS","FAIL"),IF(E79&lt;=F79,"PASS","FAIL"))</f>
        <v>PASS</v>
      </c>
    </row>
    <row r="80">
      <c r="A80" s="18" t="inlineStr">
        <is>
          <t xml:space="preserve">Table 2 -- Terminal growth sensitivity (Intrinsic Value/Share)</t>
        </is>
      </c>
    </row>
    <row r="81">
      <c r="A81" s="2" t="inlineStr">
        <is>
          <t xml:space="preserve">Terminal g</t>
        </is>
      </c>
      <c r="B81" s="2" t="inlineStr">
        <is>
          <t xml:space="preserve">Codebase IVPS</t>
        </is>
      </c>
      <c r="C81" s="2" t="inlineStr">
        <is>
          <t xml:space="preserve">Workbook IVPS</t>
        </is>
      </c>
      <c r="D81" s="2" t="inlineStr">
        <is>
          <t xml:space="preserve">Abs. Diff</t>
        </is>
      </c>
      <c r="E81" s="2" t="inlineStr">
        <is>
          <t xml:space="preserve">Rel. Diff</t>
        </is>
      </c>
      <c r="F81" s="2" t="inlineStr">
        <is>
          <t xml:space="preserve">Tolerance</t>
        </is>
      </c>
      <c r="G81" s="2" t="inlineStr">
        <is>
          <t xml:space="preserve">PASS/FAIL</t>
        </is>
      </c>
    </row>
    <row r="82">
      <c r="A82" s="5">
        <v>0.0</v>
      </c>
      <c r="B82" s="7">
        <v>-6.5189250420497915</v>
      </c>
      <c r="C82" s="7">
        <v>-6.5189250420497915</v>
      </c>
      <c r="D82" s="12">
        <f>ABS(B82-C82)</f>
        <v>0.0</v>
      </c>
      <c r="E82" s="10">
        <f>IF(C82=0,"n/a (zero denom)",D82/ABS(C82))</f>
        <v>0.0</v>
      </c>
      <c r="F82" s="10">
        <f>'Tolerances'!$B$13</f>
        <v>0.005</v>
      </c>
      <c r="G82" s="15" t="str">
        <f>IF(C82=0,IF(D82&lt;=0.000001,"PASS","FAIL"),IF(E82&lt;=F82,"PASS","FAIL"))</f>
        <v>PASS</v>
      </c>
    </row>
    <row r="83">
      <c r="A83" s="5">
        <v>0.01</v>
      </c>
      <c r="B83" s="7">
        <v>-6.5333964538827995</v>
      </c>
      <c r="C83" s="7">
        <v>-6.5333964538827995</v>
      </c>
      <c r="D83" s="12">
        <f>ABS(B83-C83)</f>
        <v>0.0</v>
      </c>
      <c r="E83" s="10">
        <f>IF(C83=0,"n/a (zero denom)",D83/ABS(C83))</f>
        <v>0.0</v>
      </c>
      <c r="F83" s="10">
        <f>'Tolerances'!$B$13</f>
        <v>0.005</v>
      </c>
      <c r="G83" s="15" t="str">
        <f>IF(C83=0,IF(D83&lt;=0.000001,"PASS","FAIL"),IF(E83&lt;=F83,"PASS","FAIL"))</f>
        <v>PASS</v>
      </c>
    </row>
    <row r="84">
      <c r="A84" s="5">
        <v>0.02</v>
      </c>
      <c r="B84" s="7">
        <v>-6.550084917544311</v>
      </c>
      <c r="C84" s="7">
        <v>-6.550084917544311</v>
      </c>
      <c r="D84" s="12">
        <f>ABS(B84-C84)</f>
        <v>0.0</v>
      </c>
      <c r="E84" s="10">
        <f>IF(C84=0,"n/a (zero denom)",D84/ABS(C84))</f>
        <v>0.0</v>
      </c>
      <c r="F84" s="10">
        <f>'Tolerances'!$B$13</f>
        <v>0.005</v>
      </c>
      <c r="G84" s="15" t="str">
        <f>IF(C84=0,IF(D84&lt;=0.000001,"PASS","FAIL"),IF(E84&lt;=F84,"PASS","FAIL"))</f>
        <v>PASS</v>
      </c>
    </row>
    <row r="85">
      <c r="A85" s="5">
        <v>0.025</v>
      </c>
      <c r="B85" s="7">
        <v>-6.55942609896238</v>
      </c>
      <c r="C85" s="7">
        <v>-6.55942609896238</v>
      </c>
      <c r="D85" s="12">
        <f>ABS(B85-C85)</f>
        <v>0.0</v>
      </c>
      <c r="E85" s="10">
        <f>IF(C85=0,"n/a (zero denom)",D85/ABS(C85))</f>
        <v>0.0</v>
      </c>
      <c r="F85" s="10">
        <f>'Tolerances'!$B$13</f>
        <v>0.005</v>
      </c>
      <c r="G85" s="15" t="str">
        <f>IF(C85=0,IF(D85&lt;=0.000001,"PASS","FAIL"),IF(E85&lt;=F85,"PASS","FAIL"))</f>
        <v>PASS</v>
      </c>
    </row>
    <row r="86">
      <c r="A86" s="5">
        <v>0.03</v>
      </c>
      <c r="B86" s="7">
        <v>-6.569542183476578</v>
      </c>
      <c r="C86" s="7">
        <v>-6.569542183476578</v>
      </c>
      <c r="D86" s="12">
        <f>ABS(B86-C86)</f>
        <v>0.0</v>
      </c>
      <c r="E86" s="10">
        <f>IF(C86=0,"n/a (zero denom)",D86/ABS(C86))</f>
        <v>0.0</v>
      </c>
      <c r="F86" s="10">
        <f>'Tolerances'!$B$13</f>
        <v>0.005</v>
      </c>
      <c r="G86" s="15" t="str">
        <f>IF(C86=0,IF(D86&lt;=0.000001,"PASS","FAIL"),IF(E86&lt;=F86,"PASS","FAIL"))</f>
        <v>PASS</v>
      </c>
    </row>
    <row r="87">
      <c r="A87" s="5">
        <v>0.04</v>
      </c>
      <c r="B87" s="7">
        <v>-6.592519646873012</v>
      </c>
      <c r="C87" s="7">
        <v>-6.592519646873012</v>
      </c>
      <c r="D87" s="12">
        <f>ABS(B87-C87)</f>
        <v>0.0</v>
      </c>
      <c r="E87" s="10">
        <f>IF(C87=0,"n/a (zero denom)",D87/ABS(C87))</f>
        <v>0.0</v>
      </c>
      <c r="F87" s="10">
        <f>'Tolerances'!$B$13</f>
        <v>0.005</v>
      </c>
      <c r="G87" s="15" t="str">
        <f>IF(C87=0,IF(D87&lt;=0.000001,"PASS","FAIL"),IF(E87&lt;=F87,"PASS","FAIL"))</f>
        <v>PASS</v>
      </c>
    </row>
    <row r="88">
      <c r="A88" s="5">
        <v>0.05</v>
      </c>
      <c r="B88" s="7">
        <v>-6.620067627542984</v>
      </c>
      <c r="C88" s="7">
        <v>-6.620067627542984</v>
      </c>
      <c r="D88" s="12">
        <f>ABS(B88-C88)</f>
        <v>0.0</v>
      </c>
      <c r="E88" s="10">
        <f>IF(C88=0,"n/a (zero denom)",D88/ABS(C88))</f>
        <v>0.0</v>
      </c>
      <c r="F88" s="10">
        <f>'Tolerances'!$B$13</f>
        <v>0.005</v>
      </c>
      <c r="G88" s="15" t="str">
        <f>IF(C88=0,IF(D88&lt;=0.000001,"PASS","FAIL"),IF(E88&lt;=F88,"PASS","FAIL"))</f>
        <v>PASS</v>
      </c>
    </row>
    <row r="89">
      <c r="A89" s="17" t="inlineStr">
        <is>
          <t xml:space="preserve">Tables 3/4/5 -- see 'All Sensitivity Comparisons' sheet for full detail. Summary: T3=PASS, T4=PASS, T5=PASS (36/36 cells).</t>
        </is>
      </c>
    </row>
    <row r="91">
      <c r="A91" s="3" t="inlineStr">
        <is>
          <t xml:space="preserve">-- VZ (Verizon Communications Inc.) --</t>
        </is>
      </c>
    </row>
    <row r="92">
      <c r="A92" s="18" t="inlineStr">
        <is>
          <t xml:space="preserve">Table 1 -- WACC sensitivity (Intrinsic Value/Share)</t>
        </is>
      </c>
    </row>
    <row r="93">
      <c r="A93" s="2" t="inlineStr">
        <is>
          <t xml:space="preserve">WACC</t>
        </is>
      </c>
      <c r="B93" s="2" t="inlineStr">
        <is>
          <t xml:space="preserve">Codebase IVPS</t>
        </is>
      </c>
      <c r="C93" s="2" t="inlineStr">
        <is>
          <t xml:space="preserve">Workbook IVPS</t>
        </is>
      </c>
      <c r="D93" s="2" t="inlineStr">
        <is>
          <t xml:space="preserve">Abs. Diff</t>
        </is>
      </c>
      <c r="E93" s="2" t="inlineStr">
        <is>
          <t xml:space="preserve">Rel. Diff</t>
        </is>
      </c>
      <c r="F93" s="2" t="inlineStr">
        <is>
          <t xml:space="preserve">Tolerance</t>
        </is>
      </c>
      <c r="G93" s="2" t="inlineStr">
        <is>
          <t xml:space="preserve">PASS/FAIL</t>
        </is>
      </c>
    </row>
    <row r="94">
      <c r="A94" s="5">
        <v>0.05</v>
      </c>
      <c r="B94" s="7">
        <v>161.74247894330927</v>
      </c>
      <c r="C94" s="7">
        <v>161.74247894330927</v>
      </c>
      <c r="D94" s="12">
        <f>ABS(B94-C94)</f>
        <v>0.0</v>
      </c>
      <c r="E94" s="10">
        <f>IF(C94=0,"n/a (zero denom)",D94/ABS(C94))</f>
        <v>0.0</v>
      </c>
      <c r="F94" s="10">
        <f>'Tolerances'!$B$13</f>
        <v>0.005</v>
      </c>
      <c r="G94" s="15" t="str">
        <f>IF(C94=0,IF(D94&lt;=0.000001,"PASS","FAIL"),IF(E94&lt;=F94,"PASS","FAIL"))</f>
        <v>PASS</v>
      </c>
    </row>
    <row r="95">
      <c r="A95" s="5">
        <v>0.075</v>
      </c>
      <c r="B95" s="7">
        <v>64.4743225007735</v>
      </c>
      <c r="C95" s="7">
        <v>64.4743225007735</v>
      </c>
      <c r="D95" s="12">
        <f>ABS(B95-C95)</f>
        <v>0.0</v>
      </c>
      <c r="E95" s="10">
        <f>IF(C95=0,"n/a (zero denom)",D95/ABS(C95))</f>
        <v>0.0</v>
      </c>
      <c r="F95" s="10">
        <f>'Tolerances'!$B$13</f>
        <v>0.005</v>
      </c>
      <c r="G95" s="15" t="str">
        <f>IF(C95=0,IF(D95&lt;=0.000001,"PASS","FAIL"),IF(E95&lt;=F95,"PASS","FAIL"))</f>
        <v>PASS</v>
      </c>
    </row>
    <row r="96">
      <c r="A96" s="5">
        <v>0.1</v>
      </c>
      <c r="B96" s="7">
        <v>32.03159507541137</v>
      </c>
      <c r="C96" s="7">
        <v>32.03159507541137</v>
      </c>
      <c r="D96" s="12">
        <f>ABS(B96-C96)</f>
        <v>0.0</v>
      </c>
      <c r="E96" s="10">
        <f>IF(C96=0,"n/a (zero denom)",D96/ABS(C96))</f>
        <v>0.0</v>
      </c>
      <c r="F96" s="10">
        <f>'Tolerances'!$B$13</f>
        <v>0.005</v>
      </c>
      <c r="G96" s="15" t="str">
        <f>IF(C96=0,IF(D96&lt;=0.000001,"PASS","FAIL"),IF(E96&lt;=F96,"PASS","FAIL"))</f>
        <v>PASS</v>
      </c>
    </row>
    <row r="97">
      <c r="A97" s="5">
        <v>0.125</v>
      </c>
      <c r="B97" s="7">
        <v>15.796913343939572</v>
      </c>
      <c r="C97" s="7">
        <v>15.796913343939572</v>
      </c>
      <c r="D97" s="12">
        <f>ABS(B97-C97)</f>
        <v>0.0</v>
      </c>
      <c r="E97" s="10">
        <f>IF(C97=0,"n/a (zero denom)",D97/ABS(C97))</f>
        <v>0.0</v>
      </c>
      <c r="F97" s="10">
        <f>'Tolerances'!$B$13</f>
        <v>0.005</v>
      </c>
      <c r="G97" s="15" t="str">
        <f>IF(C97=0,IF(D97&lt;=0.000001,"PASS","FAIL"),IF(E97&lt;=F97,"PASS","FAIL"))</f>
        <v>PASS</v>
      </c>
    </row>
    <row r="98">
      <c r="A98" s="5">
        <v>0.15</v>
      </c>
      <c r="B98" s="7">
        <v>6.04661914168476</v>
      </c>
      <c r="C98" s="7">
        <v>6.04661914168476</v>
      </c>
      <c r="D98" s="12">
        <f>ABS(B98-C98)</f>
        <v>0.0</v>
      </c>
      <c r="E98" s="10">
        <f>IF(C98=0,"n/a (zero denom)",D98/ABS(C98))</f>
        <v>0.0</v>
      </c>
      <c r="F98" s="10">
        <f>'Tolerances'!$B$13</f>
        <v>0.005</v>
      </c>
      <c r="G98" s="15" t="str">
        <f>IF(C98=0,IF(D98&lt;=0.000001,"PASS","FAIL"),IF(E98&lt;=F98,"PASS","FAIL"))</f>
        <v>PASS</v>
      </c>
    </row>
    <row r="99">
      <c r="A99" s="5">
        <v>0.175</v>
      </c>
      <c r="B99" s="7">
        <v>-0.4606348352371206</v>
      </c>
      <c r="C99" s="7">
        <v>-0.4606348352371206</v>
      </c>
      <c r="D99" s="12">
        <f>ABS(B99-C99)</f>
        <v>0.0</v>
      </c>
      <c r="E99" s="10">
        <f>IF(C99=0,"n/a (zero denom)",D99/ABS(C99))</f>
        <v>0.0</v>
      </c>
      <c r="F99" s="10">
        <f>'Tolerances'!$B$13</f>
        <v>0.005</v>
      </c>
      <c r="G99" s="15" t="str">
        <f>IF(C99=0,IF(D99&lt;=0.000001,"PASS","FAIL"),IF(E99&lt;=F99,"PASS","FAIL"))</f>
        <v>PASS</v>
      </c>
    </row>
    <row r="100">
      <c r="A100" s="5">
        <v>0.2</v>
      </c>
      <c r="B100" s="7">
        <v>-5.114090528443436</v>
      </c>
      <c r="C100" s="7">
        <v>-5.114090528443436</v>
      </c>
      <c r="D100" s="12">
        <f>ABS(B100-C100)</f>
        <v>0.0</v>
      </c>
      <c r="E100" s="10">
        <f>IF(C100=0,"n/a (zero denom)",D100/ABS(C100))</f>
        <v>0.0</v>
      </c>
      <c r="F100" s="10">
        <f>'Tolerances'!$B$13</f>
        <v>0.005</v>
      </c>
      <c r="G100" s="15" t="str">
        <f>IF(C100=0,IF(D100&lt;=0.000001,"PASS","FAIL"),IF(E100&lt;=F100,"PASS","FAIL"))</f>
        <v>PASS</v>
      </c>
    </row>
    <row r="101">
      <c r="A101" s="18" t="inlineStr">
        <is>
          <t xml:space="preserve">Table 2 -- Terminal growth sensitivity (Intrinsic Value/Share)</t>
        </is>
      </c>
    </row>
    <row r="102">
      <c r="A102" s="2" t="inlineStr">
        <is>
          <t xml:space="preserve">Terminal g</t>
        </is>
      </c>
      <c r="B102" s="2" t="inlineStr">
        <is>
          <t xml:space="preserve">Codebase IVPS</t>
        </is>
      </c>
      <c r="C102" s="2" t="inlineStr">
        <is>
          <t xml:space="preserve">Workbook IVPS</t>
        </is>
      </c>
      <c r="D102" s="2" t="inlineStr">
        <is>
          <t xml:space="preserve">Abs. Diff</t>
        </is>
      </c>
      <c r="E102" s="2" t="inlineStr">
        <is>
          <t xml:space="preserve">Rel. Diff</t>
        </is>
      </c>
      <c r="F102" s="2" t="inlineStr">
        <is>
          <t xml:space="preserve">Tolerance</t>
        </is>
      </c>
      <c r="G102" s="2" t="inlineStr">
        <is>
          <t xml:space="preserve">PASS/FAIL</t>
        </is>
      </c>
    </row>
    <row r="103">
      <c r="A103" s="5">
        <v>0.0</v>
      </c>
      <c r="B103" s="7">
        <v>73.44314346424999</v>
      </c>
      <c r="C103" s="7">
        <v>73.44314346424999</v>
      </c>
      <c r="D103" s="12">
        <f>ABS(B103-C103)</f>
        <v>0.0</v>
      </c>
      <c r="E103" s="10">
        <f>IF(C103=0,"n/a (zero denom)",D103/ABS(C103))</f>
        <v>0.0</v>
      </c>
      <c r="F103" s="10">
        <f>'Tolerances'!$B$13</f>
        <v>0.005</v>
      </c>
      <c r="G103" s="15" t="str">
        <f>IF(C103=0,IF(D103&lt;=0.000001,"PASS","FAIL"),IF(E103&lt;=F103,"PASS","FAIL"))</f>
        <v>PASS</v>
      </c>
    </row>
    <row r="104">
      <c r="A104" s="5">
        <v>0.01</v>
      </c>
      <c r="B104" s="7">
        <v>95.5179773340148</v>
      </c>
      <c r="C104" s="7">
        <v>95.5179773340148</v>
      </c>
      <c r="D104" s="12">
        <f>ABS(B104-C104)</f>
        <v>0.0</v>
      </c>
      <c r="E104" s="10">
        <f>IF(C104=0,"n/a (zero denom)",D104/ABS(C104))</f>
        <v>0.0</v>
      </c>
      <c r="F104" s="10">
        <f>'Tolerances'!$B$13</f>
        <v>0.005</v>
      </c>
      <c r="G104" s="15" t="str">
        <f>IF(C104=0,IF(D104&lt;=0.000001,"PASS","FAIL"),IF(E104&lt;=F104,"PASS","FAIL"))</f>
        <v>PASS</v>
      </c>
    </row>
    <row r="105">
      <c r="A105" s="5">
        <v>0.02</v>
      </c>
      <c r="B105" s="7">
        <v>132.30936711695614</v>
      </c>
      <c r="C105" s="7">
        <v>132.30936711695614</v>
      </c>
      <c r="D105" s="12">
        <f>ABS(B105-C105)</f>
        <v>0.0</v>
      </c>
      <c r="E105" s="10">
        <f>IF(C105=0,"n/a (zero denom)",D105/ABS(C105))</f>
        <v>0.0</v>
      </c>
      <c r="F105" s="10">
        <f>'Tolerances'!$B$13</f>
        <v>0.005</v>
      </c>
      <c r="G105" s="15" t="str">
        <f>IF(C105=0,IF(D105&lt;=0.000001,"PASS","FAIL"),IF(E105&lt;=F105,"PASS","FAIL"))</f>
        <v>PASS</v>
      </c>
    </row>
    <row r="106">
      <c r="A106" s="5">
        <v>0.025</v>
      </c>
      <c r="B106" s="7">
        <v>161.74247894330927</v>
      </c>
      <c r="C106" s="7">
        <v>161.74247894330927</v>
      </c>
      <c r="D106" s="12">
        <f>ABS(B106-C106)</f>
        <v>0.0</v>
      </c>
      <c r="E106" s="10">
        <f>IF(C106=0,"n/a (zero denom)",D106/ABS(C106))</f>
        <v>0.0</v>
      </c>
      <c r="F106" s="10">
        <f>'Tolerances'!$B$13</f>
        <v>0.005</v>
      </c>
      <c r="G106" s="15" t="str">
        <f>IF(C106=0,IF(D106&lt;=0.000001,"PASS","FAIL"),IF(E106&lt;=F106,"PASS","FAIL"))</f>
        <v>PASS</v>
      </c>
    </row>
    <row r="107">
      <c r="A107" s="5">
        <v>0.03</v>
      </c>
      <c r="B107" s="7">
        <v>205.89214668283884</v>
      </c>
      <c r="C107" s="7">
        <v>205.89214668283884</v>
      </c>
      <c r="D107" s="12">
        <f>ABS(B107-C107)</f>
        <v>0.0</v>
      </c>
      <c r="E107" s="10">
        <f>IF(C107=0,"n/a (zero denom)",D107/ABS(C107))</f>
        <v>0.0</v>
      </c>
      <c r="F107" s="10">
        <f>'Tolerances'!$B$13</f>
        <v>0.005</v>
      </c>
      <c r="G107" s="15" t="str">
        <f>IF(C107=0,IF(D107&lt;=0.000001,"PASS","FAIL"),IF(E107&lt;=F107,"PASS","FAIL"))</f>
        <v>PASS</v>
      </c>
    </row>
    <row r="108">
      <c r="A108" s="5">
        <v>0.04</v>
      </c>
      <c r="B108" s="7">
        <v>426.64048538048695</v>
      </c>
      <c r="C108" s="7">
        <v>426.64048538048695</v>
      </c>
      <c r="D108" s="12">
        <f>ABS(B108-C108)</f>
        <v>0.0</v>
      </c>
      <c r="E108" s="10">
        <f>IF(C108=0,"n/a (zero denom)",D108/ABS(C108))</f>
        <v>0.0</v>
      </c>
      <c r="F108" s="10">
        <f>'Tolerances'!$B$13</f>
        <v>0.005</v>
      </c>
      <c r="G108" s="15" t="str">
        <f>IF(C108=0,IF(D108&lt;=0.000001,"PASS","FAIL"),IF(E108&lt;=F108,"PASS","FAIL"))</f>
        <v>PASS</v>
      </c>
    </row>
    <row r="109">
      <c r="A109" s="5">
        <v>0.05</v>
      </c>
      <c r="B109" s="4" t="inlineStr">
        <is>
          <t xml:space="preserve">n/a</t>
        </is>
      </c>
      <c r="C109" s="4" t="inlineStr">
        <is>
          <t xml:space="preserve">n/a</t>
        </is>
      </c>
      <c r="G109" s="15" t="inlineStr">
        <is>
          <t xml:space="preserve">PASS</t>
        </is>
      </c>
    </row>
    <row r="110">
      <c r="A110" s="17" t="inlineStr">
        <is>
          <t xml:space="preserve">Tables 3/4/5 -- see 'All Sensitivity Comparisons' sheet for full detail. Summary: T3=PASS, T4=PASS, T5=PASS (36/36 cells).</t>
        </is>
      </c>
    </row>
  </sheetData>
</worksheet>
</file>

<file path=xl/worksheets/sheet9.xml><?xml version="1.0" encoding="utf-8"?>
<worksheet xmlns="http://schemas.openxmlformats.org/spreadsheetml/2006/main">
  <dimension ref="A1:K912"/>
  <sheetViews>
    <sheetView workbookViewId="0">
      <pane xSplit="4" ySplit="4" topLeftCell="E5" activePane="bottomRight" state="frozen"/>
      <selection pane="bottomRight" activeCell="E5" sqref="E5"/>
    </sheetView>
  </sheetViews>
  <sheetFormatPr defaultRowHeight="15"/>
  <cols>
    <col min="1" max="1" width="8" customWidth="1"/>
    <col min="2" max="2" width="26" customWidth="1"/>
    <col min="3" max="3" width="22" customWidth="1"/>
    <col min="4" max="4" width="24" customWidth="1"/>
    <col min="5" max="5" width="16" customWidth="1"/>
    <col min="6" max="6" width="16" customWidth="1"/>
    <col min="7" max="7" width="14" customWidth="1"/>
    <col min="8" max="8" width="12" customWidth="1"/>
    <col min="9" max="9" width="12" customWidth="1"/>
    <col min="10" max="10" width="10" customWidth="1"/>
    <col min="11" max="11" width="40" customWidth="1"/>
  </cols>
  <sheetData>
    <row r="1">
      <c r="A1" s="1" t="inlineStr">
        <is>
          <t xml:space="preserve">All sensitivity scalar comparisons -- Tables 1-5, all four companies (908 rows)</t>
        </is>
      </c>
    </row>
    <row r="2">
      <c r="A2" s="17" t="inlineStr">
        <is>
          <t xml:space="preserve">One row per individual scalar comparison (a single output metric within a single sensitivity scenario). Codebase/Workbook columns are hardcoded imports (yellow); Absolute Difference / Relative-or-pp Difference / PASS-FAIL are live formulas (white), with Tolerance a formula reference to the 'Tolerances' sheet's single source of truth.</t>
        </is>
      </c>
    </row>
    <row r="4">
      <c r="A4" s="2" t="inlineStr">
        <is>
          <t xml:space="preserve">Ticker</t>
        </is>
      </c>
      <c r="B4" s="2" t="inlineStr">
        <is>
          <t xml:space="preserve">Table</t>
        </is>
      </c>
      <c r="C4" s="2" t="inlineStr">
        <is>
          <t xml:space="preserve">Scenario</t>
        </is>
      </c>
      <c r="D4" s="2" t="inlineStr">
        <is>
          <t xml:space="preserve">Output Metric</t>
        </is>
      </c>
      <c r="E4" s="2" t="inlineStr">
        <is>
          <t xml:space="preserve">Codebase Value</t>
        </is>
      </c>
      <c r="F4" s="2" t="inlineStr">
        <is>
          <t xml:space="preserve">Workbook Value</t>
        </is>
      </c>
      <c r="G4" s="2" t="inlineStr">
        <is>
          <t xml:space="preserve">Absolute Difference</t>
        </is>
      </c>
      <c r="H4" s="2" t="inlineStr">
        <is>
          <t xml:space="preserve">Relative/pp Difference</t>
        </is>
      </c>
      <c r="I4" s="2" t="inlineStr">
        <is>
          <t xml:space="preserve">Tolerance</t>
        </is>
      </c>
      <c r="J4" s="2" t="inlineStr">
        <is>
          <t xml:space="preserve">PASS/FAIL</t>
        </is>
      </c>
      <c r="K4" s="2" t="inlineStr">
        <is>
          <t xml:space="preserve">Notes</t>
        </is>
      </c>
    </row>
    <row r="5">
      <c r="A5" t="inlineStr">
        <is>
          <t xml:space="preserve">MSFT</t>
        </is>
      </c>
      <c r="B5" t="inlineStr">
        <is>
          <t xml:space="preserve">Table 1 -- WACC</t>
        </is>
      </c>
      <c r="C5" t="inlineStr">
        <is>
          <t xml:space="preserve">WACC=5.0000%</t>
        </is>
      </c>
      <c r="D5" t="inlineStr">
        <is>
          <t xml:space="preserve">Terminal Value</t>
        </is>
      </c>
      <c r="E5" s="6">
        <v>8931845526421.326</v>
      </c>
      <c r="F5" s="6">
        <v>8931845526421.326</v>
      </c>
      <c r="G5" s="11">
        <f>ABS(E5-F5)</f>
        <v>0.0</v>
      </c>
      <c r="H5" s="10">
        <f>IF(F5=0,"n/a (zero denom)",G5/ABS(F5))</f>
        <v>0.0</v>
      </c>
      <c r="I5" s="10">
        <f>'Tolerances'!$B$7</f>
        <v>0.002</v>
      </c>
      <c r="J5" s="15" t="str">
        <f>IF(F5=0,IF(G5&lt;=0.000001,"PASS","FAIL"),IF(H5&lt;=I5,"PASS","FAIL"))</f>
        <v>PASS</v>
      </c>
      <c r="K5" t="inlineStr">
        <is>
          <t xml:space="preserve"/>
        </is>
      </c>
    </row>
    <row r="6">
      <c r="A6" t="inlineStr">
        <is>
          <t xml:space="preserve">MSFT</t>
        </is>
      </c>
      <c r="B6" t="inlineStr">
        <is>
          <t xml:space="preserve">Table 1 -- WACC</t>
        </is>
      </c>
      <c r="C6" t="inlineStr">
        <is>
          <t xml:space="preserve">WACC=5.0000%</t>
        </is>
      </c>
      <c r="D6" t="inlineStr">
        <is>
          <t xml:space="preserve">Enterprise Value</t>
        </is>
      </c>
      <c r="E6" s="6">
        <v>7730311712249.185</v>
      </c>
      <c r="F6" s="6">
        <v>7730311712249.185</v>
      </c>
      <c r="G6" s="11">
        <f>ABS(E6-F6)</f>
        <v>0.0</v>
      </c>
      <c r="H6" s="10">
        <f>IF(F6=0,"n/a (zero denom)",G6/ABS(F6))</f>
        <v>0.0</v>
      </c>
      <c r="I6" s="10">
        <f>'Tolerances'!$B$10</f>
        <v>0.002</v>
      </c>
      <c r="J6" s="15" t="str">
        <f>IF(F6=0,IF(G6&lt;=0.000001,"PASS","FAIL"),IF(H6&lt;=I6,"PASS","FAIL"))</f>
        <v>PASS</v>
      </c>
      <c r="K6" t="inlineStr">
        <is>
          <t xml:space="preserve"/>
        </is>
      </c>
    </row>
    <row r="7">
      <c r="A7" t="inlineStr">
        <is>
          <t xml:space="preserve">MSFT</t>
        </is>
      </c>
      <c r="B7" t="inlineStr">
        <is>
          <t xml:space="preserve">Table 1 -- WACC</t>
        </is>
      </c>
      <c r="C7" t="inlineStr">
        <is>
          <t xml:space="preserve">WACC=5.0000%</t>
        </is>
      </c>
      <c r="D7" t="inlineStr">
        <is>
          <t xml:space="preserve">Equity Value</t>
        </is>
      </c>
      <c r="E7" s="6">
        <v>7710952712249.185</v>
      </c>
      <c r="F7" s="6">
        <v>7710952712249.185</v>
      </c>
      <c r="G7" s="11">
        <f>ABS(E7-F7)</f>
        <v>0.0</v>
      </c>
      <c r="H7" s="10">
        <f>IF(F7=0,"n/a (zero denom)",G7/ABS(F7))</f>
        <v>0.0</v>
      </c>
      <c r="I7" s="10">
        <f>'Tolerances'!$B$11</f>
        <v>0.002</v>
      </c>
      <c r="J7" s="15" t="str">
        <f>IF(F7=0,IF(G7&lt;=0.000001,"PASS","FAIL"),IF(H7&lt;=I7,"PASS","FAIL"))</f>
        <v>PASS</v>
      </c>
      <c r="K7" t="inlineStr">
        <is>
          <t xml:space="preserve"/>
        </is>
      </c>
    </row>
    <row r="8">
      <c r="A8" t="inlineStr">
        <is>
          <t xml:space="preserve">MSFT</t>
        </is>
      </c>
      <c r="B8" t="inlineStr">
        <is>
          <t xml:space="preserve">Table 1 -- WACC</t>
        </is>
      </c>
      <c r="C8" t="inlineStr">
        <is>
          <t xml:space="preserve">WACC=5.0000%</t>
        </is>
      </c>
      <c r="D8" t="inlineStr">
        <is>
          <t xml:space="preserve">Intrinsic Value per Share</t>
        </is>
      </c>
      <c r="E8" s="7">
        <v>1038.435859236888</v>
      </c>
      <c r="F8" s="7">
        <v>1038.435859236888</v>
      </c>
      <c r="G8" s="12">
        <f>ABS(E8-F8)</f>
        <v>0.0</v>
      </c>
      <c r="H8" s="10">
        <f>IF(F8=0,"n/a (zero denom)",G8/ABS(F8))</f>
        <v>0.0</v>
      </c>
      <c r="I8" s="10">
        <f>'Tolerances'!$B$13</f>
        <v>0.005</v>
      </c>
      <c r="J8" s="15" t="str">
        <f>IF(F8=0,IF(G8&lt;=0.000001,"PASS","FAIL"),IF(H8&lt;=I8,"PASS","FAIL"))</f>
        <v>PASS</v>
      </c>
      <c r="K8" t="inlineStr">
        <is>
          <t xml:space="preserve"/>
        </is>
      </c>
    </row>
    <row r="9">
      <c r="A9" t="inlineStr">
        <is>
          <t xml:space="preserve">MSFT</t>
        </is>
      </c>
      <c r="B9" t="inlineStr">
        <is>
          <t xml:space="preserve">Table 1 -- WACC</t>
        </is>
      </c>
      <c r="C9" t="inlineStr">
        <is>
          <t xml:space="preserve">WACC=7.5000%</t>
        </is>
      </c>
      <c r="D9" t="inlineStr">
        <is>
          <t xml:space="preserve">Terminal Value</t>
        </is>
      </c>
      <c r="E9" s="6">
        <v>4465922763210.664</v>
      </c>
      <c r="F9" s="6">
        <v>4465922763210.664</v>
      </c>
      <c r="G9" s="11">
        <f>ABS(E9-F9)</f>
        <v>0.0</v>
      </c>
      <c r="H9" s="10">
        <f>IF(F9=0,"n/a (zero denom)",G9/ABS(F9))</f>
        <v>0.0</v>
      </c>
      <c r="I9" s="10">
        <f>'Tolerances'!$B$7</f>
        <v>0.002</v>
      </c>
      <c r="J9" s="15" t="str">
        <f>IF(F9=0,IF(G9&lt;=0.000001,"PASS","FAIL"),IF(H9&lt;=I9,"PASS","FAIL"))</f>
        <v>PASS</v>
      </c>
      <c r="K9" t="inlineStr">
        <is>
          <t xml:space="preserve"/>
        </is>
      </c>
    </row>
    <row r="10">
      <c r="A10" t="inlineStr">
        <is>
          <t xml:space="preserve">MSFT</t>
        </is>
      </c>
      <c r="B10" t="inlineStr">
        <is>
          <t xml:space="preserve">Table 1 -- WACC</t>
        </is>
      </c>
      <c r="C10" t="inlineStr">
        <is>
          <t xml:space="preserve">WACC=7.5000%</t>
        </is>
      </c>
      <c r="D10" t="inlineStr">
        <is>
          <t xml:space="preserve">Enterprise Value</t>
        </is>
      </c>
      <c r="E10" s="6">
        <v>3790683177169.7993</v>
      </c>
      <c r="F10" s="6">
        <v>3790683177169.7993</v>
      </c>
      <c r="G10" s="11">
        <f>ABS(E10-F10)</f>
        <v>0.0</v>
      </c>
      <c r="H10" s="10">
        <f>IF(F10=0,"n/a (zero denom)",G10/ABS(F10))</f>
        <v>0.0</v>
      </c>
      <c r="I10" s="10">
        <f>'Tolerances'!$B$10</f>
        <v>0.002</v>
      </c>
      <c r="J10" s="15" t="str">
        <f>IF(F10=0,IF(G10&lt;=0.000001,"PASS","FAIL"),IF(H10&lt;=I10,"PASS","FAIL"))</f>
        <v>PASS</v>
      </c>
      <c r="K10" t="inlineStr">
        <is>
          <t xml:space="preserve"/>
        </is>
      </c>
    </row>
    <row r="11">
      <c r="A11" t="inlineStr">
        <is>
          <t xml:space="preserve">MSFT</t>
        </is>
      </c>
      <c r="B11" t="inlineStr">
        <is>
          <t xml:space="preserve">Table 1 -- WACC</t>
        </is>
      </c>
      <c r="C11" t="inlineStr">
        <is>
          <t xml:space="preserve">WACC=7.5000%</t>
        </is>
      </c>
      <c r="D11" t="inlineStr">
        <is>
          <t xml:space="preserve">Equity Value</t>
        </is>
      </c>
      <c r="E11" s="6">
        <v>3771324177169.7993</v>
      </c>
      <c r="F11" s="6">
        <v>3771324177169.7993</v>
      </c>
      <c r="G11" s="11">
        <f>ABS(E11-F11)</f>
        <v>0.0</v>
      </c>
      <c r="H11" s="10">
        <f>IF(F11=0,"n/a (zero denom)",G11/ABS(F11))</f>
        <v>0.0</v>
      </c>
      <c r="I11" s="10">
        <f>'Tolerances'!$B$11</f>
        <v>0.002</v>
      </c>
      <c r="J11" s="15" t="str">
        <f>IF(F11=0,IF(G11&lt;=0.000001,"PASS","FAIL"),IF(H11&lt;=I11,"PASS","FAIL"))</f>
        <v>PASS</v>
      </c>
      <c r="K11" t="inlineStr">
        <is>
          <t xml:space="preserve"/>
        </is>
      </c>
    </row>
    <row r="12">
      <c r="A12" t="inlineStr">
        <is>
          <t xml:space="preserve">MSFT</t>
        </is>
      </c>
      <c r="B12" t="inlineStr">
        <is>
          <t xml:space="preserve">Table 1 -- WACC</t>
        </is>
      </c>
      <c r="C12" t="inlineStr">
        <is>
          <t xml:space="preserve">WACC=7.5000%</t>
        </is>
      </c>
      <c r="D12" t="inlineStr">
        <is>
          <t xml:space="preserve">Intrinsic Value per Share</t>
        </is>
      </c>
      <c r="E12" s="7">
        <v>507.8851354073267</v>
      </c>
      <c r="F12" s="7">
        <v>507.8851354073267</v>
      </c>
      <c r="G12" s="12">
        <f>ABS(E12-F12)</f>
        <v>0.0</v>
      </c>
      <c r="H12" s="10">
        <f>IF(F12=0,"n/a (zero denom)",G12/ABS(F12))</f>
        <v>0.0</v>
      </c>
      <c r="I12" s="10">
        <f>'Tolerances'!$B$13</f>
        <v>0.005</v>
      </c>
      <c r="J12" s="15" t="str">
        <f>IF(F12=0,IF(G12&lt;=0.000001,"PASS","FAIL"),IF(H12&lt;=I12,"PASS","FAIL"))</f>
        <v>PASS</v>
      </c>
      <c r="K12" t="inlineStr">
        <is>
          <t xml:space="preserve"/>
        </is>
      </c>
    </row>
    <row r="13">
      <c r="A13" t="inlineStr">
        <is>
          <t xml:space="preserve">MSFT</t>
        </is>
      </c>
      <c r="B13" t="inlineStr">
        <is>
          <t xml:space="preserve">Table 1 -- WACC</t>
        </is>
      </c>
      <c r="C13" t="inlineStr">
        <is>
          <t xml:space="preserve">WACC=10.0000%</t>
        </is>
      </c>
      <c r="D13" t="inlineStr">
        <is>
          <t xml:space="preserve">Terminal Value</t>
        </is>
      </c>
      <c r="E13" s="6">
        <v>2977281842140.442</v>
      </c>
      <c r="F13" s="6">
        <v>2977281842140.442</v>
      </c>
      <c r="G13" s="11">
        <f>ABS(E13-F13)</f>
        <v>0.0</v>
      </c>
      <c r="H13" s="10">
        <f>IF(F13=0,"n/a (zero denom)",G13/ABS(F13))</f>
        <v>0.0</v>
      </c>
      <c r="I13" s="10">
        <f>'Tolerances'!$B$7</f>
        <v>0.002</v>
      </c>
      <c r="J13" s="15" t="str">
        <f>IF(F13=0,IF(G13&lt;=0.000001,"PASS","FAIL"),IF(H13&lt;=I13,"PASS","FAIL"))</f>
        <v>PASS</v>
      </c>
      <c r="K13" t="inlineStr">
        <is>
          <t xml:space="preserve"/>
        </is>
      </c>
    </row>
    <row r="14">
      <c r="A14" t="inlineStr">
        <is>
          <t xml:space="preserve">MSFT</t>
        </is>
      </c>
      <c r="B14" t="inlineStr">
        <is>
          <t xml:space="preserve">Table 1 -- WACC</t>
        </is>
      </c>
      <c r="C14" t="inlineStr">
        <is>
          <t xml:space="preserve">WACC=10.0000%</t>
        </is>
      </c>
      <c r="D14" t="inlineStr">
        <is>
          <t xml:space="preserve">Enterprise Value</t>
        </is>
      </c>
      <c r="E14" s="6">
        <v>2481943583661.765</v>
      </c>
      <c r="F14" s="6">
        <v>2481943583661.7646</v>
      </c>
      <c r="G14" s="11">
        <f>ABS(E14-F14)</f>
        <v>0.00048828125</v>
      </c>
      <c r="H14" s="10">
        <f>IF(F14=0,"n/a (zero denom)",G14/ABS(F14))</f>
        <v>1.9673342021723496e-16</v>
      </c>
      <c r="I14" s="10">
        <f>'Tolerances'!$B$10</f>
        <v>0.002</v>
      </c>
      <c r="J14" s="15" t="str">
        <f>IF(F14=0,IF(G14&lt;=0.000001,"PASS","FAIL"),IF(H14&lt;=I14,"PASS","FAIL"))</f>
        <v>PASS</v>
      </c>
      <c r="K14" t="inlineStr">
        <is>
          <t xml:space="preserve"/>
        </is>
      </c>
    </row>
    <row r="15">
      <c r="A15" t="inlineStr">
        <is>
          <t xml:space="preserve">MSFT</t>
        </is>
      </c>
      <c r="B15" t="inlineStr">
        <is>
          <t xml:space="preserve">Table 1 -- WACC</t>
        </is>
      </c>
      <c r="C15" t="inlineStr">
        <is>
          <t xml:space="preserve">WACC=10.0000%</t>
        </is>
      </c>
      <c r="D15" t="inlineStr">
        <is>
          <t xml:space="preserve">Equity Value</t>
        </is>
      </c>
      <c r="E15" s="6">
        <v>2462584583661.765</v>
      </c>
      <c r="F15" s="6">
        <v>2462584583661.7646</v>
      </c>
      <c r="G15" s="11">
        <f>ABS(E15-F15)</f>
        <v>0.00048828125</v>
      </c>
      <c r="H15" s="10">
        <f>IF(F15=0,"n/a (zero denom)",G15/ABS(F15))</f>
        <v>1.9827999137148228e-16</v>
      </c>
      <c r="I15" s="10">
        <f>'Tolerances'!$B$11</f>
        <v>0.002</v>
      </c>
      <c r="J15" s="15" t="str">
        <f>IF(F15=0,IF(G15&lt;=0.000001,"PASS","FAIL"),IF(H15&lt;=I15,"PASS","FAIL"))</f>
        <v>PASS</v>
      </c>
      <c r="K15" t="inlineStr">
        <is>
          <t xml:space="preserve"/>
        </is>
      </c>
    </row>
    <row r="16">
      <c r="A16" t="inlineStr">
        <is>
          <t xml:space="preserve">MSFT</t>
        </is>
      </c>
      <c r="B16" t="inlineStr">
        <is>
          <t xml:space="preserve">Table 1 -- WACC</t>
        </is>
      </c>
      <c r="C16" t="inlineStr">
        <is>
          <t xml:space="preserve">WACC=10.0000%</t>
        </is>
      </c>
      <c r="D16" t="inlineStr">
        <is>
          <t xml:space="preserve">Intrinsic Value per Share</t>
        </is>
      </c>
      <c r="E16" s="7">
        <v>331.6368590895439</v>
      </c>
      <c r="F16" s="7">
        <v>331.63685908954386</v>
      </c>
      <c r="G16" s="12">
        <f>ABS(E16-F16)</f>
        <v>5.684341886080802e-14</v>
      </c>
      <c r="H16" s="10">
        <f>IF(F16=0,"n/a (zero denom)",G16/ABS(F16))</f>
        <v>1.7140259685507383e-16</v>
      </c>
      <c r="I16" s="10">
        <f>'Tolerances'!$B$13</f>
        <v>0.005</v>
      </c>
      <c r="J16" s="15" t="str">
        <f>IF(F16=0,IF(G16&lt;=0.000001,"PASS","FAIL"),IF(H16&lt;=I16,"PASS","FAIL"))</f>
        <v>PASS</v>
      </c>
      <c r="K16" t="inlineStr">
        <is>
          <t xml:space="preserve"/>
        </is>
      </c>
    </row>
    <row r="17">
      <c r="A17" t="inlineStr">
        <is>
          <t xml:space="preserve">MSFT</t>
        </is>
      </c>
      <c r="B17" t="inlineStr">
        <is>
          <t xml:space="preserve">Table 1 -- WACC</t>
        </is>
      </c>
      <c r="C17" t="inlineStr">
        <is>
          <t xml:space="preserve">WACC=12.5000%</t>
        </is>
      </c>
      <c r="D17" t="inlineStr">
        <is>
          <t xml:space="preserve">Terminal Value</t>
        </is>
      </c>
      <c r="E17" s="6">
        <v>2232961381605.3315</v>
      </c>
      <c r="F17" s="6">
        <v>2232961381605.3315</v>
      </c>
      <c r="G17" s="11">
        <f>ABS(E17-F17)</f>
        <v>0.0</v>
      </c>
      <c r="H17" s="10">
        <f>IF(F17=0,"n/a (zero denom)",G17/ABS(F17))</f>
        <v>0.0</v>
      </c>
      <c r="I17" s="10">
        <f>'Tolerances'!$B$7</f>
        <v>0.002</v>
      </c>
      <c r="J17" s="15" t="str">
        <f>IF(F17=0,IF(G17&lt;=0.000001,"PASS","FAIL"),IF(H17&lt;=I17,"PASS","FAIL"))</f>
        <v>PASS</v>
      </c>
      <c r="K17" t="inlineStr">
        <is>
          <t xml:space="preserve"/>
        </is>
      </c>
    </row>
    <row r="18">
      <c r="A18" t="inlineStr">
        <is>
          <t xml:space="preserve">MSFT</t>
        </is>
      </c>
      <c r="B18" t="inlineStr">
        <is>
          <t xml:space="preserve">Table 1 -- WACC</t>
        </is>
      </c>
      <c r="C18" t="inlineStr">
        <is>
          <t xml:space="preserve">WACC=12.5000%</t>
        </is>
      </c>
      <c r="D18" t="inlineStr">
        <is>
          <t xml:space="preserve">Enterprise Value</t>
        </is>
      </c>
      <c r="E18" s="6">
        <v>1830542468566.1836</v>
      </c>
      <c r="F18" s="6">
        <v>1830542468566.1836</v>
      </c>
      <c r="G18" s="11">
        <f>ABS(E18-F18)</f>
        <v>0.0</v>
      </c>
      <c r="H18" s="10">
        <f>IF(F18=0,"n/a (zero denom)",G18/ABS(F18))</f>
        <v>0.0</v>
      </c>
      <c r="I18" s="10">
        <f>'Tolerances'!$B$10</f>
        <v>0.002</v>
      </c>
      <c r="J18" s="15" t="str">
        <f>IF(F18=0,IF(G18&lt;=0.000001,"PASS","FAIL"),IF(H18&lt;=I18,"PASS","FAIL"))</f>
        <v>PASS</v>
      </c>
      <c r="K18" t="inlineStr">
        <is>
          <t xml:space="preserve"/>
        </is>
      </c>
    </row>
    <row r="19">
      <c r="A19" t="inlineStr">
        <is>
          <t xml:space="preserve">MSFT</t>
        </is>
      </c>
      <c r="B19" t="inlineStr">
        <is>
          <t xml:space="preserve">Table 1 -- WACC</t>
        </is>
      </c>
      <c r="C19" t="inlineStr">
        <is>
          <t xml:space="preserve">WACC=12.5000%</t>
        </is>
      </c>
      <c r="D19" t="inlineStr">
        <is>
          <t xml:space="preserve">Equity Value</t>
        </is>
      </c>
      <c r="E19" s="6">
        <v>1811183468566.1836</v>
      </c>
      <c r="F19" s="6">
        <v>1811183468566.1836</v>
      </c>
      <c r="G19" s="11">
        <f>ABS(E19-F19)</f>
        <v>0.0</v>
      </c>
      <c r="H19" s="10">
        <f>IF(F19=0,"n/a (zero denom)",G19/ABS(F19))</f>
        <v>0.0</v>
      </c>
      <c r="I19" s="10">
        <f>'Tolerances'!$B$11</f>
        <v>0.002</v>
      </c>
      <c r="J19" s="15" t="str">
        <f>IF(F19=0,IF(G19&lt;=0.000001,"PASS","FAIL"),IF(H19&lt;=I19,"PASS","FAIL"))</f>
        <v>PASS</v>
      </c>
      <c r="K19" t="inlineStr">
        <is>
          <t xml:space="preserve"/>
        </is>
      </c>
    </row>
    <row r="20">
      <c r="A20" t="inlineStr">
        <is>
          <t xml:space="preserve">MSFT</t>
        </is>
      </c>
      <c r="B20" t="inlineStr">
        <is>
          <t xml:space="preserve">Table 1 -- WACC</t>
        </is>
      </c>
      <c r="C20" t="inlineStr">
        <is>
          <t xml:space="preserve">WACC=12.5000%</t>
        </is>
      </c>
      <c r="D20" t="inlineStr">
        <is>
          <t xml:space="preserve">Intrinsic Value per Share</t>
        </is>
      </c>
      <c r="E20" s="7">
        <v>243.9125140047147</v>
      </c>
      <c r="F20" s="7">
        <v>243.9125140047147</v>
      </c>
      <c r="G20" s="12">
        <f>ABS(E20-F20)</f>
        <v>0.0</v>
      </c>
      <c r="H20" s="10">
        <f>IF(F20=0,"n/a (zero denom)",G20/ABS(F20))</f>
        <v>0.0</v>
      </c>
      <c r="I20" s="10">
        <f>'Tolerances'!$B$13</f>
        <v>0.005</v>
      </c>
      <c r="J20" s="15" t="str">
        <f>IF(F20=0,IF(G20&lt;=0.000001,"PASS","FAIL"),IF(H20&lt;=I20,"PASS","FAIL"))</f>
        <v>PASS</v>
      </c>
      <c r="K20" t="inlineStr">
        <is>
          <t xml:space="preserve"/>
        </is>
      </c>
    </row>
    <row r="21">
      <c r="A21" t="inlineStr">
        <is>
          <t xml:space="preserve">MSFT</t>
        </is>
      </c>
      <c r="B21" t="inlineStr">
        <is>
          <t xml:space="preserve">Table 1 -- WACC</t>
        </is>
      </c>
      <c r="C21" t="inlineStr">
        <is>
          <t xml:space="preserve">WACC=15.0000%</t>
        </is>
      </c>
      <c r="D21" t="inlineStr">
        <is>
          <t xml:space="preserve">Terminal Value</t>
        </is>
      </c>
      <c r="E21" s="6">
        <v>1786369105284.2654</v>
      </c>
      <c r="F21" s="6">
        <v>1786369105284.2654</v>
      </c>
      <c r="G21" s="11">
        <f>ABS(E21-F21)</f>
        <v>0.0</v>
      </c>
      <c r="H21" s="10">
        <f>IF(F21=0,"n/a (zero denom)",G21/ABS(F21))</f>
        <v>0.0</v>
      </c>
      <c r="I21" s="10">
        <f>'Tolerances'!$B$7</f>
        <v>0.002</v>
      </c>
      <c r="J21" s="15" t="str">
        <f>IF(F21=0,IF(G21&lt;=0.000001,"PASS","FAIL"),IF(H21&lt;=I21,"PASS","FAIL"))</f>
        <v>PASS</v>
      </c>
      <c r="K21" t="inlineStr">
        <is>
          <t xml:space="preserve"/>
        </is>
      </c>
    </row>
    <row r="22">
      <c r="A22" t="inlineStr">
        <is>
          <t xml:space="preserve">MSFT</t>
        </is>
      </c>
      <c r="B22" t="inlineStr">
        <is>
          <t xml:space="preserve">Table 1 -- WACC</t>
        </is>
      </c>
      <c r="C22" t="inlineStr">
        <is>
          <t xml:space="preserve">WACC=15.0000%</t>
        </is>
      </c>
      <c r="D22" t="inlineStr">
        <is>
          <t xml:space="preserve">Enterprise Value</t>
        </is>
      </c>
      <c r="E22" s="6">
        <v>1441811468513.8008</v>
      </c>
      <c r="F22" s="6">
        <v>1441811468513.8008</v>
      </c>
      <c r="G22" s="11">
        <f>ABS(E22-F22)</f>
        <v>0.0</v>
      </c>
      <c r="H22" s="10">
        <f>IF(F22=0,"n/a (zero denom)",G22/ABS(F22))</f>
        <v>0.0</v>
      </c>
      <c r="I22" s="10">
        <f>'Tolerances'!$B$10</f>
        <v>0.002</v>
      </c>
      <c r="J22" s="15" t="str">
        <f>IF(F22=0,IF(G22&lt;=0.000001,"PASS","FAIL"),IF(H22&lt;=I22,"PASS","FAIL"))</f>
        <v>PASS</v>
      </c>
      <c r="K22" t="inlineStr">
        <is>
          <t xml:space="preserve"/>
        </is>
      </c>
    </row>
    <row r="23">
      <c r="A23" t="inlineStr">
        <is>
          <t xml:space="preserve">MSFT</t>
        </is>
      </c>
      <c r="B23" t="inlineStr">
        <is>
          <t xml:space="preserve">Table 1 -- WACC</t>
        </is>
      </c>
      <c r="C23" t="inlineStr">
        <is>
          <t xml:space="preserve">WACC=15.0000%</t>
        </is>
      </c>
      <c r="D23" t="inlineStr">
        <is>
          <t xml:space="preserve">Equity Value</t>
        </is>
      </c>
      <c r="E23" s="6">
        <v>1422452468513.8008</v>
      </c>
      <c r="F23" s="6">
        <v>1422452468513.8008</v>
      </c>
      <c r="G23" s="11">
        <f>ABS(E23-F23)</f>
        <v>0.0</v>
      </c>
      <c r="H23" s="10">
        <f>IF(F23=0,"n/a (zero denom)",G23/ABS(F23))</f>
        <v>0.0</v>
      </c>
      <c r="I23" s="10">
        <f>'Tolerances'!$B$11</f>
        <v>0.002</v>
      </c>
      <c r="J23" s="15" t="str">
        <f>IF(F23=0,IF(G23&lt;=0.000001,"PASS","FAIL"),IF(H23&lt;=I23,"PASS","FAIL"))</f>
        <v>PASS</v>
      </c>
      <c r="K23" t="inlineStr">
        <is>
          <t xml:space="preserve"/>
        </is>
      </c>
    </row>
    <row r="24">
      <c r="A24" t="inlineStr">
        <is>
          <t xml:space="preserve">MSFT</t>
        </is>
      </c>
      <c r="B24" t="inlineStr">
        <is>
          <t xml:space="preserve">Table 1 -- WACC</t>
        </is>
      </c>
      <c r="C24" t="inlineStr">
        <is>
          <t xml:space="preserve">WACC=15.0000%</t>
        </is>
      </c>
      <c r="D24" t="inlineStr">
        <is>
          <t xml:space="preserve">Intrinsic Value per Share</t>
        </is>
      </c>
      <c r="E24" s="7">
        <v>191.56201658691054</v>
      </c>
      <c r="F24" s="7">
        <v>191.56201658691054</v>
      </c>
      <c r="G24" s="12">
        <f>ABS(E24-F24)</f>
        <v>0.0</v>
      </c>
      <c r="H24" s="10">
        <f>IF(F24=0,"n/a (zero denom)",G24/ABS(F24))</f>
        <v>0.0</v>
      </c>
      <c r="I24" s="10">
        <f>'Tolerances'!$B$13</f>
        <v>0.005</v>
      </c>
      <c r="J24" s="15" t="str">
        <f>IF(F24=0,IF(G24&lt;=0.000001,"PASS","FAIL"),IF(H24&lt;=I24,"PASS","FAIL"))</f>
        <v>PASS</v>
      </c>
      <c r="K24" t="inlineStr">
        <is>
          <t xml:space="preserve"/>
        </is>
      </c>
    </row>
    <row r="25">
      <c r="A25" t="inlineStr">
        <is>
          <t xml:space="preserve">MSFT</t>
        </is>
      </c>
      <c r="B25" t="inlineStr">
        <is>
          <t xml:space="preserve">Table 1 -- WACC</t>
        </is>
      </c>
      <c r="C25" t="inlineStr">
        <is>
          <t xml:space="preserve">WACC=17.5000%</t>
        </is>
      </c>
      <c r="D25" t="inlineStr">
        <is>
          <t xml:space="preserve">Terminal Value</t>
        </is>
      </c>
      <c r="E25" s="6">
        <v>1488640921070.2212</v>
      </c>
      <c r="F25" s="6">
        <v>1488640921070.2212</v>
      </c>
      <c r="G25" s="11">
        <f>ABS(E25-F25)</f>
        <v>0.0</v>
      </c>
      <c r="H25" s="10">
        <f>IF(F25=0,"n/a (zero denom)",G25/ABS(F25))</f>
        <v>0.0</v>
      </c>
      <c r="I25" s="10">
        <f>'Tolerances'!$B$7</f>
        <v>0.002</v>
      </c>
      <c r="J25" s="15" t="str">
        <f>IF(F25=0,IF(G25&lt;=0.000001,"PASS","FAIL"),IF(H25&lt;=I25,"PASS","FAIL"))</f>
        <v>PASS</v>
      </c>
      <c r="K25" t="inlineStr">
        <is>
          <t xml:space="preserve"/>
        </is>
      </c>
    </row>
    <row r="26">
      <c r="A26" t="inlineStr">
        <is>
          <t xml:space="preserve">MSFT</t>
        </is>
      </c>
      <c r="B26" t="inlineStr">
        <is>
          <t xml:space="preserve">Table 1 -- WACC</t>
        </is>
      </c>
      <c r="C26" t="inlineStr">
        <is>
          <t xml:space="preserve">WACC=17.5000%</t>
        </is>
      </c>
      <c r="D26" t="inlineStr">
        <is>
          <t xml:space="preserve">Enterprise Value</t>
        </is>
      </c>
      <c r="E26" s="6">
        <v>1184223827605.2573</v>
      </c>
      <c r="F26" s="6">
        <v>1184223827605.2573</v>
      </c>
      <c r="G26" s="11">
        <f>ABS(E26-F26)</f>
        <v>0.0</v>
      </c>
      <c r="H26" s="10">
        <f>IF(F26=0,"n/a (zero denom)",G26/ABS(F26))</f>
        <v>0.0</v>
      </c>
      <c r="I26" s="10">
        <f>'Tolerances'!$B$10</f>
        <v>0.002</v>
      </c>
      <c r="J26" s="15" t="str">
        <f>IF(F26=0,IF(G26&lt;=0.000001,"PASS","FAIL"),IF(H26&lt;=I26,"PASS","FAIL"))</f>
        <v>PASS</v>
      </c>
      <c r="K26" t="inlineStr">
        <is>
          <t xml:space="preserve"/>
        </is>
      </c>
    </row>
    <row r="27">
      <c r="A27" t="inlineStr">
        <is>
          <t xml:space="preserve">MSFT</t>
        </is>
      </c>
      <c r="B27" t="inlineStr">
        <is>
          <t xml:space="preserve">Table 1 -- WACC</t>
        </is>
      </c>
      <c r="C27" t="inlineStr">
        <is>
          <t xml:space="preserve">WACC=17.5000%</t>
        </is>
      </c>
      <c r="D27" t="inlineStr">
        <is>
          <t xml:space="preserve">Equity Value</t>
        </is>
      </c>
      <c r="E27" s="6">
        <v>1164864827605.2573</v>
      </c>
      <c r="F27" s="6">
        <v>1164864827605.2573</v>
      </c>
      <c r="G27" s="11">
        <f>ABS(E27-F27)</f>
        <v>0.0</v>
      </c>
      <c r="H27" s="10">
        <f>IF(F27=0,"n/a (zero denom)",G27/ABS(F27))</f>
        <v>0.0</v>
      </c>
      <c r="I27" s="10">
        <f>'Tolerances'!$B$11</f>
        <v>0.002</v>
      </c>
      <c r="J27" s="15" t="str">
        <f>IF(F27=0,IF(G27&lt;=0.000001,"PASS","FAIL"),IF(H27&lt;=I27,"PASS","FAIL"))</f>
        <v>PASS</v>
      </c>
      <c r="K27" t="inlineStr">
        <is>
          <t xml:space="preserve"/>
        </is>
      </c>
    </row>
    <row r="28">
      <c r="A28" t="inlineStr">
        <is>
          <t xml:space="preserve">MSFT</t>
        </is>
      </c>
      <c r="B28" t="inlineStr">
        <is>
          <t xml:space="preserve">Table 1 -- WACC</t>
        </is>
      </c>
      <c r="C28" t="inlineStr">
        <is>
          <t xml:space="preserve">WACC=17.5000%</t>
        </is>
      </c>
      <c r="D28" t="inlineStr">
        <is>
          <t xml:space="preserve">Intrinsic Value per Share</t>
        </is>
      </c>
      <c r="E28" s="7">
        <v>156.87262693590807</v>
      </c>
      <c r="F28" s="7">
        <v>156.87262693590807</v>
      </c>
      <c r="G28" s="12">
        <f>ABS(E28-F28)</f>
        <v>0.0</v>
      </c>
      <c r="H28" s="10">
        <f>IF(F28=0,"n/a (zero denom)",G28/ABS(F28))</f>
        <v>0.0</v>
      </c>
      <c r="I28" s="10">
        <f>'Tolerances'!$B$13</f>
        <v>0.005</v>
      </c>
      <c r="J28" s="15" t="str">
        <f>IF(F28=0,IF(G28&lt;=0.000001,"PASS","FAIL"),IF(H28&lt;=I28,"PASS","FAIL"))</f>
        <v>PASS</v>
      </c>
      <c r="K28" t="inlineStr">
        <is>
          <t xml:space="preserve"/>
        </is>
      </c>
    </row>
    <row r="29">
      <c r="A29" t="inlineStr">
        <is>
          <t xml:space="preserve">MSFT</t>
        </is>
      </c>
      <c r="B29" t="inlineStr">
        <is>
          <t xml:space="preserve">Table 1 -- WACC</t>
        </is>
      </c>
      <c r="C29" t="inlineStr">
        <is>
          <t xml:space="preserve">WACC=20.0000%</t>
        </is>
      </c>
      <c r="D29" t="inlineStr">
        <is>
          <t xml:space="preserve">Terminal Value</t>
        </is>
      </c>
      <c r="E29" s="6">
        <v>1275977932345.9038</v>
      </c>
      <c r="F29" s="6">
        <v>1275977932345.9038</v>
      </c>
      <c r="G29" s="11">
        <f>ABS(E29-F29)</f>
        <v>0.0</v>
      </c>
      <c r="H29" s="10">
        <f>IF(F29=0,"n/a (zero denom)",G29/ABS(F29))</f>
        <v>0.0</v>
      </c>
      <c r="I29" s="10">
        <f>'Tolerances'!$B$7</f>
        <v>0.002</v>
      </c>
      <c r="J29" s="15" t="str">
        <f>IF(F29=0,IF(G29&lt;=0.000001,"PASS","FAIL"),IF(H29&lt;=I29,"PASS","FAIL"))</f>
        <v>PASS</v>
      </c>
      <c r="K29" t="inlineStr">
        <is>
          <t xml:space="preserve"/>
        </is>
      </c>
    </row>
    <row r="30">
      <c r="A30" t="inlineStr">
        <is>
          <t xml:space="preserve">MSFT</t>
        </is>
      </c>
      <c r="B30" t="inlineStr">
        <is>
          <t xml:space="preserve">Table 1 -- WACC</t>
        </is>
      </c>
      <c r="C30" t="inlineStr">
        <is>
          <t xml:space="preserve">WACC=20.0000%</t>
        </is>
      </c>
      <c r="D30" t="inlineStr">
        <is>
          <t xml:space="preserve">Enterprise Value</t>
        </is>
      </c>
      <c r="E30" s="6">
        <v>1001432276031.3628</v>
      </c>
      <c r="F30" s="6">
        <v>1001432276031.3629</v>
      </c>
      <c r="G30" s="11">
        <f>ABS(E30-F30)</f>
        <v>0.0001220703125</v>
      </c>
      <c r="H30" s="10">
        <f>IF(F30=0,"n/a (zero denom)",G30/ABS(F30))</f>
        <v>1.2189572417593719e-16</v>
      </c>
      <c r="I30" s="10">
        <f>'Tolerances'!$B$10</f>
        <v>0.002</v>
      </c>
      <c r="J30" s="15" t="str">
        <f>IF(F30=0,IF(G30&lt;=0.000001,"PASS","FAIL"),IF(H30&lt;=I30,"PASS","FAIL"))</f>
        <v>PASS</v>
      </c>
      <c r="K30" t="inlineStr">
        <is>
          <t xml:space="preserve"/>
        </is>
      </c>
    </row>
    <row r="31">
      <c r="A31" t="inlineStr">
        <is>
          <t xml:space="preserve">MSFT</t>
        </is>
      </c>
      <c r="B31" t="inlineStr">
        <is>
          <t xml:space="preserve">Table 1 -- WACC</t>
        </is>
      </c>
      <c r="C31" t="inlineStr">
        <is>
          <t xml:space="preserve">WACC=20.0000%</t>
        </is>
      </c>
      <c r="D31" t="inlineStr">
        <is>
          <t xml:space="preserve">Equity Value</t>
        </is>
      </c>
      <c r="E31" s="6">
        <v>982073276031.3628</v>
      </c>
      <c r="F31" s="6">
        <v>982073276031.3629</v>
      </c>
      <c r="G31" s="11">
        <f>ABS(E31-F31)</f>
        <v>0.0001220703125</v>
      </c>
      <c r="H31" s="10">
        <f>IF(F31=0,"n/a (zero denom)",G31/ABS(F31))</f>
        <v>1.2429857881205764e-16</v>
      </c>
      <c r="I31" s="10">
        <f>'Tolerances'!$B$11</f>
        <v>0.002</v>
      </c>
      <c r="J31" s="15" t="str">
        <f>IF(F31=0,IF(G31&lt;=0.000001,"PASS","FAIL"),IF(H31&lt;=I31,"PASS","FAIL"))</f>
        <v>PASS</v>
      </c>
      <c r="K31" t="inlineStr">
        <is>
          <t xml:space="preserve"/>
        </is>
      </c>
    </row>
    <row r="32">
      <c r="A32" t="inlineStr">
        <is>
          <t xml:space="preserve">MSFT</t>
        </is>
      </c>
      <c r="B32" t="inlineStr">
        <is>
          <t xml:space="preserve">Table 1 -- WACC</t>
        </is>
      </c>
      <c r="C32" t="inlineStr">
        <is>
          <t xml:space="preserve">WACC=20.0000%</t>
        </is>
      </c>
      <c r="D32" t="inlineStr">
        <is>
          <t xml:space="preserve">Intrinsic Value per Share</t>
        </is>
      </c>
      <c r="E32" s="7">
        <v>132.2560446531056</v>
      </c>
      <c r="F32" s="7">
        <v>132.2560446531056</v>
      </c>
      <c r="G32" s="12">
        <f>ABS(E32-F32)</f>
        <v>0.0</v>
      </c>
      <c r="H32" s="10">
        <f>IF(F32=0,"n/a (zero denom)",G32/ABS(F32))</f>
        <v>0.0</v>
      </c>
      <c r="I32" s="10">
        <f>'Tolerances'!$B$13</f>
        <v>0.005</v>
      </c>
      <c r="J32" s="15" t="str">
        <f>IF(F32=0,IF(G32&lt;=0.000001,"PASS","FAIL"),IF(H32&lt;=I32,"PASS","FAIL"))</f>
        <v>PASS</v>
      </c>
      <c r="K32" t="inlineStr">
        <is>
          <t xml:space="preserve"/>
        </is>
      </c>
    </row>
    <row r="33">
      <c r="A33" t="inlineStr">
        <is>
          <t xml:space="preserve">MSFT</t>
        </is>
      </c>
      <c r="B33" t="inlineStr">
        <is>
          <t xml:space="preserve">Table 2 -- Terminal growth</t>
        </is>
      </c>
      <c r="C33" t="inlineStr">
        <is>
          <t xml:space="preserve">g=0.0000%</t>
        </is>
      </c>
      <c r="D33" t="inlineStr">
        <is>
          <t xml:space="preserve">Terminal Value</t>
        </is>
      </c>
      <c r="E33" s="6">
        <v>2178407069897.2764</v>
      </c>
      <c r="F33" s="6">
        <v>2178407069897.2764</v>
      </c>
      <c r="G33" s="11">
        <f>ABS(E33-F33)</f>
        <v>0.0</v>
      </c>
      <c r="H33" s="10">
        <f>IF(F33=0,"n/a (zero denom)",G33/ABS(F33))</f>
        <v>0.0</v>
      </c>
      <c r="I33" s="10">
        <f>'Tolerances'!$B$7</f>
        <v>0.002</v>
      </c>
      <c r="J33" s="15" t="str">
        <f>IF(F33=0,IF(G33&lt;=0.000001,"PASS","FAIL"),IF(H33&lt;=I33,"PASS","FAIL"))</f>
        <v>PASS</v>
      </c>
      <c r="K33" t="inlineStr">
        <is>
          <t xml:space="preserve"/>
        </is>
      </c>
    </row>
    <row r="34">
      <c r="A34" t="inlineStr">
        <is>
          <t xml:space="preserve">MSFT</t>
        </is>
      </c>
      <c r="B34" t="inlineStr">
        <is>
          <t xml:space="preserve">Table 2 -- Terminal growth</t>
        </is>
      </c>
      <c r="C34" t="inlineStr">
        <is>
          <t xml:space="preserve">g=0.0000%</t>
        </is>
      </c>
      <c r="D34" t="inlineStr">
        <is>
          <t xml:space="preserve">Enterprise Value</t>
        </is>
      </c>
      <c r="E34" s="6">
        <v>1985871839433.6938</v>
      </c>
      <c r="F34" s="6">
        <v>1985871839433.6938</v>
      </c>
      <c r="G34" s="11">
        <f>ABS(E34-F34)</f>
        <v>0.0</v>
      </c>
      <c r="H34" s="10">
        <f>IF(F34=0,"n/a (zero denom)",G34/ABS(F34))</f>
        <v>0.0</v>
      </c>
      <c r="I34" s="10">
        <f>'Tolerances'!$B$10</f>
        <v>0.002</v>
      </c>
      <c r="J34" s="15" t="str">
        <f>IF(F34=0,IF(G34&lt;=0.000001,"PASS","FAIL"),IF(H34&lt;=I34,"PASS","FAIL"))</f>
        <v>PASS</v>
      </c>
      <c r="K34" t="inlineStr">
        <is>
          <t xml:space="preserve"/>
        </is>
      </c>
    </row>
    <row r="35">
      <c r="A35" t="inlineStr">
        <is>
          <t xml:space="preserve">MSFT</t>
        </is>
      </c>
      <c r="B35" t="inlineStr">
        <is>
          <t xml:space="preserve">Table 2 -- Terminal growth</t>
        </is>
      </c>
      <c r="C35" t="inlineStr">
        <is>
          <t xml:space="preserve">g=0.0000%</t>
        </is>
      </c>
      <c r="D35" t="inlineStr">
        <is>
          <t xml:space="preserve">Equity Value</t>
        </is>
      </c>
      <c r="E35" s="6">
        <v>1966512839433.6938</v>
      </c>
      <c r="F35" s="6">
        <v>1966512839433.6938</v>
      </c>
      <c r="G35" s="11">
        <f>ABS(E35-F35)</f>
        <v>0.0</v>
      </c>
      <c r="H35" s="10">
        <f>IF(F35=0,"n/a (zero denom)",G35/ABS(F35))</f>
        <v>0.0</v>
      </c>
      <c r="I35" s="10">
        <f>'Tolerances'!$B$11</f>
        <v>0.002</v>
      </c>
      <c r="J35" s="15" t="str">
        <f>IF(F35=0,IF(G35&lt;=0.000001,"PASS","FAIL"),IF(H35&lt;=I35,"PASS","FAIL"))</f>
        <v>PASS</v>
      </c>
      <c r="K35" t="inlineStr">
        <is>
          <t xml:space="preserve"/>
        </is>
      </c>
    </row>
    <row r="36">
      <c r="A36" t="inlineStr">
        <is>
          <t xml:space="preserve">MSFT</t>
        </is>
      </c>
      <c r="B36" t="inlineStr">
        <is>
          <t xml:space="preserve">Table 2 -- Terminal growth</t>
        </is>
      </c>
      <c r="C36" t="inlineStr">
        <is>
          <t xml:space="preserve">g=0.0000%</t>
        </is>
      </c>
      <c r="D36" t="inlineStr">
        <is>
          <t xml:space="preserve">Intrinsic Value per Share</t>
        </is>
      </c>
      <c r="E36" s="7">
        <v>264.8307577964704</v>
      </c>
      <c r="F36" s="7">
        <v>264.8307577964704</v>
      </c>
      <c r="G36" s="12">
        <f>ABS(E36-F36)</f>
        <v>0.0</v>
      </c>
      <c r="H36" s="10">
        <f>IF(F36=0,"n/a (zero denom)",G36/ABS(F36))</f>
        <v>0.0</v>
      </c>
      <c r="I36" s="10">
        <f>'Tolerances'!$B$13</f>
        <v>0.005</v>
      </c>
      <c r="J36" s="15" t="str">
        <f>IF(F36=0,IF(G36&lt;=0.000001,"PASS","FAIL"),IF(H36&lt;=I36,"PASS","FAIL"))</f>
        <v>PASS</v>
      </c>
      <c r="K36" t="inlineStr">
        <is>
          <t xml:space="preserve"/>
        </is>
      </c>
    </row>
    <row r="37">
      <c r="A37" t="inlineStr">
        <is>
          <t xml:space="preserve">MSFT</t>
        </is>
      </c>
      <c r="B37" t="inlineStr">
        <is>
          <t xml:space="preserve">Table 2 -- Terminal growth</t>
        </is>
      </c>
      <c r="C37" t="inlineStr">
        <is>
          <t xml:space="preserve">g=1.0000%</t>
        </is>
      </c>
      <c r="D37" t="inlineStr">
        <is>
          <t xml:space="preserve">Terminal Value</t>
        </is>
      </c>
      <c r="E37" s="6">
        <v>2444645371893.24</v>
      </c>
      <c r="F37" s="6">
        <v>2444645371893.24</v>
      </c>
      <c r="G37" s="11">
        <f>ABS(E37-F37)</f>
        <v>0.0</v>
      </c>
      <c r="H37" s="10">
        <f>IF(F37=0,"n/a (zero denom)",G37/ABS(F37))</f>
        <v>0.0</v>
      </c>
      <c r="I37" s="10">
        <f>'Tolerances'!$B$7</f>
        <v>0.002</v>
      </c>
      <c r="J37" s="15" t="str">
        <f>IF(F37=0,IF(G37&lt;=0.000001,"PASS","FAIL"),IF(H37&lt;=I37,"PASS","FAIL"))</f>
        <v>PASS</v>
      </c>
      <c r="K37" t="inlineStr">
        <is>
          <t xml:space="preserve"/>
        </is>
      </c>
    </row>
    <row r="38">
      <c r="A38" t="inlineStr">
        <is>
          <t xml:space="preserve">MSFT</t>
        </is>
      </c>
      <c r="B38" t="inlineStr">
        <is>
          <t xml:space="preserve">Table 2 -- Terminal growth</t>
        </is>
      </c>
      <c r="C38" t="inlineStr">
        <is>
          <t xml:space="preserve">g=1.0000%</t>
        </is>
      </c>
      <c r="D38" t="inlineStr">
        <is>
          <t xml:space="preserve">Enterprise Value</t>
        </is>
      </c>
      <c r="E38" s="6">
        <v>2151181710287.1338</v>
      </c>
      <c r="F38" s="6">
        <v>2151181710287.1338</v>
      </c>
      <c r="G38" s="11">
        <f>ABS(E38-F38)</f>
        <v>0.0</v>
      </c>
      <c r="H38" s="10">
        <f>IF(F38=0,"n/a (zero denom)",G38/ABS(F38))</f>
        <v>0.0</v>
      </c>
      <c r="I38" s="10">
        <f>'Tolerances'!$B$10</f>
        <v>0.002</v>
      </c>
      <c r="J38" s="15" t="str">
        <f>IF(F38=0,IF(G38&lt;=0.000001,"PASS","FAIL"),IF(H38&lt;=I38,"PASS","FAIL"))</f>
        <v>PASS</v>
      </c>
      <c r="K38" t="inlineStr">
        <is>
          <t xml:space="preserve"/>
        </is>
      </c>
    </row>
    <row r="39">
      <c r="A39" t="inlineStr">
        <is>
          <t xml:space="preserve">MSFT</t>
        </is>
      </c>
      <c r="B39" t="inlineStr">
        <is>
          <t xml:space="preserve">Table 2 -- Terminal growth</t>
        </is>
      </c>
      <c r="C39" t="inlineStr">
        <is>
          <t xml:space="preserve">g=1.0000%</t>
        </is>
      </c>
      <c r="D39" t="inlineStr">
        <is>
          <t xml:space="preserve">Equity Value</t>
        </is>
      </c>
      <c r="E39" s="6">
        <v>2131822710287.1338</v>
      </c>
      <c r="F39" s="6">
        <v>2131822710287.1338</v>
      </c>
      <c r="G39" s="11">
        <f>ABS(E39-F39)</f>
        <v>0.0</v>
      </c>
      <c r="H39" s="10">
        <f>IF(F39=0,"n/a (zero denom)",G39/ABS(F39))</f>
        <v>0.0</v>
      </c>
      <c r="I39" s="10">
        <f>'Tolerances'!$B$11</f>
        <v>0.002</v>
      </c>
      <c r="J39" s="15" t="str">
        <f>IF(F39=0,IF(G39&lt;=0.000001,"PASS","FAIL"),IF(H39&lt;=I39,"PASS","FAIL"))</f>
        <v>PASS</v>
      </c>
      <c r="K39" t="inlineStr">
        <is>
          <t xml:space="preserve"/>
        </is>
      </c>
    </row>
    <row r="40">
      <c r="A40" t="inlineStr">
        <is>
          <t xml:space="preserve">MSFT</t>
        </is>
      </c>
      <c r="B40" t="inlineStr">
        <is>
          <t xml:space="preserve">Table 2 -- Terminal growth</t>
        </is>
      </c>
      <c r="C40" t="inlineStr">
        <is>
          <t xml:space="preserve">g=1.0000%</t>
        </is>
      </c>
      <c r="D40" t="inlineStr">
        <is>
          <t xml:space="preserve">Intrinsic Value per Share</t>
        </is>
      </c>
      <c r="E40" s="7">
        <v>287.0930779255169</v>
      </c>
      <c r="F40" s="7">
        <v>287.0930779255169</v>
      </c>
      <c r="G40" s="12">
        <f>ABS(E40-F40)</f>
        <v>0.0</v>
      </c>
      <c r="H40" s="10">
        <f>IF(F40=0,"n/a (zero denom)",G40/ABS(F40))</f>
        <v>0.0</v>
      </c>
      <c r="I40" s="10">
        <f>'Tolerances'!$B$13</f>
        <v>0.005</v>
      </c>
      <c r="J40" s="15" t="str">
        <f>IF(F40=0,IF(G40&lt;=0.000001,"PASS","FAIL"),IF(H40&lt;=I40,"PASS","FAIL"))</f>
        <v>PASS</v>
      </c>
      <c r="K40" t="inlineStr">
        <is>
          <t xml:space="preserve"/>
        </is>
      </c>
    </row>
    <row r="41">
      <c r="A41" t="inlineStr">
        <is>
          <t xml:space="preserve">MSFT</t>
        </is>
      </c>
      <c r="B41" t="inlineStr">
        <is>
          <t xml:space="preserve">Table 2 -- Terminal growth</t>
        </is>
      </c>
      <c r="C41" t="inlineStr">
        <is>
          <t xml:space="preserve">g=2.0000%</t>
        </is>
      </c>
      <c r="D41" t="inlineStr">
        <is>
          <t xml:space="preserve">Terminal Value</t>
        </is>
      </c>
      <c r="E41" s="6">
        <v>2777439741984.845</v>
      </c>
      <c r="F41" s="6">
        <v>2777439741984.845</v>
      </c>
      <c r="G41" s="11">
        <f>ABS(E41-F41)</f>
        <v>0.0</v>
      </c>
      <c r="H41" s="10">
        <f>IF(F41=0,"n/a (zero denom)",G41/ABS(F41))</f>
        <v>0.0</v>
      </c>
      <c r="I41" s="10">
        <f>'Tolerances'!$B$7</f>
        <v>0.002</v>
      </c>
      <c r="J41" s="15" t="str">
        <f>IF(F41=0,IF(G41&lt;=0.000001,"PASS","FAIL"),IF(H41&lt;=I41,"PASS","FAIL"))</f>
        <v>PASS</v>
      </c>
      <c r="K41" t="inlineStr">
        <is>
          <t xml:space="preserve"/>
        </is>
      </c>
    </row>
    <row r="42">
      <c r="A42" t="inlineStr">
        <is>
          <t xml:space="preserve">MSFT</t>
        </is>
      </c>
      <c r="B42" t="inlineStr">
        <is>
          <t xml:space="preserve">Table 2 -- Terminal growth</t>
        </is>
      </c>
      <c r="C42" t="inlineStr">
        <is>
          <t xml:space="preserve">g=2.0000%</t>
        </is>
      </c>
      <c r="D42" t="inlineStr">
        <is>
          <t xml:space="preserve">Enterprise Value</t>
        </is>
      </c>
      <c r="E42" s="6">
        <v>2357816871074.1387</v>
      </c>
      <c r="F42" s="6">
        <v>2357816871074.1387</v>
      </c>
      <c r="G42" s="11">
        <f>ABS(E42-F42)</f>
        <v>0.0</v>
      </c>
      <c r="H42" s="10">
        <f>IF(F42=0,"n/a (zero denom)",G42/ABS(F42))</f>
        <v>0.0</v>
      </c>
      <c r="I42" s="10">
        <f>'Tolerances'!$B$10</f>
        <v>0.002</v>
      </c>
      <c r="J42" s="15" t="str">
        <f>IF(F42=0,IF(G42&lt;=0.000001,"PASS","FAIL"),IF(H42&lt;=I42,"PASS","FAIL"))</f>
        <v>PASS</v>
      </c>
      <c r="K42" t="inlineStr">
        <is>
          <t xml:space="preserve"/>
        </is>
      </c>
    </row>
    <row r="43">
      <c r="A43" t="inlineStr">
        <is>
          <t xml:space="preserve">MSFT</t>
        </is>
      </c>
      <c r="B43" t="inlineStr">
        <is>
          <t xml:space="preserve">Table 2 -- Terminal growth</t>
        </is>
      </c>
      <c r="C43" t="inlineStr">
        <is>
          <t xml:space="preserve">g=2.0000%</t>
        </is>
      </c>
      <c r="D43" t="inlineStr">
        <is>
          <t xml:space="preserve">Equity Value</t>
        </is>
      </c>
      <c r="E43" s="6">
        <v>2338457871074.1387</v>
      </c>
      <c r="F43" s="6">
        <v>2338457871074.1387</v>
      </c>
      <c r="G43" s="11">
        <f>ABS(E43-F43)</f>
        <v>0.0</v>
      </c>
      <c r="H43" s="10">
        <f>IF(F43=0,"n/a (zero denom)",G43/ABS(F43))</f>
        <v>0.0</v>
      </c>
      <c r="I43" s="10">
        <f>'Tolerances'!$B$11</f>
        <v>0.002</v>
      </c>
      <c r="J43" s="15" t="str">
        <f>IF(F43=0,IF(G43&lt;=0.000001,"PASS","FAIL"),IF(H43&lt;=I43,"PASS","FAIL"))</f>
        <v>PASS</v>
      </c>
      <c r="K43" t="inlineStr">
        <is>
          <t xml:space="preserve"/>
        </is>
      </c>
    </row>
    <row r="44">
      <c r="A44" t="inlineStr">
        <is>
          <t xml:space="preserve">MSFT</t>
        </is>
      </c>
      <c r="B44" t="inlineStr">
        <is>
          <t xml:space="preserve">Table 2 -- Terminal growth</t>
        </is>
      </c>
      <c r="C44" t="inlineStr">
        <is>
          <t xml:space="preserve">g=2.0000%</t>
        </is>
      </c>
      <c r="D44" t="inlineStr">
        <is>
          <t xml:space="preserve">Intrinsic Value per Share</t>
        </is>
      </c>
      <c r="E44" s="7">
        <v>314.9206848046955</v>
      </c>
      <c r="F44" s="7">
        <v>314.9206848046955</v>
      </c>
      <c r="G44" s="12">
        <f>ABS(E44-F44)</f>
        <v>0.0</v>
      </c>
      <c r="H44" s="10">
        <f>IF(F44=0,"n/a (zero denom)",G44/ABS(F44))</f>
        <v>0.0</v>
      </c>
      <c r="I44" s="10">
        <f>'Tolerances'!$B$13</f>
        <v>0.005</v>
      </c>
      <c r="J44" s="15" t="str">
        <f>IF(F44=0,IF(G44&lt;=0.000001,"PASS","FAIL"),IF(H44&lt;=I44,"PASS","FAIL"))</f>
        <v>PASS</v>
      </c>
      <c r="K44" t="inlineStr">
        <is>
          <t xml:space="preserve"/>
        </is>
      </c>
    </row>
    <row r="45">
      <c r="A45" t="inlineStr">
        <is>
          <t xml:space="preserve">MSFT</t>
        </is>
      </c>
      <c r="B45" t="inlineStr">
        <is>
          <t xml:space="preserve">Table 2 -- Terminal growth</t>
        </is>
      </c>
      <c r="C45" t="inlineStr">
        <is>
          <t xml:space="preserve">g=2.5000%</t>
        </is>
      </c>
      <c r="D45" t="inlineStr">
        <is>
          <t xml:space="preserve">Terminal Value</t>
        </is>
      </c>
      <c r="E45" s="6">
        <v>2977114493450.9736</v>
      </c>
      <c r="F45" s="6">
        <v>2977114493450.9736</v>
      </c>
      <c r="G45" s="11">
        <f>ABS(E45-F45)</f>
        <v>0.0</v>
      </c>
      <c r="H45" s="10">
        <f>IF(F45=0,"n/a (zero denom)",G45/ABS(F45))</f>
        <v>0.0</v>
      </c>
      <c r="I45" s="10">
        <f>'Tolerances'!$B$7</f>
        <v>0.002</v>
      </c>
      <c r="J45" s="15" t="str">
        <f>IF(F45=0,IF(G45&lt;=0.000001,"PASS","FAIL"),IF(H45&lt;=I45,"PASS","FAIL"))</f>
        <v>PASS</v>
      </c>
      <c r="K45" t="inlineStr">
        <is>
          <t xml:space="preserve"/>
        </is>
      </c>
    </row>
    <row r="46">
      <c r="A46" t="inlineStr">
        <is>
          <t xml:space="preserve">MSFT</t>
        </is>
      </c>
      <c r="B46" t="inlineStr">
        <is>
          <t xml:space="preserve">Table 2 -- Terminal growth</t>
        </is>
      </c>
      <c r="C46" t="inlineStr">
        <is>
          <t xml:space="preserve">g=2.5000%</t>
        </is>
      </c>
      <c r="D46" t="inlineStr">
        <is>
          <t xml:space="preserve">Enterprise Value</t>
        </is>
      </c>
      <c r="E46" s="6">
        <v>2481796806080.1045</v>
      </c>
      <c r="F46" s="6">
        <v>2481796806080.1045</v>
      </c>
      <c r="G46" s="11">
        <f>ABS(E46-F46)</f>
        <v>0.0</v>
      </c>
      <c r="H46" s="10">
        <f>IF(F46=0,"n/a (zero denom)",G46/ABS(F46))</f>
        <v>0.0</v>
      </c>
      <c r="I46" s="10">
        <f>'Tolerances'!$B$10</f>
        <v>0.002</v>
      </c>
      <c r="J46" s="15" t="str">
        <f>IF(F46=0,IF(G46&lt;=0.000001,"PASS","FAIL"),IF(H46&lt;=I46,"PASS","FAIL"))</f>
        <v>PASS</v>
      </c>
      <c r="K46" t="inlineStr">
        <is>
          <t xml:space="preserve"/>
        </is>
      </c>
    </row>
    <row r="47">
      <c r="A47" t="inlineStr">
        <is>
          <t xml:space="preserve">MSFT</t>
        </is>
      </c>
      <c r="B47" t="inlineStr">
        <is>
          <t xml:space="preserve">Table 2 -- Terminal growth</t>
        </is>
      </c>
      <c r="C47" t="inlineStr">
        <is>
          <t xml:space="preserve">g=2.5000%</t>
        </is>
      </c>
      <c r="D47" t="inlineStr">
        <is>
          <t xml:space="preserve">Equity Value</t>
        </is>
      </c>
      <c r="E47" s="6">
        <v>2462437806080.1045</v>
      </c>
      <c r="F47" s="6">
        <v>2462437806080.1045</v>
      </c>
      <c r="G47" s="11">
        <f>ABS(E47-F47)</f>
        <v>0.0</v>
      </c>
      <c r="H47" s="10">
        <f>IF(F47=0,"n/a (zero denom)",G47/ABS(F47))</f>
        <v>0.0</v>
      </c>
      <c r="I47" s="10">
        <f>'Tolerances'!$B$11</f>
        <v>0.002</v>
      </c>
      <c r="J47" s="15" t="str">
        <f>IF(F47=0,IF(G47&lt;=0.000001,"PASS","FAIL"),IF(H47&lt;=I47,"PASS","FAIL"))</f>
        <v>PASS</v>
      </c>
      <c r="K47" t="inlineStr">
        <is>
          <t xml:space="preserve"/>
        </is>
      </c>
    </row>
    <row r="48">
      <c r="A48" t="inlineStr">
        <is>
          <t xml:space="preserve">MSFT</t>
        </is>
      </c>
      <c r="B48" t="inlineStr">
        <is>
          <t xml:space="preserve">Table 2 -- Terminal growth</t>
        </is>
      </c>
      <c r="C48" t="inlineStr">
        <is>
          <t xml:space="preserve">g=2.5000%</t>
        </is>
      </c>
      <c r="D48" t="inlineStr">
        <is>
          <t xml:space="preserve">Intrinsic Value per Share</t>
        </is>
      </c>
      <c r="E48" s="7">
        <v>331.61709251726467</v>
      </c>
      <c r="F48" s="7">
        <v>331.61709251726467</v>
      </c>
      <c r="G48" s="12">
        <f>ABS(E48-F48)</f>
        <v>0.0</v>
      </c>
      <c r="H48" s="10">
        <f>IF(F48=0,"n/a (zero denom)",G48/ABS(F48))</f>
        <v>0.0</v>
      </c>
      <c r="I48" s="10">
        <f>'Tolerances'!$B$13</f>
        <v>0.005</v>
      </c>
      <c r="J48" s="15" t="str">
        <f>IF(F48=0,IF(G48&lt;=0.000001,"PASS","FAIL"),IF(H48&lt;=I48,"PASS","FAIL"))</f>
        <v>PASS</v>
      </c>
      <c r="K48" t="inlineStr">
        <is>
          <t xml:space="preserve"/>
        </is>
      </c>
    </row>
    <row r="49">
      <c r="A49" t="inlineStr">
        <is>
          <t xml:space="preserve">MSFT</t>
        </is>
      </c>
      <c r="B49" t="inlineStr">
        <is>
          <t xml:space="preserve">Table 2 -- Terminal growth</t>
        </is>
      </c>
      <c r="C49" t="inlineStr">
        <is>
          <t xml:space="preserve">g=3.0000%</t>
        </is>
      </c>
      <c r="D49" t="inlineStr">
        <is>
          <t xml:space="preserve">Terminal Value</t>
        </is>
      </c>
      <c r="E49" s="6">
        <v>3205312491547.549</v>
      </c>
      <c r="F49" s="6">
        <v>3205312491547.549</v>
      </c>
      <c r="G49" s="11">
        <f>ABS(E49-F49)</f>
        <v>0.0</v>
      </c>
      <c r="H49" s="10">
        <f>IF(F49=0,"n/a (zero denom)",G49/ABS(F49))</f>
        <v>0.0</v>
      </c>
      <c r="I49" s="10">
        <f>'Tolerances'!$B$7</f>
        <v>0.002</v>
      </c>
      <c r="J49" s="15" t="str">
        <f>IF(F49=0,IF(G49&lt;=0.000001,"PASS","FAIL"),IF(H49&lt;=I49,"PASS","FAIL"))</f>
        <v>PASS</v>
      </c>
      <c r="K49" t="inlineStr">
        <is>
          <t xml:space="preserve"/>
        </is>
      </c>
    </row>
    <row r="50">
      <c r="A50" t="inlineStr">
        <is>
          <t xml:space="preserve">MSFT</t>
        </is>
      </c>
      <c r="B50" t="inlineStr">
        <is>
          <t xml:space="preserve">Table 2 -- Terminal growth</t>
        </is>
      </c>
      <c r="C50" t="inlineStr">
        <is>
          <t xml:space="preserve">g=3.0000%</t>
        </is>
      </c>
      <c r="D50" t="inlineStr">
        <is>
          <t xml:space="preserve">Enterprise Value</t>
        </is>
      </c>
      <c r="E50" s="6">
        <v>2623487093734.246</v>
      </c>
      <c r="F50" s="6">
        <v>2623487093734.246</v>
      </c>
      <c r="G50" s="11">
        <f>ABS(E50-F50)</f>
        <v>0.0</v>
      </c>
      <c r="H50" s="10">
        <f>IF(F50=0,"n/a (zero denom)",G50/ABS(F50))</f>
        <v>0.0</v>
      </c>
      <c r="I50" s="10">
        <f>'Tolerances'!$B$10</f>
        <v>0.002</v>
      </c>
      <c r="J50" s="15" t="str">
        <f>IF(F50=0,IF(G50&lt;=0.000001,"PASS","FAIL"),IF(H50&lt;=I50,"PASS","FAIL"))</f>
        <v>PASS</v>
      </c>
      <c r="K50" t="inlineStr">
        <is>
          <t xml:space="preserve"/>
        </is>
      </c>
    </row>
    <row r="51">
      <c r="A51" t="inlineStr">
        <is>
          <t xml:space="preserve">MSFT</t>
        </is>
      </c>
      <c r="B51" t="inlineStr">
        <is>
          <t xml:space="preserve">Table 2 -- Terminal growth</t>
        </is>
      </c>
      <c r="C51" t="inlineStr">
        <is>
          <t xml:space="preserve">g=3.0000%</t>
        </is>
      </c>
      <c r="D51" t="inlineStr">
        <is>
          <t xml:space="preserve">Equity Value</t>
        </is>
      </c>
      <c r="E51" s="6">
        <v>2604128093734.246</v>
      </c>
      <c r="F51" s="6">
        <v>2604128093734.246</v>
      </c>
      <c r="G51" s="11">
        <f>ABS(E51-F51)</f>
        <v>0.0</v>
      </c>
      <c r="H51" s="10">
        <f>IF(F51=0,"n/a (zero denom)",G51/ABS(F51))</f>
        <v>0.0</v>
      </c>
      <c r="I51" s="10">
        <f>'Tolerances'!$B$11</f>
        <v>0.002</v>
      </c>
      <c r="J51" s="15" t="str">
        <f>IF(F51=0,IF(G51&lt;=0.000001,"PASS","FAIL"),IF(H51&lt;=I51,"PASS","FAIL"))</f>
        <v>PASS</v>
      </c>
      <c r="K51" t="inlineStr">
        <is>
          <t xml:space="preserve"/>
        </is>
      </c>
    </row>
    <row r="52">
      <c r="A52" t="inlineStr">
        <is>
          <t xml:space="preserve">MSFT</t>
        </is>
      </c>
      <c r="B52" t="inlineStr">
        <is>
          <t xml:space="preserve">Table 2 -- Terminal growth</t>
        </is>
      </c>
      <c r="C52" t="inlineStr">
        <is>
          <t xml:space="preserve">g=3.0000%</t>
        </is>
      </c>
      <c r="D52" t="inlineStr">
        <is>
          <t xml:space="preserve">Intrinsic Value per Share</t>
        </is>
      </c>
      <c r="E52" s="7">
        <v>350.6985576871804</v>
      </c>
      <c r="F52" s="7">
        <v>350.6985576871804</v>
      </c>
      <c r="G52" s="12">
        <f>ABS(E52-F52)</f>
        <v>0.0</v>
      </c>
      <c r="H52" s="10">
        <f>IF(F52=0,"n/a (zero denom)",G52/ABS(F52))</f>
        <v>0.0</v>
      </c>
      <c r="I52" s="10">
        <f>'Tolerances'!$B$13</f>
        <v>0.005</v>
      </c>
      <c r="J52" s="15" t="str">
        <f>IF(F52=0,IF(G52&lt;=0.000001,"PASS","FAIL"),IF(H52&lt;=I52,"PASS","FAIL"))</f>
        <v>PASS</v>
      </c>
      <c r="K52" t="inlineStr">
        <is>
          <t xml:space="preserve"/>
        </is>
      </c>
    </row>
    <row r="53">
      <c r="A53" t="inlineStr">
        <is>
          <t xml:space="preserve">MSFT</t>
        </is>
      </c>
      <c r="B53" t="inlineStr">
        <is>
          <t xml:space="preserve">Table 2 -- Terminal growth</t>
        </is>
      </c>
      <c r="C53" t="inlineStr">
        <is>
          <t xml:space="preserve">g=4.0000%</t>
        </is>
      </c>
      <c r="D53" t="inlineStr">
        <is>
          <t xml:space="preserve">Terminal Value</t>
        </is>
      </c>
      <c r="E53" s="6">
        <v>3775799470227.801</v>
      </c>
      <c r="F53" s="6">
        <v>3775799470227.801</v>
      </c>
      <c r="G53" s="11">
        <f>ABS(E53-F53)</f>
        <v>0.0</v>
      </c>
      <c r="H53" s="10">
        <f>IF(F53=0,"n/a (zero denom)",G53/ABS(F53))</f>
        <v>0.0</v>
      </c>
      <c r="I53" s="10">
        <f>'Tolerances'!$B$7</f>
        <v>0.002</v>
      </c>
      <c r="J53" s="15" t="str">
        <f>IF(F53=0,IF(G53&lt;=0.000001,"PASS","FAIL"),IF(H53&lt;=I53,"PASS","FAIL"))</f>
        <v>PASS</v>
      </c>
      <c r="K53" t="inlineStr">
        <is>
          <t xml:space="preserve"/>
        </is>
      </c>
    </row>
    <row r="54">
      <c r="A54" t="inlineStr">
        <is>
          <t xml:space="preserve">MSFT</t>
        </is>
      </c>
      <c r="B54" t="inlineStr">
        <is>
          <t xml:space="preserve">Table 2 -- Terminal growth</t>
        </is>
      </c>
      <c r="C54" t="inlineStr">
        <is>
          <t xml:space="preserve">g=4.0000%</t>
        </is>
      </c>
      <c r="D54" t="inlineStr">
        <is>
          <t xml:space="preserve">Enterprise Value</t>
        </is>
      </c>
      <c r="E54" s="6">
        <v>2977707835311.209</v>
      </c>
      <c r="F54" s="6">
        <v>2977707835311.209</v>
      </c>
      <c r="G54" s="11">
        <f>ABS(E54-F54)</f>
        <v>0.0</v>
      </c>
      <c r="H54" s="10">
        <f>IF(F54=0,"n/a (zero denom)",G54/ABS(F54))</f>
        <v>0.0</v>
      </c>
      <c r="I54" s="10">
        <f>'Tolerances'!$B$10</f>
        <v>0.002</v>
      </c>
      <c r="J54" s="15" t="str">
        <f>IF(F54=0,IF(G54&lt;=0.000001,"PASS","FAIL"),IF(H54&lt;=I54,"PASS","FAIL"))</f>
        <v>PASS</v>
      </c>
      <c r="K54" t="inlineStr">
        <is>
          <t xml:space="preserve"/>
        </is>
      </c>
    </row>
    <row r="55">
      <c r="A55" t="inlineStr">
        <is>
          <t xml:space="preserve">MSFT</t>
        </is>
      </c>
      <c r="B55" t="inlineStr">
        <is>
          <t xml:space="preserve">Table 2 -- Terminal growth</t>
        </is>
      </c>
      <c r="C55" t="inlineStr">
        <is>
          <t xml:space="preserve">g=4.0000%</t>
        </is>
      </c>
      <c r="D55" t="inlineStr">
        <is>
          <t xml:space="preserve">Equity Value</t>
        </is>
      </c>
      <c r="E55" s="6">
        <v>2958348835311.209</v>
      </c>
      <c r="F55" s="6">
        <v>2958348835311.209</v>
      </c>
      <c r="G55" s="11">
        <f>ABS(E55-F55)</f>
        <v>0.0</v>
      </c>
      <c r="H55" s="10">
        <f>IF(F55=0,"n/a (zero denom)",G55/ABS(F55))</f>
        <v>0.0</v>
      </c>
      <c r="I55" s="10">
        <f>'Tolerances'!$B$11</f>
        <v>0.002</v>
      </c>
      <c r="J55" s="15" t="str">
        <f>IF(F55=0,IF(G55&lt;=0.000001,"PASS","FAIL"),IF(H55&lt;=I55,"PASS","FAIL"))</f>
        <v>PASS</v>
      </c>
      <c r="K55" t="inlineStr">
        <is>
          <t xml:space="preserve"/>
        </is>
      </c>
    </row>
    <row r="56">
      <c r="A56" t="inlineStr">
        <is>
          <t xml:space="preserve">MSFT</t>
        </is>
      </c>
      <c r="B56" t="inlineStr">
        <is>
          <t xml:space="preserve">Table 2 -- Terminal growth</t>
        </is>
      </c>
      <c r="C56" t="inlineStr">
        <is>
          <t xml:space="preserve">g=4.0000%</t>
        </is>
      </c>
      <c r="D56" t="inlineStr">
        <is>
          <t xml:space="preserve">Intrinsic Value per Share</t>
        </is>
      </c>
      <c r="E56" s="7">
        <v>398.40155028298227</v>
      </c>
      <c r="F56" s="7">
        <v>398.40155028298227</v>
      </c>
      <c r="G56" s="12">
        <f>ABS(E56-F56)</f>
        <v>0.0</v>
      </c>
      <c r="H56" s="10">
        <f>IF(F56=0,"n/a (zero denom)",G56/ABS(F56))</f>
        <v>0.0</v>
      </c>
      <c r="I56" s="10">
        <f>'Tolerances'!$B$13</f>
        <v>0.005</v>
      </c>
      <c r="J56" s="15" t="str">
        <f>IF(F56=0,IF(G56&lt;=0.000001,"PASS","FAIL"),IF(H56&lt;=I56,"PASS","FAIL"))</f>
        <v>PASS</v>
      </c>
      <c r="K56" t="inlineStr">
        <is>
          <t xml:space="preserve"/>
        </is>
      </c>
    </row>
    <row r="57">
      <c r="A57" t="inlineStr">
        <is>
          <t xml:space="preserve">MSFT</t>
        </is>
      </c>
      <c r="B57" t="inlineStr">
        <is>
          <t xml:space="preserve">Table 2 -- Terminal growth</t>
        </is>
      </c>
      <c r="C57" t="inlineStr">
        <is>
          <t xml:space="preserve">g=5.0000%</t>
        </is>
      </c>
      <c r="D57" t="inlineStr">
        <is>
          <t xml:space="preserve">Terminal Value</t>
        </is>
      </c>
      <c r="E57" s="6">
        <v>4574462001174.006</v>
      </c>
      <c r="F57" s="6">
        <v>4574462001174.006</v>
      </c>
      <c r="G57" s="11">
        <f>ABS(E57-F57)</f>
        <v>0.0</v>
      </c>
      <c r="H57" s="10">
        <f>IF(F57=0,"n/a (zero denom)",G57/ABS(F57))</f>
        <v>0.0</v>
      </c>
      <c r="I57" s="10">
        <f>'Tolerances'!$B$7</f>
        <v>0.002</v>
      </c>
      <c r="J57" s="15" t="str">
        <f>IF(F57=0,IF(G57&lt;=0.000001,"PASS","FAIL"),IF(H57&lt;=I57,"PASS","FAIL"))</f>
        <v>PASS</v>
      </c>
      <c r="K57" t="inlineStr">
        <is>
          <t xml:space="preserve"/>
        </is>
      </c>
    </row>
    <row r="58">
      <c r="A58" t="inlineStr">
        <is>
          <t xml:space="preserve">MSFT</t>
        </is>
      </c>
      <c r="B58" t="inlineStr">
        <is>
          <t xml:space="preserve">Table 2 -- Terminal growth</t>
        </is>
      </c>
      <c r="C58" t="inlineStr">
        <is>
          <t xml:space="preserve">g=5.0000%</t>
        </is>
      </c>
      <c r="D58" t="inlineStr">
        <is>
          <t xml:space="preserve">Enterprise Value</t>
        </is>
      </c>
      <c r="E58" s="6">
        <v>3473604927714.5405</v>
      </c>
      <c r="F58" s="6">
        <v>3473604927714.5405</v>
      </c>
      <c r="G58" s="11">
        <f>ABS(E58-F58)</f>
        <v>0.0</v>
      </c>
      <c r="H58" s="10">
        <f>IF(F58=0,"n/a (zero denom)",G58/ABS(F58))</f>
        <v>0.0</v>
      </c>
      <c r="I58" s="10">
        <f>'Tolerances'!$B$10</f>
        <v>0.002</v>
      </c>
      <c r="J58" s="15" t="str">
        <f>IF(F58=0,IF(G58&lt;=0.000001,"PASS","FAIL"),IF(H58&lt;=I58,"PASS","FAIL"))</f>
        <v>PASS</v>
      </c>
      <c r="K58" t="inlineStr">
        <is>
          <t xml:space="preserve"/>
        </is>
      </c>
    </row>
    <row r="59">
      <c r="A59" t="inlineStr">
        <is>
          <t xml:space="preserve">MSFT</t>
        </is>
      </c>
      <c r="B59" t="inlineStr">
        <is>
          <t xml:space="preserve">Table 2 -- Terminal growth</t>
        </is>
      </c>
      <c r="C59" t="inlineStr">
        <is>
          <t xml:space="preserve">g=5.0000%</t>
        </is>
      </c>
      <c r="D59" t="inlineStr">
        <is>
          <t xml:space="preserve">Equity Value</t>
        </is>
      </c>
      <c r="E59" s="6">
        <v>3454245927714.5405</v>
      </c>
      <c r="F59" s="6">
        <v>3454245927714.5405</v>
      </c>
      <c r="G59" s="11">
        <f>ABS(E59-F59)</f>
        <v>0.0</v>
      </c>
      <c r="H59" s="10">
        <f>IF(F59=0,"n/a (zero denom)",G59/ABS(F59))</f>
        <v>0.0</v>
      </c>
      <c r="I59" s="10">
        <f>'Tolerances'!$B$11</f>
        <v>0.002</v>
      </c>
      <c r="J59" s="15" t="str">
        <f>IF(F59=0,IF(G59&lt;=0.000001,"PASS","FAIL"),IF(H59&lt;=I59,"PASS","FAIL"))</f>
        <v>PASS</v>
      </c>
      <c r="K59" t="inlineStr">
        <is>
          <t xml:space="preserve"/>
        </is>
      </c>
    </row>
    <row r="60">
      <c r="A60" t="inlineStr">
        <is>
          <t xml:space="preserve">MSFT</t>
        </is>
      </c>
      <c r="B60" t="inlineStr">
        <is>
          <t xml:space="preserve">Table 2 -- Terminal growth</t>
        </is>
      </c>
      <c r="C60" t="inlineStr">
        <is>
          <t xml:space="preserve">g=5.0000%</t>
        </is>
      </c>
      <c r="D60" t="inlineStr">
        <is>
          <t xml:space="preserve">Intrinsic Value per Share</t>
        </is>
      </c>
      <c r="E60" s="7">
        <v>465.1841311727465</v>
      </c>
      <c r="F60" s="7">
        <v>465.1841311727465</v>
      </c>
      <c r="G60" s="12">
        <f>ABS(E60-F60)</f>
        <v>0.0</v>
      </c>
      <c r="H60" s="10">
        <f>IF(F60=0,"n/a (zero denom)",G60/ABS(F60))</f>
        <v>0.0</v>
      </c>
      <c r="I60" s="10">
        <f>'Tolerances'!$B$13</f>
        <v>0.005</v>
      </c>
      <c r="J60" s="15" t="str">
        <f>IF(F60=0,IF(G60&lt;=0.000001,"PASS","FAIL"),IF(H60&lt;=I60,"PASS","FAIL"))</f>
        <v>PASS</v>
      </c>
      <c r="K60" t="inlineStr">
        <is>
          <t xml:space="preserve"/>
        </is>
      </c>
    </row>
    <row r="61">
      <c r="A61" t="inlineStr">
        <is>
          <t xml:space="preserve">MSFT</t>
        </is>
      </c>
      <c r="B61" t="inlineStr">
        <is>
          <t xml:space="preserve">Table 3 -- Revenue growth</t>
        </is>
      </c>
      <c r="C61" t="inlineStr">
        <is>
          <t xml:space="preserve">RevGrowth=-10.0000%</t>
        </is>
      </c>
      <c r="D61" t="inlineStr">
        <is>
          <t xml:space="preserve">FCF Year 1</t>
        </is>
      </c>
      <c r="E61" s="6">
        <v>103686624187.6131</v>
      </c>
      <c r="F61" s="6">
        <v>103686624187.6131</v>
      </c>
      <c r="G61" s="11">
        <f>ABS(E61-F61)</f>
        <v>0.0</v>
      </c>
      <c r="H61" s="10">
        <f>IF(F61=0,"n/a (zero denom)",G61/ABS(F61))</f>
        <v>0.0</v>
      </c>
      <c r="I61" s="10">
        <f>'Tolerances'!$B$6</f>
        <v>0.001</v>
      </c>
      <c r="J61" s="15" t="str">
        <f>IF(F61=0,IF(G61&lt;=0.000001,"PASS","FAIL"),IF(H61&lt;=I61,"PASS","FAIL"))</f>
        <v>PASS</v>
      </c>
      <c r="K61" t="inlineStr">
        <is>
          <t xml:space="preserve"/>
        </is>
      </c>
    </row>
    <row r="62">
      <c r="A62" t="inlineStr">
        <is>
          <t xml:space="preserve">MSFT</t>
        </is>
      </c>
      <c r="B62" t="inlineStr">
        <is>
          <t xml:space="preserve">Table 3 -- Revenue growth</t>
        </is>
      </c>
      <c r="C62" t="inlineStr">
        <is>
          <t xml:space="preserve">RevGrowth=-10.0000%</t>
        </is>
      </c>
      <c r="D62" t="inlineStr">
        <is>
          <t xml:space="preserve">FCF Year 2</t>
        </is>
      </c>
      <c r="E62" s="6">
        <v>93317961768.85179</v>
      </c>
      <c r="F62" s="6">
        <v>93317961768.85179</v>
      </c>
      <c r="G62" s="11">
        <f>ABS(E62-F62)</f>
        <v>0.0</v>
      </c>
      <c r="H62" s="10">
        <f>IF(F62=0,"n/a (zero denom)",G62/ABS(F62))</f>
        <v>0.0</v>
      </c>
      <c r="I62" s="10">
        <f>'Tolerances'!$B$6</f>
        <v>0.001</v>
      </c>
      <c r="J62" s="15" t="str">
        <f>IF(F62=0,IF(G62&lt;=0.000001,"PASS","FAIL"),IF(H62&lt;=I62,"PASS","FAIL"))</f>
        <v>PASS</v>
      </c>
      <c r="K62" t="inlineStr">
        <is>
          <t xml:space="preserve"/>
        </is>
      </c>
    </row>
    <row r="63">
      <c r="A63" t="inlineStr">
        <is>
          <t xml:space="preserve">MSFT</t>
        </is>
      </c>
      <c r="B63" t="inlineStr">
        <is>
          <t xml:space="preserve">Table 3 -- Revenue growth</t>
        </is>
      </c>
      <c r="C63" t="inlineStr">
        <is>
          <t xml:space="preserve">RevGrowth=-10.0000%</t>
        </is>
      </c>
      <c r="D63" t="inlineStr">
        <is>
          <t xml:space="preserve">FCF Year 3</t>
        </is>
      </c>
      <c r="E63" s="6">
        <v>83986165591.96661</v>
      </c>
      <c r="F63" s="6">
        <v>83986165591.96661</v>
      </c>
      <c r="G63" s="11">
        <f>ABS(E63-F63)</f>
        <v>0.0</v>
      </c>
      <c r="H63" s="10">
        <f>IF(F63=0,"n/a (zero denom)",G63/ABS(F63))</f>
        <v>0.0</v>
      </c>
      <c r="I63" s="10">
        <f>'Tolerances'!$B$6</f>
        <v>0.001</v>
      </c>
      <c r="J63" s="15" t="str">
        <f>IF(F63=0,IF(G63&lt;=0.000001,"PASS","FAIL"),IF(H63&lt;=I63,"PASS","FAIL"))</f>
        <v>PASS</v>
      </c>
      <c r="K63" t="inlineStr">
        <is>
          <t xml:space="preserve"/>
        </is>
      </c>
    </row>
    <row r="64">
      <c r="A64" t="inlineStr">
        <is>
          <t xml:space="preserve">MSFT</t>
        </is>
      </c>
      <c r="B64" t="inlineStr">
        <is>
          <t xml:space="preserve">Table 3 -- Revenue growth</t>
        </is>
      </c>
      <c r="C64" t="inlineStr">
        <is>
          <t xml:space="preserve">RevGrowth=-10.0000%</t>
        </is>
      </c>
      <c r="D64" t="inlineStr">
        <is>
          <t xml:space="preserve">FCF Year 4</t>
        </is>
      </c>
      <c r="E64" s="6">
        <v>75587549032.76996</v>
      </c>
      <c r="F64" s="6">
        <v>75587549032.76996</v>
      </c>
      <c r="G64" s="11">
        <f>ABS(E64-F64)</f>
        <v>0.0</v>
      </c>
      <c r="H64" s="10">
        <f>IF(F64=0,"n/a (zero denom)",G64/ABS(F64))</f>
        <v>0.0</v>
      </c>
      <c r="I64" s="10">
        <f>'Tolerances'!$B$6</f>
        <v>0.001</v>
      </c>
      <c r="J64" s="15" t="str">
        <f>IF(F64=0,IF(G64&lt;=0.000001,"PASS","FAIL"),IF(H64&lt;=I64,"PASS","FAIL"))</f>
        <v>PASS</v>
      </c>
      <c r="K64" t="inlineStr">
        <is>
          <t xml:space="preserve"/>
        </is>
      </c>
    </row>
    <row r="65">
      <c r="A65" t="inlineStr">
        <is>
          <t xml:space="preserve">MSFT</t>
        </is>
      </c>
      <c r="B65" t="inlineStr">
        <is>
          <t xml:space="preserve">Table 3 -- Revenue growth</t>
        </is>
      </c>
      <c r="C65" t="inlineStr">
        <is>
          <t xml:space="preserve">RevGrowth=-10.0000%</t>
        </is>
      </c>
      <c r="D65" t="inlineStr">
        <is>
          <t xml:space="preserve">FCF Year 5</t>
        </is>
      </c>
      <c r="E65" s="6">
        <v>68028794129.492966</v>
      </c>
      <c r="F65" s="6">
        <v>68028794129.492966</v>
      </c>
      <c r="G65" s="11">
        <f>ABS(E65-F65)</f>
        <v>0.0</v>
      </c>
      <c r="H65" s="10">
        <f>IF(F65=0,"n/a (zero denom)",G65/ABS(F65))</f>
        <v>0.0</v>
      </c>
      <c r="I65" s="10">
        <f>'Tolerances'!$B$6</f>
        <v>0.001</v>
      </c>
      <c r="J65" s="15" t="str">
        <f>IF(F65=0,IF(G65&lt;=0.000001,"PASS","FAIL"),IF(H65&lt;=I65,"PASS","FAIL"))</f>
        <v>PASS</v>
      </c>
      <c r="K65" t="inlineStr">
        <is>
          <t xml:space="preserve"/>
        </is>
      </c>
    </row>
    <row r="66">
      <c r="A66" t="inlineStr">
        <is>
          <t xml:space="preserve">MSFT</t>
        </is>
      </c>
      <c r="B66" t="inlineStr">
        <is>
          <t xml:space="preserve">Table 3 -- Revenue growth</t>
        </is>
      </c>
      <c r="C66" t="inlineStr">
        <is>
          <t xml:space="preserve">RevGrowth=-10.0000%</t>
        </is>
      </c>
      <c r="D66" t="inlineStr">
        <is>
          <t xml:space="preserve">Terminal Value</t>
        </is>
      </c>
      <c r="E66" s="6">
        <v>929674594506.5786</v>
      </c>
      <c r="F66" s="6">
        <v>929674594506.5786</v>
      </c>
      <c r="G66" s="11">
        <f>ABS(E66-F66)</f>
        <v>0.0</v>
      </c>
      <c r="H66" s="10">
        <f>IF(F66=0,"n/a (zero denom)",G66/ABS(F66))</f>
        <v>0.0</v>
      </c>
      <c r="I66" s="10">
        <f>'Tolerances'!$B$7</f>
        <v>0.002</v>
      </c>
      <c r="J66" s="15" t="str">
        <f>IF(F66=0,IF(G66&lt;=0.000001,"PASS","FAIL"),IF(H66&lt;=I66,"PASS","FAIL"))</f>
        <v>PASS</v>
      </c>
      <c r="K66" t="inlineStr">
        <is>
          <t xml:space="preserve"/>
        </is>
      </c>
    </row>
    <row r="67">
      <c r="A67" t="inlineStr">
        <is>
          <t xml:space="preserve">MSFT</t>
        </is>
      </c>
      <c r="B67" t="inlineStr">
        <is>
          <t xml:space="preserve">Table 3 -- Revenue growth</t>
        </is>
      </c>
      <c r="C67" t="inlineStr">
        <is>
          <t xml:space="preserve">RevGrowth=-10.0000%</t>
        </is>
      </c>
      <c r="D67" t="inlineStr">
        <is>
          <t xml:space="preserve">Enterprise Value</t>
        </is>
      </c>
      <c r="E67" s="6">
        <v>905591179621.5406</v>
      </c>
      <c r="F67" s="6">
        <v>905591179621.5406</v>
      </c>
      <c r="G67" s="11">
        <f>ABS(E67-F67)</f>
        <v>0.0</v>
      </c>
      <c r="H67" s="10">
        <f>IF(F67=0,"n/a (zero denom)",G67/ABS(F67))</f>
        <v>0.0</v>
      </c>
      <c r="I67" s="10">
        <f>'Tolerances'!$B$10</f>
        <v>0.002</v>
      </c>
      <c r="J67" s="15" t="str">
        <f>IF(F67=0,IF(G67&lt;=0.000001,"PASS","FAIL"),IF(H67&lt;=I67,"PASS","FAIL"))</f>
        <v>PASS</v>
      </c>
      <c r="K67" t="inlineStr">
        <is>
          <t xml:space="preserve"/>
        </is>
      </c>
    </row>
    <row r="68">
      <c r="A68" t="inlineStr">
        <is>
          <t xml:space="preserve">MSFT</t>
        </is>
      </c>
      <c r="B68" t="inlineStr">
        <is>
          <t xml:space="preserve">Table 3 -- Revenue growth</t>
        </is>
      </c>
      <c r="C68" t="inlineStr">
        <is>
          <t xml:space="preserve">RevGrowth=-10.0000%</t>
        </is>
      </c>
      <c r="D68" t="inlineStr">
        <is>
          <t xml:space="preserve">Equity Value</t>
        </is>
      </c>
      <c r="E68" s="6">
        <v>886232179621.5406</v>
      </c>
      <c r="F68" s="6">
        <v>886232179621.5406</v>
      </c>
      <c r="G68" s="11">
        <f>ABS(E68-F68)</f>
        <v>0.0</v>
      </c>
      <c r="H68" s="10">
        <f>IF(F68=0,"n/a (zero denom)",G68/ABS(F68))</f>
        <v>0.0</v>
      </c>
      <c r="I68" s="10">
        <f>'Tolerances'!$B$11</f>
        <v>0.002</v>
      </c>
      <c r="J68" s="15" t="str">
        <f>IF(F68=0,IF(G68&lt;=0.000001,"PASS","FAIL"),IF(H68&lt;=I68,"PASS","FAIL"))</f>
        <v>PASS</v>
      </c>
      <c r="K68" t="inlineStr">
        <is>
          <t xml:space="preserve"/>
        </is>
      </c>
    </row>
    <row r="69">
      <c r="A69" t="inlineStr">
        <is>
          <t xml:space="preserve">MSFT</t>
        </is>
      </c>
      <c r="B69" t="inlineStr">
        <is>
          <t xml:space="preserve">Table 3 -- Revenue growth</t>
        </is>
      </c>
      <c r="C69" t="inlineStr">
        <is>
          <t xml:space="preserve">RevGrowth=-10.0000%</t>
        </is>
      </c>
      <c r="D69" t="inlineStr">
        <is>
          <t xml:space="preserve">Intrinsic Value per Share</t>
        </is>
      </c>
      <c r="E69" s="7">
        <v>119.34910111259605</v>
      </c>
      <c r="F69" s="7">
        <v>119.34910111259605</v>
      </c>
      <c r="G69" s="12">
        <f>ABS(E69-F69)</f>
        <v>0.0</v>
      </c>
      <c r="H69" s="10">
        <f>IF(F69=0,"n/a (zero denom)",G69/ABS(F69))</f>
        <v>0.0</v>
      </c>
      <c r="I69" s="10">
        <f>'Tolerances'!$B$13</f>
        <v>0.005</v>
      </c>
      <c r="J69" s="15" t="str">
        <f>IF(F69=0,IF(G69&lt;=0.000001,"PASS","FAIL"),IF(H69&lt;=I69,"PASS","FAIL"))</f>
        <v>PASS</v>
      </c>
      <c r="K69" t="inlineStr">
        <is>
          <t xml:space="preserve"/>
        </is>
      </c>
    </row>
    <row r="70">
      <c r="A70" t="inlineStr">
        <is>
          <t xml:space="preserve">MSFT</t>
        </is>
      </c>
      <c r="B70" t="inlineStr">
        <is>
          <t xml:space="preserve">Table 3 -- Revenue growth</t>
        </is>
      </c>
      <c r="C70" t="inlineStr">
        <is>
          <t xml:space="preserve">RevGrowth=-5.0000%</t>
        </is>
      </c>
      <c r="D70" t="inlineStr">
        <is>
          <t xml:space="preserve">FCF Year 1</t>
        </is>
      </c>
      <c r="E70" s="6">
        <v>109262637198.03606</v>
      </c>
      <c r="F70" s="6">
        <v>109262637198.03606</v>
      </c>
      <c r="G70" s="11">
        <f>ABS(E70-F70)</f>
        <v>0.0</v>
      </c>
      <c r="H70" s="10">
        <f>IF(F70=0,"n/a (zero denom)",G70/ABS(F70))</f>
        <v>0.0</v>
      </c>
      <c r="I70" s="10">
        <f>'Tolerances'!$B$6</f>
        <v>0.001</v>
      </c>
      <c r="J70" s="15" t="str">
        <f>IF(F70=0,IF(G70&lt;=0.000001,"PASS","FAIL"),IF(H70&lt;=I70,"PASS","FAIL"))</f>
        <v>PASS</v>
      </c>
      <c r="K70" t="inlineStr">
        <is>
          <t xml:space="preserve"/>
        </is>
      </c>
    </row>
    <row r="71">
      <c r="A71" t="inlineStr">
        <is>
          <t xml:space="preserve">MSFT</t>
        </is>
      </c>
      <c r="B71" t="inlineStr">
        <is>
          <t xml:space="preserve">Table 3 -- Revenue growth</t>
        </is>
      </c>
      <c r="C71" t="inlineStr">
        <is>
          <t xml:space="preserve">RevGrowth=-5.0000%</t>
        </is>
      </c>
      <c r="D71" t="inlineStr">
        <is>
          <t xml:space="preserve">FCF Year 2</t>
        </is>
      </c>
      <c r="E71" s="6">
        <v>103799505338.13426</v>
      </c>
      <c r="F71" s="6">
        <v>103799505338.13426</v>
      </c>
      <c r="G71" s="11">
        <f>ABS(E71-F71)</f>
        <v>0.0</v>
      </c>
      <c r="H71" s="10">
        <f>IF(F71=0,"n/a (zero denom)",G71/ABS(F71))</f>
        <v>0.0</v>
      </c>
      <c r="I71" s="10">
        <f>'Tolerances'!$B$6</f>
        <v>0.001</v>
      </c>
      <c r="J71" s="15" t="str">
        <f>IF(F71=0,IF(G71&lt;=0.000001,"PASS","FAIL"),IF(H71&lt;=I71,"PASS","FAIL"))</f>
        <v>PASS</v>
      </c>
      <c r="K71" t="inlineStr">
        <is>
          <t xml:space="preserve"/>
        </is>
      </c>
    </row>
    <row r="72">
      <c r="A72" t="inlineStr">
        <is>
          <t xml:space="preserve">MSFT</t>
        </is>
      </c>
      <c r="B72" t="inlineStr">
        <is>
          <t xml:space="preserve">Table 3 -- Revenue growth</t>
        </is>
      </c>
      <c r="C72" t="inlineStr">
        <is>
          <t xml:space="preserve">RevGrowth=-5.0000%</t>
        </is>
      </c>
      <c r="D72" t="inlineStr">
        <is>
          <t xml:space="preserve">FCF Year 3</t>
        </is>
      </c>
      <c r="E72" s="6">
        <v>98609530071.22754</v>
      </c>
      <c r="F72" s="6">
        <v>98609530071.22754</v>
      </c>
      <c r="G72" s="11">
        <f>ABS(E72-F72)</f>
        <v>0.0</v>
      </c>
      <c r="H72" s="10">
        <f>IF(F72=0,"n/a (zero denom)",G72/ABS(F72))</f>
        <v>0.0</v>
      </c>
      <c r="I72" s="10">
        <f>'Tolerances'!$B$6</f>
        <v>0.001</v>
      </c>
      <c r="J72" s="15" t="str">
        <f>IF(F72=0,IF(G72&lt;=0.000001,"PASS","FAIL"),IF(H72&lt;=I72,"PASS","FAIL"))</f>
        <v>PASS</v>
      </c>
      <c r="K72" t="inlineStr">
        <is>
          <t xml:space="preserve"/>
        </is>
      </c>
    </row>
    <row r="73">
      <c r="A73" t="inlineStr">
        <is>
          <t xml:space="preserve">MSFT</t>
        </is>
      </c>
      <c r="B73" t="inlineStr">
        <is>
          <t xml:space="preserve">Table 3 -- Revenue growth</t>
        </is>
      </c>
      <c r="C73" t="inlineStr">
        <is>
          <t xml:space="preserve">RevGrowth=-5.0000%</t>
        </is>
      </c>
      <c r="D73" t="inlineStr">
        <is>
          <t xml:space="preserve">FCF Year 4</t>
        </is>
      </c>
      <c r="E73" s="6">
        <v>93679053567.66615</v>
      </c>
      <c r="F73" s="6">
        <v>93679053567.66615</v>
      </c>
      <c r="G73" s="11">
        <f>ABS(E73-F73)</f>
        <v>0.0</v>
      </c>
      <c r="H73" s="10">
        <f>IF(F73=0,"n/a (zero denom)",G73/ABS(F73))</f>
        <v>0.0</v>
      </c>
      <c r="I73" s="10">
        <f>'Tolerances'!$B$6</f>
        <v>0.001</v>
      </c>
      <c r="J73" s="15" t="str">
        <f>IF(F73=0,IF(G73&lt;=0.000001,"PASS","FAIL"),IF(H73&lt;=I73,"PASS","FAIL"))</f>
        <v>PASS</v>
      </c>
      <c r="K73" t="inlineStr">
        <is>
          <t xml:space="preserve"/>
        </is>
      </c>
    </row>
    <row r="74">
      <c r="A74" t="inlineStr">
        <is>
          <t xml:space="preserve">MSFT</t>
        </is>
      </c>
      <c r="B74" t="inlineStr">
        <is>
          <t xml:space="preserve">Table 3 -- Revenue growth</t>
        </is>
      </c>
      <c r="C74" t="inlineStr">
        <is>
          <t xml:space="preserve">RevGrowth=-5.0000%</t>
        </is>
      </c>
      <c r="D74" t="inlineStr">
        <is>
          <t xml:space="preserve">FCF Year 5</t>
        </is>
      </c>
      <c r="E74" s="6">
        <v>88995100889.28285</v>
      </c>
      <c r="F74" s="6">
        <v>88995100889.28285</v>
      </c>
      <c r="G74" s="11">
        <f>ABS(E74-F74)</f>
        <v>0.0</v>
      </c>
      <c r="H74" s="10">
        <f>IF(F74=0,"n/a (zero denom)",G74/ABS(F74))</f>
        <v>0.0</v>
      </c>
      <c r="I74" s="10">
        <f>'Tolerances'!$B$6</f>
        <v>0.001</v>
      </c>
      <c r="J74" s="15" t="str">
        <f>IF(F74=0,IF(G74&lt;=0.000001,"PASS","FAIL"),IF(H74&lt;=I74,"PASS","FAIL"))</f>
        <v>PASS</v>
      </c>
      <c r="K74" t="inlineStr">
        <is>
          <t xml:space="preserve"/>
        </is>
      </c>
    </row>
    <row r="75">
      <c r="A75" t="inlineStr">
        <is>
          <t xml:space="preserve">MSFT</t>
        </is>
      </c>
      <c r="B75" t="inlineStr">
        <is>
          <t xml:space="preserve">Table 3 -- Revenue growth</t>
        </is>
      </c>
      <c r="C75" t="inlineStr">
        <is>
          <t xml:space="preserve">RevGrowth=-5.0000%</t>
        </is>
      </c>
      <c r="D75" t="inlineStr">
        <is>
          <t xml:space="preserve">Terminal Value</t>
        </is>
      </c>
      <c r="E75" s="6">
        <v>1216198014253.009</v>
      </c>
      <c r="F75" s="6">
        <v>1216198014253.009</v>
      </c>
      <c r="G75" s="11">
        <f>ABS(E75-F75)</f>
        <v>0.0</v>
      </c>
      <c r="H75" s="10">
        <f>IF(F75=0,"n/a (zero denom)",G75/ABS(F75))</f>
        <v>0.0</v>
      </c>
      <c r="I75" s="10">
        <f>'Tolerances'!$B$7</f>
        <v>0.002</v>
      </c>
      <c r="J75" s="15" t="str">
        <f>IF(F75=0,IF(G75&lt;=0.000001,"PASS","FAIL"),IF(H75&lt;=I75,"PASS","FAIL"))</f>
        <v>PASS</v>
      </c>
      <c r="K75" t="inlineStr">
        <is>
          <t xml:space="preserve"/>
        </is>
      </c>
    </row>
    <row r="76">
      <c r="A76" t="inlineStr">
        <is>
          <t xml:space="preserve">MSFT</t>
        </is>
      </c>
      <c r="B76" t="inlineStr">
        <is>
          <t xml:space="preserve">Table 3 -- Revenue growth</t>
        </is>
      </c>
      <c r="C76" t="inlineStr">
        <is>
          <t xml:space="preserve">RevGrowth=-5.0000%</t>
        </is>
      </c>
      <c r="D76" t="inlineStr">
        <is>
          <t xml:space="preserve">Enterprise Value</t>
        </is>
      </c>
      <c r="E76" s="6">
        <v>1133589073777.7178</v>
      </c>
      <c r="F76" s="6">
        <v>1133589073777.7178</v>
      </c>
      <c r="G76" s="11">
        <f>ABS(E76-F76)</f>
        <v>0.0</v>
      </c>
      <c r="H76" s="10">
        <f>IF(F76=0,"n/a (zero denom)",G76/ABS(F76))</f>
        <v>0.0</v>
      </c>
      <c r="I76" s="10">
        <f>'Tolerances'!$B$10</f>
        <v>0.002</v>
      </c>
      <c r="J76" s="15" t="str">
        <f>IF(F76=0,IF(G76&lt;=0.000001,"PASS","FAIL"),IF(H76&lt;=I76,"PASS","FAIL"))</f>
        <v>PASS</v>
      </c>
      <c r="K76" t="inlineStr">
        <is>
          <t xml:space="preserve"/>
        </is>
      </c>
    </row>
    <row r="77">
      <c r="A77" t="inlineStr">
        <is>
          <t xml:space="preserve">MSFT</t>
        </is>
      </c>
      <c r="B77" t="inlineStr">
        <is>
          <t xml:space="preserve">Table 3 -- Revenue growth</t>
        </is>
      </c>
      <c r="C77" t="inlineStr">
        <is>
          <t xml:space="preserve">RevGrowth=-5.0000%</t>
        </is>
      </c>
      <c r="D77" t="inlineStr">
        <is>
          <t xml:space="preserve">Equity Value</t>
        </is>
      </c>
      <c r="E77" s="6">
        <v>1114230073777.7178</v>
      </c>
      <c r="F77" s="6">
        <v>1114230073777.7178</v>
      </c>
      <c r="G77" s="11">
        <f>ABS(E77-F77)</f>
        <v>0.0</v>
      </c>
      <c r="H77" s="10">
        <f>IF(F77=0,"n/a (zero denom)",G77/ABS(F77))</f>
        <v>0.0</v>
      </c>
      <c r="I77" s="10">
        <f>'Tolerances'!$B$11</f>
        <v>0.002</v>
      </c>
      <c r="J77" s="15" t="str">
        <f>IF(F77=0,IF(G77&lt;=0.000001,"PASS","FAIL"),IF(H77&lt;=I77,"PASS","FAIL"))</f>
        <v>PASS</v>
      </c>
      <c r="K77" t="inlineStr">
        <is>
          <t xml:space="preserve"/>
        </is>
      </c>
    </row>
    <row r="78">
      <c r="A78" t="inlineStr">
        <is>
          <t xml:space="preserve">MSFT</t>
        </is>
      </c>
      <c r="B78" t="inlineStr">
        <is>
          <t xml:space="preserve">Table 3 -- Revenue growth</t>
        </is>
      </c>
      <c r="C78" t="inlineStr">
        <is>
          <t xml:space="preserve">RevGrowth=-5.0000%</t>
        </is>
      </c>
      <c r="D78" t="inlineStr">
        <is>
          <t xml:space="preserve">Intrinsic Value per Share</t>
        </is>
      </c>
      <c r="E78" s="7">
        <v>150.05363244063355</v>
      </c>
      <c r="F78" s="7">
        <v>150.05363244063355</v>
      </c>
      <c r="G78" s="12">
        <f>ABS(E78-F78)</f>
        <v>0.0</v>
      </c>
      <c r="H78" s="10">
        <f>IF(F78=0,"n/a (zero denom)",G78/ABS(F78))</f>
        <v>0.0</v>
      </c>
      <c r="I78" s="10">
        <f>'Tolerances'!$B$13</f>
        <v>0.005</v>
      </c>
      <c r="J78" s="15" t="str">
        <f>IF(F78=0,IF(G78&lt;=0.000001,"PASS","FAIL"),IF(H78&lt;=I78,"PASS","FAIL"))</f>
        <v>PASS</v>
      </c>
      <c r="K78" t="inlineStr">
        <is>
          <t xml:space="preserve"/>
        </is>
      </c>
    </row>
    <row r="79">
      <c r="A79" t="inlineStr">
        <is>
          <t xml:space="preserve">MSFT</t>
        </is>
      </c>
      <c r="B79" t="inlineStr">
        <is>
          <t xml:space="preserve">Table 3 -- Revenue growth</t>
        </is>
      </c>
      <c r="C79" t="inlineStr">
        <is>
          <t xml:space="preserve">RevGrowth=0.0000%</t>
        </is>
      </c>
      <c r="D79" t="inlineStr">
        <is>
          <t xml:space="preserve">FCF Year 1</t>
        </is>
      </c>
      <c r="E79" s="6">
        <v>114838650208.459</v>
      </c>
      <c r="F79" s="6">
        <v>114838650208.459</v>
      </c>
      <c r="G79" s="11">
        <f>ABS(E79-F79)</f>
        <v>0.0</v>
      </c>
      <c r="H79" s="10">
        <f>IF(F79=0,"n/a (zero denom)",G79/ABS(F79))</f>
        <v>0.0</v>
      </c>
      <c r="I79" s="10">
        <f>'Tolerances'!$B$6</f>
        <v>0.001</v>
      </c>
      <c r="J79" s="15" t="str">
        <f>IF(F79=0,IF(G79&lt;=0.000001,"PASS","FAIL"),IF(H79&lt;=I79,"PASS","FAIL"))</f>
        <v>PASS</v>
      </c>
      <c r="K79" t="inlineStr">
        <is>
          <t xml:space="preserve"/>
        </is>
      </c>
    </row>
    <row r="80">
      <c r="A80" t="inlineStr">
        <is>
          <t xml:space="preserve">MSFT</t>
        </is>
      </c>
      <c r="B80" t="inlineStr">
        <is>
          <t xml:space="preserve">Table 3 -- Revenue growth</t>
        </is>
      </c>
      <c r="C80" t="inlineStr">
        <is>
          <t xml:space="preserve">RevGrowth=0.0000%</t>
        </is>
      </c>
      <c r="D80" t="inlineStr">
        <is>
          <t xml:space="preserve">FCF Year 2</t>
        </is>
      </c>
      <c r="E80" s="6">
        <v>114838650208.459</v>
      </c>
      <c r="F80" s="6">
        <v>114838650208.459</v>
      </c>
      <c r="G80" s="11">
        <f>ABS(E80-F80)</f>
        <v>0.0</v>
      </c>
      <c r="H80" s="10">
        <f>IF(F80=0,"n/a (zero denom)",G80/ABS(F80))</f>
        <v>0.0</v>
      </c>
      <c r="I80" s="10">
        <f>'Tolerances'!$B$6</f>
        <v>0.001</v>
      </c>
      <c r="J80" s="15" t="str">
        <f>IF(F80=0,IF(G80&lt;=0.000001,"PASS","FAIL"),IF(H80&lt;=I80,"PASS","FAIL"))</f>
        <v>PASS</v>
      </c>
      <c r="K80" t="inlineStr">
        <is>
          <t xml:space="preserve"/>
        </is>
      </c>
    </row>
    <row r="81">
      <c r="A81" t="inlineStr">
        <is>
          <t xml:space="preserve">MSFT</t>
        </is>
      </c>
      <c r="B81" t="inlineStr">
        <is>
          <t xml:space="preserve">Table 3 -- Revenue growth</t>
        </is>
      </c>
      <c r="C81" t="inlineStr">
        <is>
          <t xml:space="preserve">RevGrowth=0.0000%</t>
        </is>
      </c>
      <c r="D81" t="inlineStr">
        <is>
          <t xml:space="preserve">FCF Year 3</t>
        </is>
      </c>
      <c r="E81" s="6">
        <v>114838650208.459</v>
      </c>
      <c r="F81" s="6">
        <v>114838650208.459</v>
      </c>
      <c r="G81" s="11">
        <f>ABS(E81-F81)</f>
        <v>0.0</v>
      </c>
      <c r="H81" s="10">
        <f>IF(F81=0,"n/a (zero denom)",G81/ABS(F81))</f>
        <v>0.0</v>
      </c>
      <c r="I81" s="10">
        <f>'Tolerances'!$B$6</f>
        <v>0.001</v>
      </c>
      <c r="J81" s="15" t="str">
        <f>IF(F81=0,IF(G81&lt;=0.000001,"PASS","FAIL"),IF(H81&lt;=I81,"PASS","FAIL"))</f>
        <v>PASS</v>
      </c>
      <c r="K81" t="inlineStr">
        <is>
          <t xml:space="preserve"/>
        </is>
      </c>
    </row>
    <row r="82">
      <c r="A82" t="inlineStr">
        <is>
          <t xml:space="preserve">MSFT</t>
        </is>
      </c>
      <c r="B82" t="inlineStr">
        <is>
          <t xml:space="preserve">Table 3 -- Revenue growth</t>
        </is>
      </c>
      <c r="C82" t="inlineStr">
        <is>
          <t xml:space="preserve">RevGrowth=0.0000%</t>
        </is>
      </c>
      <c r="D82" t="inlineStr">
        <is>
          <t xml:space="preserve">FCF Year 4</t>
        </is>
      </c>
      <c r="E82" s="6">
        <v>114838650208.459</v>
      </c>
      <c r="F82" s="6">
        <v>114838650208.459</v>
      </c>
      <c r="G82" s="11">
        <f>ABS(E82-F82)</f>
        <v>0.0</v>
      </c>
      <c r="H82" s="10">
        <f>IF(F82=0,"n/a (zero denom)",G82/ABS(F82))</f>
        <v>0.0</v>
      </c>
      <c r="I82" s="10">
        <f>'Tolerances'!$B$6</f>
        <v>0.001</v>
      </c>
      <c r="J82" s="15" t="str">
        <f>IF(F82=0,IF(G82&lt;=0.000001,"PASS","FAIL"),IF(H82&lt;=I82,"PASS","FAIL"))</f>
        <v>PASS</v>
      </c>
      <c r="K82" t="inlineStr">
        <is>
          <t xml:space="preserve"/>
        </is>
      </c>
    </row>
    <row r="83">
      <c r="A83" t="inlineStr">
        <is>
          <t xml:space="preserve">MSFT</t>
        </is>
      </c>
      <c r="B83" t="inlineStr">
        <is>
          <t xml:space="preserve">Table 3 -- Revenue growth</t>
        </is>
      </c>
      <c r="C83" t="inlineStr">
        <is>
          <t xml:space="preserve">RevGrowth=0.0000%</t>
        </is>
      </c>
      <c r="D83" t="inlineStr">
        <is>
          <t xml:space="preserve">FCF Year 5</t>
        </is>
      </c>
      <c r="E83" s="6">
        <v>114838650208.459</v>
      </c>
      <c r="F83" s="6">
        <v>114838650208.459</v>
      </c>
      <c r="G83" s="11">
        <f>ABS(E83-F83)</f>
        <v>0.0</v>
      </c>
      <c r="H83" s="10">
        <f>IF(F83=0,"n/a (zero denom)",G83/ABS(F83))</f>
        <v>0.0</v>
      </c>
      <c r="I83" s="10">
        <f>'Tolerances'!$B$6</f>
        <v>0.001</v>
      </c>
      <c r="J83" s="15" t="str">
        <f>IF(F83=0,IF(G83&lt;=0.000001,"PASS","FAIL"),IF(H83&lt;=I83,"PASS","FAIL"))</f>
        <v>PASS</v>
      </c>
      <c r="K83" t="inlineStr">
        <is>
          <t xml:space="preserve"/>
        </is>
      </c>
    </row>
    <row r="84">
      <c r="A84" t="inlineStr">
        <is>
          <t xml:space="preserve">MSFT</t>
        </is>
      </c>
      <c r="B84" t="inlineStr">
        <is>
          <t xml:space="preserve">Table 3 -- Revenue growth</t>
        </is>
      </c>
      <c r="C84" t="inlineStr">
        <is>
          <t xml:space="preserve">RevGrowth=0.0000%</t>
        </is>
      </c>
      <c r="D84" t="inlineStr">
        <is>
          <t xml:space="preserve">Terminal Value</t>
        </is>
      </c>
      <c r="E84" s="6">
        <v>1569373335693.8408</v>
      </c>
      <c r="F84" s="6">
        <v>1569373335693.8408</v>
      </c>
      <c r="G84" s="11">
        <f>ABS(E84-F84)</f>
        <v>0.0</v>
      </c>
      <c r="H84" s="10">
        <f>IF(F84=0,"n/a (zero denom)",G84/ABS(F84))</f>
        <v>0.0</v>
      </c>
      <c r="I84" s="10">
        <f>'Tolerances'!$B$7</f>
        <v>0.002</v>
      </c>
      <c r="J84" s="15" t="str">
        <f>IF(F84=0,IF(G84&lt;=0.000001,"PASS","FAIL"),IF(H84&lt;=I84,"PASS","FAIL"))</f>
        <v>PASS</v>
      </c>
      <c r="K84" t="inlineStr">
        <is>
          <t xml:space="preserve"/>
        </is>
      </c>
    </row>
    <row r="85">
      <c r="A85" t="inlineStr">
        <is>
          <t xml:space="preserve">MSFT</t>
        </is>
      </c>
      <c r="B85" t="inlineStr">
        <is>
          <t xml:space="preserve">Table 3 -- Revenue growth</t>
        </is>
      </c>
      <c r="C85" t="inlineStr">
        <is>
          <t xml:space="preserve">RevGrowth=0.0000%</t>
        </is>
      </c>
      <c r="D85" t="inlineStr">
        <is>
          <t xml:space="preserve">Enterprise Value</t>
        </is>
      </c>
      <c r="E85" s="6">
        <v>1409762841898.1003</v>
      </c>
      <c r="F85" s="6">
        <v>1409762841898.1003</v>
      </c>
      <c r="G85" s="11">
        <f>ABS(E85-F85)</f>
        <v>0.0</v>
      </c>
      <c r="H85" s="10">
        <f>IF(F85=0,"n/a (zero denom)",G85/ABS(F85))</f>
        <v>0.0</v>
      </c>
      <c r="I85" s="10">
        <f>'Tolerances'!$B$10</f>
        <v>0.002</v>
      </c>
      <c r="J85" s="15" t="str">
        <f>IF(F85=0,IF(G85&lt;=0.000001,"PASS","FAIL"),IF(H85&lt;=I85,"PASS","FAIL"))</f>
        <v>PASS</v>
      </c>
      <c r="K85" t="inlineStr">
        <is>
          <t xml:space="preserve"/>
        </is>
      </c>
    </row>
    <row r="86">
      <c r="A86" t="inlineStr">
        <is>
          <t xml:space="preserve">MSFT</t>
        </is>
      </c>
      <c r="B86" t="inlineStr">
        <is>
          <t xml:space="preserve">Table 3 -- Revenue growth</t>
        </is>
      </c>
      <c r="C86" t="inlineStr">
        <is>
          <t xml:space="preserve">RevGrowth=0.0000%</t>
        </is>
      </c>
      <c r="D86" t="inlineStr">
        <is>
          <t xml:space="preserve">Equity Value</t>
        </is>
      </c>
      <c r="E86" s="6">
        <v>1390403841898.1003</v>
      </c>
      <c r="F86" s="6">
        <v>1390403841898.1003</v>
      </c>
      <c r="G86" s="11">
        <f>ABS(E86-F86)</f>
        <v>0.0</v>
      </c>
      <c r="H86" s="10">
        <f>IF(F86=0,"n/a (zero denom)",G86/ABS(F86))</f>
        <v>0.0</v>
      </c>
      <c r="I86" s="10">
        <f>'Tolerances'!$B$11</f>
        <v>0.002</v>
      </c>
      <c r="J86" s="15" t="str">
        <f>IF(F86=0,IF(G86&lt;=0.000001,"PASS","FAIL"),IF(H86&lt;=I86,"PASS","FAIL"))</f>
        <v>PASS</v>
      </c>
      <c r="K86" t="inlineStr">
        <is>
          <t xml:space="preserve"/>
        </is>
      </c>
    </row>
    <row r="87">
      <c r="A87" t="inlineStr">
        <is>
          <t xml:space="preserve">MSFT</t>
        </is>
      </c>
      <c r="B87" t="inlineStr">
        <is>
          <t xml:space="preserve">Table 3 -- Revenue growth</t>
        </is>
      </c>
      <c r="C87" t="inlineStr">
        <is>
          <t xml:space="preserve">RevGrowth=0.0000%</t>
        </is>
      </c>
      <c r="D87" t="inlineStr">
        <is>
          <t xml:space="preserve">Intrinsic Value per Share</t>
        </is>
      </c>
      <c r="E87" s="7">
        <v>187.24602032043498</v>
      </c>
      <c r="F87" s="7">
        <v>187.24602032043498</v>
      </c>
      <c r="G87" s="12">
        <f>ABS(E87-F87)</f>
        <v>0.0</v>
      </c>
      <c r="H87" s="10">
        <f>IF(F87=0,"n/a (zero denom)",G87/ABS(F87))</f>
        <v>0.0</v>
      </c>
      <c r="I87" s="10">
        <f>'Tolerances'!$B$13</f>
        <v>0.005</v>
      </c>
      <c r="J87" s="15" t="str">
        <f>IF(F87=0,IF(G87&lt;=0.000001,"PASS","FAIL"),IF(H87&lt;=I87,"PASS","FAIL"))</f>
        <v>PASS</v>
      </c>
      <c r="K87" t="inlineStr">
        <is>
          <t xml:space="preserve"/>
        </is>
      </c>
    </row>
    <row r="88">
      <c r="A88" t="inlineStr">
        <is>
          <t xml:space="preserve">MSFT</t>
        </is>
      </c>
      <c r="B88" t="inlineStr">
        <is>
          <t xml:space="preserve">Table 3 -- Revenue growth</t>
        </is>
      </c>
      <c r="C88" t="inlineStr">
        <is>
          <t xml:space="preserve">RevGrowth=5.0000%</t>
        </is>
      </c>
      <c r="D88" t="inlineStr">
        <is>
          <t xml:space="preserve">FCF Year 1</t>
        </is>
      </c>
      <c r="E88" s="6">
        <v>120414663218.88194</v>
      </c>
      <c r="F88" s="6">
        <v>120414663218.88194</v>
      </c>
      <c r="G88" s="11">
        <f>ABS(E88-F88)</f>
        <v>0.0</v>
      </c>
      <c r="H88" s="10">
        <f>IF(F88=0,"n/a (zero denom)",G88/ABS(F88))</f>
        <v>0.0</v>
      </c>
      <c r="I88" s="10">
        <f>'Tolerances'!$B$6</f>
        <v>0.001</v>
      </c>
      <c r="J88" s="15" t="str">
        <f>IF(F88=0,IF(G88&lt;=0.000001,"PASS","FAIL"),IF(H88&lt;=I88,"PASS","FAIL"))</f>
        <v>PASS</v>
      </c>
      <c r="K88" t="inlineStr">
        <is>
          <t xml:space="preserve"/>
        </is>
      </c>
    </row>
    <row r="89">
      <c r="A89" t="inlineStr">
        <is>
          <t xml:space="preserve">MSFT</t>
        </is>
      </c>
      <c r="B89" t="inlineStr">
        <is>
          <t xml:space="preserve">Table 3 -- Revenue growth</t>
        </is>
      </c>
      <c r="C89" t="inlineStr">
        <is>
          <t xml:space="preserve">RevGrowth=5.0000%</t>
        </is>
      </c>
      <c r="D89" t="inlineStr">
        <is>
          <t xml:space="preserve">FCF Year 2</t>
        </is>
      </c>
      <c r="E89" s="6">
        <v>126435396379.82605</v>
      </c>
      <c r="F89" s="6">
        <v>126435396379.82605</v>
      </c>
      <c r="G89" s="11">
        <f>ABS(E89-F89)</f>
        <v>0.0</v>
      </c>
      <c r="H89" s="10">
        <f>IF(F89=0,"n/a (zero denom)",G89/ABS(F89))</f>
        <v>0.0</v>
      </c>
      <c r="I89" s="10">
        <f>'Tolerances'!$B$6</f>
        <v>0.001</v>
      </c>
      <c r="J89" s="15" t="str">
        <f>IF(F89=0,IF(G89&lt;=0.000001,"PASS","FAIL"),IF(H89&lt;=I89,"PASS","FAIL"))</f>
        <v>PASS</v>
      </c>
      <c r="K89" t="inlineStr">
        <is>
          <t xml:space="preserve"/>
        </is>
      </c>
    </row>
    <row r="90">
      <c r="A90" t="inlineStr">
        <is>
          <t xml:space="preserve">MSFT</t>
        </is>
      </c>
      <c r="B90" t="inlineStr">
        <is>
          <t xml:space="preserve">Table 3 -- Revenue growth</t>
        </is>
      </c>
      <c r="C90" t="inlineStr">
        <is>
          <t xml:space="preserve">RevGrowth=5.0000%</t>
        </is>
      </c>
      <c r="D90" t="inlineStr">
        <is>
          <t xml:space="preserve">FCF Year 3</t>
        </is>
      </c>
      <c r="E90" s="6">
        <v>132757166198.81735</v>
      </c>
      <c r="F90" s="6">
        <v>132757166198.81735</v>
      </c>
      <c r="G90" s="11">
        <f>ABS(E90-F90)</f>
        <v>0.0</v>
      </c>
      <c r="H90" s="10">
        <f>IF(F90=0,"n/a (zero denom)",G90/ABS(F90))</f>
        <v>0.0</v>
      </c>
      <c r="I90" s="10">
        <f>'Tolerances'!$B$6</f>
        <v>0.001</v>
      </c>
      <c r="J90" s="15" t="str">
        <f>IF(F90=0,IF(G90&lt;=0.000001,"PASS","FAIL"),IF(H90&lt;=I90,"PASS","FAIL"))</f>
        <v>PASS</v>
      </c>
      <c r="K90" t="inlineStr">
        <is>
          <t xml:space="preserve"/>
        </is>
      </c>
    </row>
    <row r="91">
      <c r="A91" t="inlineStr">
        <is>
          <t xml:space="preserve">MSFT</t>
        </is>
      </c>
      <c r="B91" t="inlineStr">
        <is>
          <t xml:space="preserve">Table 3 -- Revenue growth</t>
        </is>
      </c>
      <c r="C91" t="inlineStr">
        <is>
          <t xml:space="preserve">RevGrowth=5.0000%</t>
        </is>
      </c>
      <c r="D91" t="inlineStr">
        <is>
          <t xml:space="preserve">FCF Year 4</t>
        </is>
      </c>
      <c r="E91" s="6">
        <v>139395024508.75824</v>
      </c>
      <c r="F91" s="6">
        <v>139395024508.75824</v>
      </c>
      <c r="G91" s="11">
        <f>ABS(E91-F91)</f>
        <v>0.0</v>
      </c>
      <c r="H91" s="10">
        <f>IF(F91=0,"n/a (zero denom)",G91/ABS(F91))</f>
        <v>0.0</v>
      </c>
      <c r="I91" s="10">
        <f>'Tolerances'!$B$6</f>
        <v>0.001</v>
      </c>
      <c r="J91" s="15" t="str">
        <f>IF(F91=0,IF(G91&lt;=0.000001,"PASS","FAIL"),IF(H91&lt;=I91,"PASS","FAIL"))</f>
        <v>PASS</v>
      </c>
      <c r="K91" t="inlineStr">
        <is>
          <t xml:space="preserve"/>
        </is>
      </c>
    </row>
    <row r="92">
      <c r="A92" t="inlineStr">
        <is>
          <t xml:space="preserve">MSFT</t>
        </is>
      </c>
      <c r="B92" t="inlineStr">
        <is>
          <t xml:space="preserve">Table 3 -- Revenue growth</t>
        </is>
      </c>
      <c r="C92" t="inlineStr">
        <is>
          <t xml:space="preserve">RevGrowth=5.0000%</t>
        </is>
      </c>
      <c r="D92" t="inlineStr">
        <is>
          <t xml:space="preserve">FCF Year 5</t>
        </is>
      </c>
      <c r="E92" s="6">
        <v>146364775734.19614</v>
      </c>
      <c r="F92" s="6">
        <v>146364775734.19614</v>
      </c>
      <c r="G92" s="11">
        <f>ABS(E92-F92)</f>
        <v>0.0</v>
      </c>
      <c r="H92" s="10">
        <f>IF(F92=0,"n/a (zero denom)",G92/ABS(F92))</f>
        <v>0.0</v>
      </c>
      <c r="I92" s="10">
        <f>'Tolerances'!$B$6</f>
        <v>0.001</v>
      </c>
      <c r="J92" s="15" t="str">
        <f>IF(F92=0,IF(G92&lt;=0.000001,"PASS","FAIL"),IF(H92&lt;=I92,"PASS","FAIL"))</f>
        <v>PASS</v>
      </c>
      <c r="K92" t="inlineStr">
        <is>
          <t xml:space="preserve"/>
        </is>
      </c>
    </row>
    <row r="93">
      <c r="A93" t="inlineStr">
        <is>
          <t xml:space="preserve">MSFT</t>
        </is>
      </c>
      <c r="B93" t="inlineStr">
        <is>
          <t xml:space="preserve">Table 3 -- Revenue growth</t>
        </is>
      </c>
      <c r="C93" t="inlineStr">
        <is>
          <t xml:space="preserve">RevGrowth=5.0000%</t>
        </is>
      </c>
      <c r="D93" t="inlineStr">
        <is>
          <t xml:space="preserve">Terminal Value</t>
        </is>
      </c>
      <c r="E93" s="6">
        <v>2000206166696.4504</v>
      </c>
      <c r="F93" s="6">
        <v>2000206166696.4504</v>
      </c>
      <c r="G93" s="11">
        <f>ABS(E93-F93)</f>
        <v>0.0</v>
      </c>
      <c r="H93" s="10">
        <f>IF(F93=0,"n/a (zero denom)",G93/ABS(F93))</f>
        <v>0.0</v>
      </c>
      <c r="I93" s="10">
        <f>'Tolerances'!$B$7</f>
        <v>0.002</v>
      </c>
      <c r="J93" s="15" t="str">
        <f>IF(F93=0,IF(G93&lt;=0.000001,"PASS","FAIL"),IF(H93&lt;=I93,"PASS","FAIL"))</f>
        <v>PASS</v>
      </c>
      <c r="K93" t="inlineStr">
        <is>
          <t xml:space="preserve"/>
        </is>
      </c>
    </row>
    <row r="94">
      <c r="A94" t="inlineStr">
        <is>
          <t xml:space="preserve">MSFT</t>
        </is>
      </c>
      <c r="B94" t="inlineStr">
        <is>
          <t xml:space="preserve">Table 3 -- Revenue growth</t>
        </is>
      </c>
      <c r="C94" t="inlineStr">
        <is>
          <t xml:space="preserve">RevGrowth=5.0000%</t>
        </is>
      </c>
      <c r="D94" t="inlineStr">
        <is>
          <t xml:space="preserve">Enterprise Value</t>
        </is>
      </c>
      <c r="E94" s="6">
        <v>1741733341488.606</v>
      </c>
      <c r="F94" s="6">
        <v>1741733341488.606</v>
      </c>
      <c r="G94" s="11">
        <f>ABS(E94-F94)</f>
        <v>0.0</v>
      </c>
      <c r="H94" s="10">
        <f>IF(F94=0,"n/a (zero denom)",G94/ABS(F94))</f>
        <v>0.0</v>
      </c>
      <c r="I94" s="10">
        <f>'Tolerances'!$B$10</f>
        <v>0.002</v>
      </c>
      <c r="J94" s="15" t="str">
        <f>IF(F94=0,IF(G94&lt;=0.000001,"PASS","FAIL"),IF(H94&lt;=I94,"PASS","FAIL"))</f>
        <v>PASS</v>
      </c>
      <c r="K94" t="inlineStr">
        <is>
          <t xml:space="preserve"/>
        </is>
      </c>
    </row>
    <row r="95">
      <c r="A95" t="inlineStr">
        <is>
          <t xml:space="preserve">MSFT</t>
        </is>
      </c>
      <c r="B95" t="inlineStr">
        <is>
          <t xml:space="preserve">Table 3 -- Revenue growth</t>
        </is>
      </c>
      <c r="C95" t="inlineStr">
        <is>
          <t xml:space="preserve">RevGrowth=5.0000%</t>
        </is>
      </c>
      <c r="D95" t="inlineStr">
        <is>
          <t xml:space="preserve">Equity Value</t>
        </is>
      </c>
      <c r="E95" s="6">
        <v>1722374341488.606</v>
      </c>
      <c r="F95" s="6">
        <v>1722374341488.606</v>
      </c>
      <c r="G95" s="11">
        <f>ABS(E95-F95)</f>
        <v>0.0</v>
      </c>
      <c r="H95" s="10">
        <f>IF(F95=0,"n/a (zero denom)",G95/ABS(F95))</f>
        <v>0.0</v>
      </c>
      <c r="I95" s="10">
        <f>'Tolerances'!$B$11</f>
        <v>0.002</v>
      </c>
      <c r="J95" s="15" t="str">
        <f>IF(F95=0,IF(G95&lt;=0.000001,"PASS","FAIL"),IF(H95&lt;=I95,"PASS","FAIL"))</f>
        <v>PASS</v>
      </c>
      <c r="K95" t="inlineStr">
        <is>
          <t xml:space="preserve"/>
        </is>
      </c>
    </row>
    <row r="96">
      <c r="A96" t="inlineStr">
        <is>
          <t xml:space="preserve">MSFT</t>
        </is>
      </c>
      <c r="B96" t="inlineStr">
        <is>
          <t xml:space="preserve">Table 3 -- Revenue growth</t>
        </is>
      </c>
      <c r="C96" t="inlineStr">
        <is>
          <t xml:space="preserve">RevGrowth=5.0000%</t>
        </is>
      </c>
      <c r="D96" t="inlineStr">
        <is>
          <t xml:space="preserve">Intrinsic Value per Share</t>
        </is>
      </c>
      <c r="E96" s="7">
        <v>231.95256746809767</v>
      </c>
      <c r="F96" s="7">
        <v>231.95256746809767</v>
      </c>
      <c r="G96" s="12">
        <f>ABS(E96-F96)</f>
        <v>0.0</v>
      </c>
      <c r="H96" s="10">
        <f>IF(F96=0,"n/a (zero denom)",G96/ABS(F96))</f>
        <v>0.0</v>
      </c>
      <c r="I96" s="10">
        <f>'Tolerances'!$B$13</f>
        <v>0.005</v>
      </c>
      <c r="J96" s="15" t="str">
        <f>IF(F96=0,IF(G96&lt;=0.000001,"PASS","FAIL"),IF(H96&lt;=I96,"PASS","FAIL"))</f>
        <v>PASS</v>
      </c>
      <c r="K96" t="inlineStr">
        <is>
          <t xml:space="preserve"/>
        </is>
      </c>
    </row>
    <row r="97">
      <c r="A97" t="inlineStr">
        <is>
          <t xml:space="preserve">MSFT</t>
        </is>
      </c>
      <c r="B97" t="inlineStr">
        <is>
          <t xml:space="preserve">Table 3 -- Revenue growth</t>
        </is>
      </c>
      <c r="C97" t="inlineStr">
        <is>
          <t xml:space="preserve">RevGrowth=10.0000%</t>
        </is>
      </c>
      <c r="D97" t="inlineStr">
        <is>
          <t xml:space="preserve">FCF Year 1</t>
        </is>
      </c>
      <c r="E97" s="6">
        <v>125990676229.30493</v>
      </c>
      <c r="F97" s="6">
        <v>125990676229.30493</v>
      </c>
      <c r="G97" s="11">
        <f>ABS(E97-F97)</f>
        <v>0.0</v>
      </c>
      <c r="H97" s="10">
        <f>IF(F97=0,"n/a (zero denom)",G97/ABS(F97))</f>
        <v>0.0</v>
      </c>
      <c r="I97" s="10">
        <f>'Tolerances'!$B$6</f>
        <v>0.001</v>
      </c>
      <c r="J97" s="15" t="str">
        <f>IF(F97=0,IF(G97&lt;=0.000001,"PASS","FAIL"),IF(H97&lt;=I97,"PASS","FAIL"))</f>
        <v>PASS</v>
      </c>
      <c r="K97" t="inlineStr">
        <is>
          <t xml:space="preserve"/>
        </is>
      </c>
    </row>
    <row r="98">
      <c r="A98" t="inlineStr">
        <is>
          <t xml:space="preserve">MSFT</t>
        </is>
      </c>
      <c r="B98" t="inlineStr">
        <is>
          <t xml:space="preserve">Table 3 -- Revenue growth</t>
        </is>
      </c>
      <c r="C98" t="inlineStr">
        <is>
          <t xml:space="preserve">RevGrowth=10.0000%</t>
        </is>
      </c>
      <c r="D98" t="inlineStr">
        <is>
          <t xml:space="preserve">FCF Year 2</t>
        </is>
      </c>
      <c r="E98" s="6">
        <v>138589743852.2354</v>
      </c>
      <c r="F98" s="6">
        <v>138589743852.2354</v>
      </c>
      <c r="G98" s="11">
        <f>ABS(E98-F98)</f>
        <v>0.0</v>
      </c>
      <c r="H98" s="10">
        <f>IF(F98=0,"n/a (zero denom)",G98/ABS(F98))</f>
        <v>0.0</v>
      </c>
      <c r="I98" s="10">
        <f>'Tolerances'!$B$6</f>
        <v>0.001</v>
      </c>
      <c r="J98" s="15" t="str">
        <f>IF(F98=0,IF(G98&lt;=0.000001,"PASS","FAIL"),IF(H98&lt;=I98,"PASS","FAIL"))</f>
        <v>PASS</v>
      </c>
      <c r="K98" t="inlineStr">
        <is>
          <t xml:space="preserve"/>
        </is>
      </c>
    </row>
    <row r="99">
      <c r="A99" t="inlineStr">
        <is>
          <t xml:space="preserve">MSFT</t>
        </is>
      </c>
      <c r="B99" t="inlineStr">
        <is>
          <t xml:space="preserve">Table 3 -- Revenue growth</t>
        </is>
      </c>
      <c r="C99" t="inlineStr">
        <is>
          <t xml:space="preserve">RevGrowth=10.0000%</t>
        </is>
      </c>
      <c r="D99" t="inlineStr">
        <is>
          <t xml:space="preserve">FCF Year 3</t>
        </is>
      </c>
      <c r="E99" s="6">
        <v>152448718237.45898</v>
      </c>
      <c r="F99" s="6">
        <v>152448718237.45898</v>
      </c>
      <c r="G99" s="11">
        <f>ABS(E99-F99)</f>
        <v>0.0</v>
      </c>
      <c r="H99" s="10">
        <f>IF(F99=0,"n/a (zero denom)",G99/ABS(F99))</f>
        <v>0.0</v>
      </c>
      <c r="I99" s="10">
        <f>'Tolerances'!$B$6</f>
        <v>0.001</v>
      </c>
      <c r="J99" s="15" t="str">
        <f>IF(F99=0,IF(G99&lt;=0.000001,"PASS","FAIL"),IF(H99&lt;=I99,"PASS","FAIL"))</f>
        <v>PASS</v>
      </c>
      <c r="K99" t="inlineStr">
        <is>
          <t xml:space="preserve"/>
        </is>
      </c>
    </row>
    <row r="100">
      <c r="A100" t="inlineStr">
        <is>
          <t xml:space="preserve">MSFT</t>
        </is>
      </c>
      <c r="B100" t="inlineStr">
        <is>
          <t xml:space="preserve">Table 3 -- Revenue growth</t>
        </is>
      </c>
      <c r="C100" t="inlineStr">
        <is>
          <t xml:space="preserve">RevGrowth=10.0000%</t>
        </is>
      </c>
      <c r="D100" t="inlineStr">
        <is>
          <t xml:space="preserve">FCF Year 4</t>
        </is>
      </c>
      <c r="E100" s="6">
        <v>167693590061.2049</v>
      </c>
      <c r="F100" s="6">
        <v>167693590061.2049</v>
      </c>
      <c r="G100" s="11">
        <f>ABS(E100-F100)</f>
        <v>0.0</v>
      </c>
      <c r="H100" s="10">
        <f>IF(F100=0,"n/a (zero denom)",G100/ABS(F100))</f>
        <v>0.0</v>
      </c>
      <c r="I100" s="10">
        <f>'Tolerances'!$B$6</f>
        <v>0.001</v>
      </c>
      <c r="J100" s="15" t="str">
        <f>IF(F100=0,IF(G100&lt;=0.000001,"PASS","FAIL"),IF(H100&lt;=I100,"PASS","FAIL"))</f>
        <v>PASS</v>
      </c>
      <c r="K100" t="inlineStr">
        <is>
          <t xml:space="preserve"/>
        </is>
      </c>
    </row>
    <row r="101">
      <c r="A101" t="inlineStr">
        <is>
          <t xml:space="preserve">MSFT</t>
        </is>
      </c>
      <c r="B101" t="inlineStr">
        <is>
          <t xml:space="preserve">Table 3 -- Revenue growth</t>
        </is>
      </c>
      <c r="C101" t="inlineStr">
        <is>
          <t xml:space="preserve">RevGrowth=10.0000%</t>
        </is>
      </c>
      <c r="D101" t="inlineStr">
        <is>
          <t xml:space="preserve">FCF Year 5</t>
        </is>
      </c>
      <c r="E101" s="6">
        <v>184462949067.3254</v>
      </c>
      <c r="F101" s="6">
        <v>184462949067.3254</v>
      </c>
      <c r="G101" s="11">
        <f>ABS(E101-F101)</f>
        <v>0.0</v>
      </c>
      <c r="H101" s="10">
        <f>IF(F101=0,"n/a (zero denom)",G101/ABS(F101))</f>
        <v>0.0</v>
      </c>
      <c r="I101" s="10">
        <f>'Tolerances'!$B$6</f>
        <v>0.001</v>
      </c>
      <c r="J101" s="15" t="str">
        <f>IF(F101=0,IF(G101&lt;=0.000001,"PASS","FAIL"),IF(H101&lt;=I101,"PASS","FAIL"))</f>
        <v>PASS</v>
      </c>
      <c r="K101" t="inlineStr">
        <is>
          <t xml:space="preserve"/>
        </is>
      </c>
    </row>
    <row r="102">
      <c r="A102" t="inlineStr">
        <is>
          <t xml:space="preserve">MSFT</t>
        </is>
      </c>
      <c r="B102" t="inlineStr">
        <is>
          <t xml:space="preserve">Table 3 -- Revenue growth</t>
        </is>
      </c>
      <c r="C102" t="inlineStr">
        <is>
          <t xml:space="preserve">RevGrowth=10.0000%</t>
        </is>
      </c>
      <c r="D102" t="inlineStr">
        <is>
          <t xml:space="preserve">Terminal Value</t>
        </is>
      </c>
      <c r="E102" s="6">
        <v>2520851935861.465</v>
      </c>
      <c r="F102" s="6">
        <v>2520851935861.465</v>
      </c>
      <c r="G102" s="11">
        <f>ABS(E102-F102)</f>
        <v>0.0</v>
      </c>
      <c r="H102" s="10">
        <f>IF(F102=0,"n/a (zero denom)",G102/ABS(F102))</f>
        <v>0.0</v>
      </c>
      <c r="I102" s="10">
        <f>'Tolerances'!$B$7</f>
        <v>0.002</v>
      </c>
      <c r="J102" s="15" t="str">
        <f>IF(F102=0,IF(G102&lt;=0.000001,"PASS","FAIL"),IF(H102&lt;=I102,"PASS","FAIL"))</f>
        <v>PASS</v>
      </c>
      <c r="K102" t="inlineStr">
        <is>
          <t xml:space="preserve"/>
        </is>
      </c>
    </row>
    <row r="103">
      <c r="A103" t="inlineStr">
        <is>
          <t xml:space="preserve">MSFT</t>
        </is>
      </c>
      <c r="B103" t="inlineStr">
        <is>
          <t xml:space="preserve">Table 3 -- Revenue growth</t>
        </is>
      </c>
      <c r="C103" t="inlineStr">
        <is>
          <t xml:space="preserve">RevGrowth=10.0000%</t>
        </is>
      </c>
      <c r="D103" t="inlineStr">
        <is>
          <t xml:space="preserve">Enterprise Value</t>
        </is>
      </c>
      <c r="E103" s="6">
        <v>2137899031933.7925</v>
      </c>
      <c r="F103" s="6">
        <v>2137899031933.7925</v>
      </c>
      <c r="G103" s="11">
        <f>ABS(E103-F103)</f>
        <v>0.0</v>
      </c>
      <c r="H103" s="10">
        <f>IF(F103=0,"n/a (zero denom)",G103/ABS(F103))</f>
        <v>0.0</v>
      </c>
      <c r="I103" s="10">
        <f>'Tolerances'!$B$10</f>
        <v>0.002</v>
      </c>
      <c r="J103" s="15" t="str">
        <f>IF(F103=0,IF(G103&lt;=0.000001,"PASS","FAIL"),IF(H103&lt;=I103,"PASS","FAIL"))</f>
        <v>PASS</v>
      </c>
      <c r="K103" t="inlineStr">
        <is>
          <t xml:space="preserve"/>
        </is>
      </c>
    </row>
    <row r="104">
      <c r="A104" t="inlineStr">
        <is>
          <t xml:space="preserve">MSFT</t>
        </is>
      </c>
      <c r="B104" t="inlineStr">
        <is>
          <t xml:space="preserve">Table 3 -- Revenue growth</t>
        </is>
      </c>
      <c r="C104" t="inlineStr">
        <is>
          <t xml:space="preserve">RevGrowth=10.0000%</t>
        </is>
      </c>
      <c r="D104" t="inlineStr">
        <is>
          <t xml:space="preserve">Equity Value</t>
        </is>
      </c>
      <c r="E104" s="6">
        <v>2118540031933.7925</v>
      </c>
      <c r="F104" s="6">
        <v>2118540031933.7925</v>
      </c>
      <c r="G104" s="11">
        <f>ABS(E104-F104)</f>
        <v>0.0</v>
      </c>
      <c r="H104" s="10">
        <f>IF(F104=0,"n/a (zero denom)",G104/ABS(F104))</f>
        <v>0.0</v>
      </c>
      <c r="I104" s="10">
        <f>'Tolerances'!$B$11</f>
        <v>0.002</v>
      </c>
      <c r="J104" s="15" t="str">
        <f>IF(F104=0,IF(G104&lt;=0.000001,"PASS","FAIL"),IF(H104&lt;=I104,"PASS","FAIL"))</f>
        <v>PASS</v>
      </c>
      <c r="K104" t="inlineStr">
        <is>
          <t xml:space="preserve"/>
        </is>
      </c>
    </row>
    <row r="105">
      <c r="A105" t="inlineStr">
        <is>
          <t xml:space="preserve">MSFT</t>
        </is>
      </c>
      <c r="B105" t="inlineStr">
        <is>
          <t xml:space="preserve">Table 3 -- Revenue growth</t>
        </is>
      </c>
      <c r="C105" t="inlineStr">
        <is>
          <t xml:space="preserve">RevGrowth=10.0000%</t>
        </is>
      </c>
      <c r="D105" t="inlineStr">
        <is>
          <t xml:space="preserve">Intrinsic Value per Share</t>
        </is>
      </c>
      <c r="E105" s="7">
        <v>285.30429643203064</v>
      </c>
      <c r="F105" s="7">
        <v>285.30429643203064</v>
      </c>
      <c r="G105" s="12">
        <f>ABS(E105-F105)</f>
        <v>0.0</v>
      </c>
      <c r="H105" s="10">
        <f>IF(F105=0,"n/a (zero denom)",G105/ABS(F105))</f>
        <v>0.0</v>
      </c>
      <c r="I105" s="10">
        <f>'Tolerances'!$B$13</f>
        <v>0.005</v>
      </c>
      <c r="J105" s="15" t="str">
        <f>IF(F105=0,IF(G105&lt;=0.000001,"PASS","FAIL"),IF(H105&lt;=I105,"PASS","FAIL"))</f>
        <v>PASS</v>
      </c>
      <c r="K105" t="inlineStr">
        <is>
          <t xml:space="preserve"/>
        </is>
      </c>
    </row>
    <row r="106">
      <c r="A106" t="inlineStr">
        <is>
          <t xml:space="preserve">MSFT</t>
        </is>
      </c>
      <c r="B106" t="inlineStr">
        <is>
          <t xml:space="preserve">Table 3 -- Revenue growth</t>
        </is>
      </c>
      <c r="C106" t="inlineStr">
        <is>
          <t xml:space="preserve">RevGrowth=20.0000%</t>
        </is>
      </c>
      <c r="D106" t="inlineStr">
        <is>
          <t xml:space="preserve">FCF Year 1</t>
        </is>
      </c>
      <c r="E106" s="6">
        <v>137142702250.15082</v>
      </c>
      <c r="F106" s="6">
        <v>137142702250.15082</v>
      </c>
      <c r="G106" s="11">
        <f>ABS(E106-F106)</f>
        <v>0.0</v>
      </c>
      <c r="H106" s="10">
        <f>IF(F106=0,"n/a (zero denom)",G106/ABS(F106))</f>
        <v>0.0</v>
      </c>
      <c r="I106" s="10">
        <f>'Tolerances'!$B$6</f>
        <v>0.001</v>
      </c>
      <c r="J106" s="15" t="str">
        <f>IF(F106=0,IF(G106&lt;=0.000001,"PASS","FAIL"),IF(H106&lt;=I106,"PASS","FAIL"))</f>
        <v>PASS</v>
      </c>
      <c r="K106" t="inlineStr">
        <is>
          <t xml:space="preserve"/>
        </is>
      </c>
    </row>
    <row r="107">
      <c r="A107" t="inlineStr">
        <is>
          <t xml:space="preserve">MSFT</t>
        </is>
      </c>
      <c r="B107" t="inlineStr">
        <is>
          <t xml:space="preserve">Table 3 -- Revenue growth</t>
        </is>
      </c>
      <c r="C107" t="inlineStr">
        <is>
          <t xml:space="preserve">RevGrowth=20.0000%</t>
        </is>
      </c>
      <c r="D107" t="inlineStr">
        <is>
          <t xml:space="preserve">FCF Year 2</t>
        </is>
      </c>
      <c r="E107" s="6">
        <v>164571242700.18097</v>
      </c>
      <c r="F107" s="6">
        <v>164571242700.18097</v>
      </c>
      <c r="G107" s="11">
        <f>ABS(E107-F107)</f>
        <v>0.0</v>
      </c>
      <c r="H107" s="10">
        <f>IF(F107=0,"n/a (zero denom)",G107/ABS(F107))</f>
        <v>0.0</v>
      </c>
      <c r="I107" s="10">
        <f>'Tolerances'!$B$6</f>
        <v>0.001</v>
      </c>
      <c r="J107" s="15" t="str">
        <f>IF(F107=0,IF(G107&lt;=0.000001,"PASS","FAIL"),IF(H107&lt;=I107,"PASS","FAIL"))</f>
        <v>PASS</v>
      </c>
      <c r="K107" t="inlineStr">
        <is>
          <t xml:space="preserve"/>
        </is>
      </c>
    </row>
    <row r="108">
      <c r="A108" t="inlineStr">
        <is>
          <t xml:space="preserve">MSFT</t>
        </is>
      </c>
      <c r="B108" t="inlineStr">
        <is>
          <t xml:space="preserve">Table 3 -- Revenue growth</t>
        </is>
      </c>
      <c r="C108" t="inlineStr">
        <is>
          <t xml:space="preserve">RevGrowth=20.0000%</t>
        </is>
      </c>
      <c r="D108" t="inlineStr">
        <is>
          <t xml:space="preserve">FCF Year 3</t>
        </is>
      </c>
      <c r="E108" s="6">
        <v>197485491240.21716</v>
      </c>
      <c r="F108" s="6">
        <v>197485491240.21716</v>
      </c>
      <c r="G108" s="11">
        <f>ABS(E108-F108)</f>
        <v>0.0</v>
      </c>
      <c r="H108" s="10">
        <f>IF(F108=0,"n/a (zero denom)",G108/ABS(F108))</f>
        <v>0.0</v>
      </c>
      <c r="I108" s="10">
        <f>'Tolerances'!$B$6</f>
        <v>0.001</v>
      </c>
      <c r="J108" s="15" t="str">
        <f>IF(F108=0,IF(G108&lt;=0.000001,"PASS","FAIL"),IF(H108&lt;=I108,"PASS","FAIL"))</f>
        <v>PASS</v>
      </c>
      <c r="K108" t="inlineStr">
        <is>
          <t xml:space="preserve"/>
        </is>
      </c>
    </row>
    <row r="109">
      <c r="A109" t="inlineStr">
        <is>
          <t xml:space="preserve">MSFT</t>
        </is>
      </c>
      <c r="B109" t="inlineStr">
        <is>
          <t xml:space="preserve">Table 3 -- Revenue growth</t>
        </is>
      </c>
      <c r="C109" t="inlineStr">
        <is>
          <t xml:space="preserve">RevGrowth=20.0000%</t>
        </is>
      </c>
      <c r="D109" t="inlineStr">
        <is>
          <t xml:space="preserve">FCF Year 4</t>
        </is>
      </c>
      <c r="E109" s="6">
        <v>236982589488.2606</v>
      </c>
      <c r="F109" s="6">
        <v>236982589488.2606</v>
      </c>
      <c r="G109" s="11">
        <f>ABS(E109-F109)</f>
        <v>0.0</v>
      </c>
      <c r="H109" s="10">
        <f>IF(F109=0,"n/a (zero denom)",G109/ABS(F109))</f>
        <v>0.0</v>
      </c>
      <c r="I109" s="10">
        <f>'Tolerances'!$B$6</f>
        <v>0.001</v>
      </c>
      <c r="J109" s="15" t="str">
        <f>IF(F109=0,IF(G109&lt;=0.000001,"PASS","FAIL"),IF(H109&lt;=I109,"PASS","FAIL"))</f>
        <v>PASS</v>
      </c>
      <c r="K109" t="inlineStr">
        <is>
          <t xml:space="preserve"/>
        </is>
      </c>
    </row>
    <row r="110">
      <c r="A110" t="inlineStr">
        <is>
          <t xml:space="preserve">MSFT</t>
        </is>
      </c>
      <c r="B110" t="inlineStr">
        <is>
          <t xml:space="preserve">Table 3 -- Revenue growth</t>
        </is>
      </c>
      <c r="C110" t="inlineStr">
        <is>
          <t xml:space="preserve">RevGrowth=20.0000%</t>
        </is>
      </c>
      <c r="D110" t="inlineStr">
        <is>
          <t xml:space="preserve">FCF Year 5</t>
        </is>
      </c>
      <c r="E110" s="6">
        <v>284379107385.9127</v>
      </c>
      <c r="F110" s="6">
        <v>284379107385.9127</v>
      </c>
      <c r="G110" s="11">
        <f>ABS(E110-F110)</f>
        <v>0.0</v>
      </c>
      <c r="H110" s="10">
        <f>IF(F110=0,"n/a (zero denom)",G110/ABS(F110))</f>
        <v>0.0</v>
      </c>
      <c r="I110" s="10">
        <f>'Tolerances'!$B$6</f>
        <v>0.001</v>
      </c>
      <c r="J110" s="15" t="str">
        <f>IF(F110=0,IF(G110&lt;=0.000001,"PASS","FAIL"),IF(H110&lt;=I110,"PASS","FAIL"))</f>
        <v>PASS</v>
      </c>
      <c r="K110" t="inlineStr">
        <is>
          <t xml:space="preserve"/>
        </is>
      </c>
    </row>
    <row r="111">
      <c r="A111" t="inlineStr">
        <is>
          <t xml:space="preserve">MSFT</t>
        </is>
      </c>
      <c r="B111" t="inlineStr">
        <is>
          <t xml:space="preserve">Table 3 -- Revenue growth</t>
        </is>
      </c>
      <c r="C111" t="inlineStr">
        <is>
          <t xml:space="preserve">RevGrowth=20.0000%</t>
        </is>
      </c>
      <c r="D111" t="inlineStr">
        <is>
          <t xml:space="preserve">Terminal Value</t>
        </is>
      </c>
      <c r="E111" s="6">
        <v>3886296012272.291</v>
      </c>
      <c r="F111" s="6">
        <v>3886296012272.291</v>
      </c>
      <c r="G111" s="11">
        <f>ABS(E111-F111)</f>
        <v>0.0</v>
      </c>
      <c r="H111" s="10">
        <f>IF(F111=0,"n/a (zero denom)",G111/ABS(F111))</f>
        <v>0.0</v>
      </c>
      <c r="I111" s="10">
        <f>'Tolerances'!$B$7</f>
        <v>0.002</v>
      </c>
      <c r="J111" s="15" t="str">
        <f>IF(F111=0,IF(G111&lt;=0.000001,"PASS","FAIL"),IF(H111&lt;=I111,"PASS","FAIL"))</f>
        <v>PASS</v>
      </c>
      <c r="K111" t="inlineStr">
        <is>
          <t xml:space="preserve"/>
        </is>
      </c>
    </row>
    <row r="112">
      <c r="A112" t="inlineStr">
        <is>
          <t xml:space="preserve">MSFT</t>
        </is>
      </c>
      <c r="B112" t="inlineStr">
        <is>
          <t xml:space="preserve">Table 3 -- Revenue growth</t>
        </is>
      </c>
      <c r="C112" t="inlineStr">
        <is>
          <t xml:space="preserve">RevGrowth=20.0000%</t>
        </is>
      </c>
      <c r="D112" t="inlineStr">
        <is>
          <t xml:space="preserve">Enterprise Value</t>
        </is>
      </c>
      <c r="E112" s="6">
        <v>3160526325487.33</v>
      </c>
      <c r="F112" s="6">
        <v>3160526325487.33</v>
      </c>
      <c r="G112" s="11">
        <f>ABS(E112-F112)</f>
        <v>0.0</v>
      </c>
      <c r="H112" s="10">
        <f>IF(F112=0,"n/a (zero denom)",G112/ABS(F112))</f>
        <v>0.0</v>
      </c>
      <c r="I112" s="10">
        <f>'Tolerances'!$B$10</f>
        <v>0.002</v>
      </c>
      <c r="J112" s="15" t="str">
        <f>IF(F112=0,IF(G112&lt;=0.000001,"PASS","FAIL"),IF(H112&lt;=I112,"PASS","FAIL"))</f>
        <v>PASS</v>
      </c>
      <c r="K112" t="inlineStr">
        <is>
          <t xml:space="preserve"/>
        </is>
      </c>
    </row>
    <row r="113">
      <c r="A113" t="inlineStr">
        <is>
          <t xml:space="preserve">MSFT</t>
        </is>
      </c>
      <c r="B113" t="inlineStr">
        <is>
          <t xml:space="preserve">Table 3 -- Revenue growth</t>
        </is>
      </c>
      <c r="C113" t="inlineStr">
        <is>
          <t xml:space="preserve">RevGrowth=20.0000%</t>
        </is>
      </c>
      <c r="D113" t="inlineStr">
        <is>
          <t xml:space="preserve">Equity Value</t>
        </is>
      </c>
      <c r="E113" s="6">
        <v>3141167325487.33</v>
      </c>
      <c r="F113" s="6">
        <v>3141167325487.33</v>
      </c>
      <c r="G113" s="11">
        <f>ABS(E113-F113)</f>
        <v>0.0</v>
      </c>
      <c r="H113" s="10">
        <f>IF(F113=0,"n/a (zero denom)",G113/ABS(F113))</f>
        <v>0.0</v>
      </c>
      <c r="I113" s="10">
        <f>'Tolerances'!$B$11</f>
        <v>0.002</v>
      </c>
      <c r="J113" s="15" t="str">
        <f>IF(F113=0,IF(G113&lt;=0.000001,"PASS","FAIL"),IF(H113&lt;=I113,"PASS","FAIL"))</f>
        <v>PASS</v>
      </c>
      <c r="K113" t="inlineStr">
        <is>
          <t xml:space="preserve"/>
        </is>
      </c>
    </row>
    <row r="114">
      <c r="A114" t="inlineStr">
        <is>
          <t xml:space="preserve">MSFT</t>
        </is>
      </c>
      <c r="B114" t="inlineStr">
        <is>
          <t xml:space="preserve">Table 3 -- Revenue growth</t>
        </is>
      </c>
      <c r="C114" t="inlineStr">
        <is>
          <t xml:space="preserve">RevGrowth=20.0000%</t>
        </is>
      </c>
      <c r="D114" t="inlineStr">
        <is>
          <t xml:space="preserve">Intrinsic Value per Share</t>
        </is>
      </c>
      <c r="E114" s="7">
        <v>423.02176039383585</v>
      </c>
      <c r="F114" s="7">
        <v>423.02176039383585</v>
      </c>
      <c r="G114" s="12">
        <f>ABS(E114-F114)</f>
        <v>0.0</v>
      </c>
      <c r="H114" s="10">
        <f>IF(F114=0,"n/a (zero denom)",G114/ABS(F114))</f>
        <v>0.0</v>
      </c>
      <c r="I114" s="10">
        <f>'Tolerances'!$B$13</f>
        <v>0.005</v>
      </c>
      <c r="J114" s="15" t="str">
        <f>IF(F114=0,IF(G114&lt;=0.000001,"PASS","FAIL"),IF(H114&lt;=I114,"PASS","FAIL"))</f>
        <v>PASS</v>
      </c>
      <c r="K114" t="inlineStr">
        <is>
          <t xml:space="preserve"/>
        </is>
      </c>
    </row>
    <row r="115">
      <c r="A115" t="inlineStr">
        <is>
          <t xml:space="preserve">MSFT</t>
        </is>
      </c>
      <c r="B115" t="inlineStr">
        <is>
          <t xml:space="preserve">Table 3 -- Revenue growth</t>
        </is>
      </c>
      <c r="C115" t="inlineStr">
        <is>
          <t xml:space="preserve">RevGrowth=30.0000%</t>
        </is>
      </c>
      <c r="D115" t="inlineStr">
        <is>
          <t xml:space="preserve">FCF Year 1</t>
        </is>
      </c>
      <c r="E115" s="6">
        <v>148294728270.9967</v>
      </c>
      <c r="F115" s="6">
        <v>148294728270.9967</v>
      </c>
      <c r="G115" s="11">
        <f>ABS(E115-F115)</f>
        <v>0.0</v>
      </c>
      <c r="H115" s="10">
        <f>IF(F115=0,"n/a (zero denom)",G115/ABS(F115))</f>
        <v>0.0</v>
      </c>
      <c r="I115" s="10">
        <f>'Tolerances'!$B$6</f>
        <v>0.001</v>
      </c>
      <c r="J115" s="15" t="str">
        <f>IF(F115=0,IF(G115&lt;=0.000001,"PASS","FAIL"),IF(H115&lt;=I115,"PASS","FAIL"))</f>
        <v>PASS</v>
      </c>
      <c r="K115" t="inlineStr">
        <is>
          <t xml:space="preserve"/>
        </is>
      </c>
    </row>
    <row r="116">
      <c r="A116" t="inlineStr">
        <is>
          <t xml:space="preserve">MSFT</t>
        </is>
      </c>
      <c r="B116" t="inlineStr">
        <is>
          <t xml:space="preserve">Table 3 -- Revenue growth</t>
        </is>
      </c>
      <c r="C116" t="inlineStr">
        <is>
          <t xml:space="preserve">RevGrowth=30.0000%</t>
        </is>
      </c>
      <c r="D116" t="inlineStr">
        <is>
          <t xml:space="preserve">FCF Year 2</t>
        </is>
      </c>
      <c r="E116" s="6">
        <v>192783146752.29575</v>
      </c>
      <c r="F116" s="6">
        <v>192783146752.29575</v>
      </c>
      <c r="G116" s="11">
        <f>ABS(E116-F116)</f>
        <v>0.0</v>
      </c>
      <c r="H116" s="10">
        <f>IF(F116=0,"n/a (zero denom)",G116/ABS(F116))</f>
        <v>0.0</v>
      </c>
      <c r="I116" s="10">
        <f>'Tolerances'!$B$6</f>
        <v>0.001</v>
      </c>
      <c r="J116" s="15" t="str">
        <f>IF(F116=0,IF(G116&lt;=0.000001,"PASS","FAIL"),IF(H116&lt;=I116,"PASS","FAIL"))</f>
        <v>PASS</v>
      </c>
      <c r="K116" t="inlineStr">
        <is>
          <t xml:space="preserve"/>
        </is>
      </c>
    </row>
    <row r="117">
      <c r="A117" t="inlineStr">
        <is>
          <t xml:space="preserve">MSFT</t>
        </is>
      </c>
      <c r="B117" t="inlineStr">
        <is>
          <t xml:space="preserve">Table 3 -- Revenue growth</t>
        </is>
      </c>
      <c r="C117" t="inlineStr">
        <is>
          <t xml:space="preserve">RevGrowth=30.0000%</t>
        </is>
      </c>
      <c r="D117" t="inlineStr">
        <is>
          <t xml:space="preserve">FCF Year 3</t>
        </is>
      </c>
      <c r="E117" s="6">
        <v>250618090777.9845</v>
      </c>
      <c r="F117" s="6">
        <v>250618090777.9845</v>
      </c>
      <c r="G117" s="11">
        <f>ABS(E117-F117)</f>
        <v>0.0</v>
      </c>
      <c r="H117" s="10">
        <f>IF(F117=0,"n/a (zero denom)",G117/ABS(F117))</f>
        <v>0.0</v>
      </c>
      <c r="I117" s="10">
        <f>'Tolerances'!$B$6</f>
        <v>0.001</v>
      </c>
      <c r="J117" s="15" t="str">
        <f>IF(F117=0,IF(G117&lt;=0.000001,"PASS","FAIL"),IF(H117&lt;=I117,"PASS","FAIL"))</f>
        <v>PASS</v>
      </c>
      <c r="K117" t="inlineStr">
        <is>
          <t xml:space="preserve"/>
        </is>
      </c>
    </row>
    <row r="118">
      <c r="A118" t="inlineStr">
        <is>
          <t xml:space="preserve">MSFT</t>
        </is>
      </c>
      <c r="B118" t="inlineStr">
        <is>
          <t xml:space="preserve">Table 3 -- Revenue growth</t>
        </is>
      </c>
      <c r="C118" t="inlineStr">
        <is>
          <t xml:space="preserve">RevGrowth=30.0000%</t>
        </is>
      </c>
      <c r="D118" t="inlineStr">
        <is>
          <t xml:space="preserve">FCF Year 4</t>
        </is>
      </c>
      <c r="E118" s="6">
        <v>325803518011.37976</v>
      </c>
      <c r="F118" s="6">
        <v>325803518011.37976</v>
      </c>
      <c r="G118" s="11">
        <f>ABS(E118-F118)</f>
        <v>0.0</v>
      </c>
      <c r="H118" s="10">
        <f>IF(F118=0,"n/a (zero denom)",G118/ABS(F118))</f>
        <v>0.0</v>
      </c>
      <c r="I118" s="10">
        <f>'Tolerances'!$B$6</f>
        <v>0.001</v>
      </c>
      <c r="J118" s="15" t="str">
        <f>IF(F118=0,IF(G118&lt;=0.000001,"PASS","FAIL"),IF(H118&lt;=I118,"PASS","FAIL"))</f>
        <v>PASS</v>
      </c>
      <c r="K118" t="inlineStr">
        <is>
          <t xml:space="preserve"/>
        </is>
      </c>
    </row>
    <row r="119">
      <c r="A119" t="inlineStr">
        <is>
          <t xml:space="preserve">MSFT</t>
        </is>
      </c>
      <c r="B119" t="inlineStr">
        <is>
          <t xml:space="preserve">Table 3 -- Revenue growth</t>
        </is>
      </c>
      <c r="C119" t="inlineStr">
        <is>
          <t xml:space="preserve">RevGrowth=30.0000%</t>
        </is>
      </c>
      <c r="D119" t="inlineStr">
        <is>
          <t xml:space="preserve">FCF Year 5</t>
        </is>
      </c>
      <c r="E119" s="6">
        <v>423544573414.7937</v>
      </c>
      <c r="F119" s="6">
        <v>423544573414.7937</v>
      </c>
      <c r="G119" s="11">
        <f>ABS(E119-F119)</f>
        <v>0.0</v>
      </c>
      <c r="H119" s="10">
        <f>IF(F119=0,"n/a (zero denom)",G119/ABS(F119))</f>
        <v>0.0</v>
      </c>
      <c r="I119" s="10">
        <f>'Tolerances'!$B$6</f>
        <v>0.001</v>
      </c>
      <c r="J119" s="15" t="str">
        <f>IF(F119=0,IF(G119&lt;=0.000001,"PASS","FAIL"),IF(H119&lt;=I119,"PASS","FAIL"))</f>
        <v>PASS</v>
      </c>
      <c r="K119" t="inlineStr">
        <is>
          <t xml:space="preserve"/>
        </is>
      </c>
    </row>
    <row r="120">
      <c r="A120" t="inlineStr">
        <is>
          <t xml:space="preserve">MSFT</t>
        </is>
      </c>
      <c r="B120" t="inlineStr">
        <is>
          <t xml:space="preserve">Table 3 -- Revenue growth</t>
        </is>
      </c>
      <c r="C120" t="inlineStr">
        <is>
          <t xml:space="preserve">RevGrowth=30.0000%</t>
        </is>
      </c>
      <c r="D120" t="inlineStr">
        <is>
          <t xml:space="preserve">Terminal Value</t>
        </is>
      </c>
      <c r="E120" s="6">
        <v>5788117143386.956</v>
      </c>
      <c r="F120" s="6">
        <v>5788117143386.956</v>
      </c>
      <c r="G120" s="11">
        <f>ABS(E120-F120)</f>
        <v>0.0</v>
      </c>
      <c r="H120" s="10">
        <f>IF(F120=0,"n/a (zero denom)",G120/ABS(F120))</f>
        <v>0.0</v>
      </c>
      <c r="I120" s="10">
        <f>'Tolerances'!$B$7</f>
        <v>0.002</v>
      </c>
      <c r="J120" s="15" t="str">
        <f>IF(F120=0,IF(G120&lt;=0.000001,"PASS","FAIL"),IF(H120&lt;=I120,"PASS","FAIL"))</f>
        <v>PASS</v>
      </c>
      <c r="K120" t="inlineStr">
        <is>
          <t xml:space="preserve"/>
        </is>
      </c>
    </row>
    <row r="121">
      <c r="A121" t="inlineStr">
        <is>
          <t xml:space="preserve">MSFT</t>
        </is>
      </c>
      <c r="B121" t="inlineStr">
        <is>
          <t xml:space="preserve">Table 3 -- Revenue growth</t>
        </is>
      </c>
      <c r="C121" t="inlineStr">
        <is>
          <t xml:space="preserve">RevGrowth=30.0000%</t>
        </is>
      </c>
      <c r="D121" t="inlineStr">
        <is>
          <t xml:space="preserve">Enterprise Value</t>
        </is>
      </c>
      <c r="E121" s="6">
        <v>4561831558603.365</v>
      </c>
      <c r="F121" s="6">
        <v>4561831558603.365</v>
      </c>
      <c r="G121" s="11">
        <f>ABS(E121-F121)</f>
        <v>0.0</v>
      </c>
      <c r="H121" s="10">
        <f>IF(F121=0,"n/a (zero denom)",G121/ABS(F121))</f>
        <v>0.0</v>
      </c>
      <c r="I121" s="10">
        <f>'Tolerances'!$B$10</f>
        <v>0.002</v>
      </c>
      <c r="J121" s="15" t="str">
        <f>IF(F121=0,IF(G121&lt;=0.000001,"PASS","FAIL"),IF(H121&lt;=I121,"PASS","FAIL"))</f>
        <v>PASS</v>
      </c>
      <c r="K121" t="inlineStr">
        <is>
          <t xml:space="preserve"/>
        </is>
      </c>
    </row>
    <row r="122">
      <c r="A122" t="inlineStr">
        <is>
          <t xml:space="preserve">MSFT</t>
        </is>
      </c>
      <c r="B122" t="inlineStr">
        <is>
          <t xml:space="preserve">Table 3 -- Revenue growth</t>
        </is>
      </c>
      <c r="C122" t="inlineStr">
        <is>
          <t xml:space="preserve">RevGrowth=30.0000%</t>
        </is>
      </c>
      <c r="D122" t="inlineStr">
        <is>
          <t xml:space="preserve">Equity Value</t>
        </is>
      </c>
      <c r="E122" s="6">
        <v>4542472558603.365</v>
      </c>
      <c r="F122" s="6">
        <v>4542472558603.365</v>
      </c>
      <c r="G122" s="11">
        <f>ABS(E122-F122)</f>
        <v>0.0</v>
      </c>
      <c r="H122" s="10">
        <f>IF(F122=0,"n/a (zero denom)",G122/ABS(F122))</f>
        <v>0.0</v>
      </c>
      <c r="I122" s="10">
        <f>'Tolerances'!$B$11</f>
        <v>0.002</v>
      </c>
      <c r="J122" s="15" t="str">
        <f>IF(F122=0,IF(G122&lt;=0.000001,"PASS","FAIL"),IF(H122&lt;=I122,"PASS","FAIL"))</f>
        <v>PASS</v>
      </c>
      <c r="K122" t="inlineStr">
        <is>
          <t xml:space="preserve"/>
        </is>
      </c>
    </row>
    <row r="123">
      <c r="A123" t="inlineStr">
        <is>
          <t xml:space="preserve">MSFT</t>
        </is>
      </c>
      <c r="B123" t="inlineStr">
        <is>
          <t xml:space="preserve">Table 3 -- Revenue growth</t>
        </is>
      </c>
      <c r="C123" t="inlineStr">
        <is>
          <t xml:space="preserve">RevGrowth=30.0000%</t>
        </is>
      </c>
      <c r="D123" t="inlineStr">
        <is>
          <t xml:space="preserve">Intrinsic Value per Share</t>
        </is>
      </c>
      <c r="E123" s="7">
        <v>611.7358736956077</v>
      </c>
      <c r="F123" s="7">
        <v>611.7358736956077</v>
      </c>
      <c r="G123" s="12">
        <f>ABS(E123-F123)</f>
        <v>0.0</v>
      </c>
      <c r="H123" s="10">
        <f>IF(F123=0,"n/a (zero denom)",G123/ABS(F123))</f>
        <v>0.0</v>
      </c>
      <c r="I123" s="10">
        <f>'Tolerances'!$B$13</f>
        <v>0.005</v>
      </c>
      <c r="J123" s="15" t="str">
        <f>IF(F123=0,IF(G123&lt;=0.000001,"PASS","FAIL"),IF(H123&lt;=I123,"PASS","FAIL"))</f>
        <v>PASS</v>
      </c>
      <c r="K123" t="inlineStr">
        <is>
          <t xml:space="preserve"/>
        </is>
      </c>
    </row>
    <row r="124">
      <c r="A124" t="inlineStr">
        <is>
          <t xml:space="preserve">MSFT</t>
        </is>
      </c>
      <c r="B124" t="inlineStr">
        <is>
          <t xml:space="preserve">Table 3 -- Revenue growth</t>
        </is>
      </c>
      <c r="C124" t="inlineStr">
        <is>
          <t xml:space="preserve">RevGrowth=40.0000%</t>
        </is>
      </c>
      <c r="D124" t="inlineStr">
        <is>
          <t xml:space="preserve">FCF Year 1</t>
        </is>
      </c>
      <c r="E124" s="6">
        <v>159446754291.84262</v>
      </c>
      <c r="F124" s="6">
        <v>159446754291.84262</v>
      </c>
      <c r="G124" s="11">
        <f>ABS(E124-F124)</f>
        <v>0.0</v>
      </c>
      <c r="H124" s="10">
        <f>IF(F124=0,"n/a (zero denom)",G124/ABS(F124))</f>
        <v>0.0</v>
      </c>
      <c r="I124" s="10">
        <f>'Tolerances'!$B$6</f>
        <v>0.001</v>
      </c>
      <c r="J124" s="15" t="str">
        <f>IF(F124=0,IF(G124&lt;=0.000001,"PASS","FAIL"),IF(H124&lt;=I124,"PASS","FAIL"))</f>
        <v>PASS</v>
      </c>
      <c r="K124" t="inlineStr">
        <is>
          <t xml:space="preserve"/>
        </is>
      </c>
    </row>
    <row r="125">
      <c r="A125" t="inlineStr">
        <is>
          <t xml:space="preserve">MSFT</t>
        </is>
      </c>
      <c r="B125" t="inlineStr">
        <is>
          <t xml:space="preserve">Table 3 -- Revenue growth</t>
        </is>
      </c>
      <c r="C125" t="inlineStr">
        <is>
          <t xml:space="preserve">RevGrowth=40.0000%</t>
        </is>
      </c>
      <c r="D125" t="inlineStr">
        <is>
          <t xml:space="preserve">FCF Year 2</t>
        </is>
      </c>
      <c r="E125" s="6">
        <v>223225456008.57965</v>
      </c>
      <c r="F125" s="6">
        <v>223225456008.57965</v>
      </c>
      <c r="G125" s="11">
        <f>ABS(E125-F125)</f>
        <v>0.0</v>
      </c>
      <c r="H125" s="10">
        <f>IF(F125=0,"n/a (zero denom)",G125/ABS(F125))</f>
        <v>0.0</v>
      </c>
      <c r="I125" s="10">
        <f>'Tolerances'!$B$6</f>
        <v>0.001</v>
      </c>
      <c r="J125" s="15" t="str">
        <f>IF(F125=0,IF(G125&lt;=0.000001,"PASS","FAIL"),IF(H125&lt;=I125,"PASS","FAIL"))</f>
        <v>PASS</v>
      </c>
      <c r="K125" t="inlineStr">
        <is>
          <t xml:space="preserve"/>
        </is>
      </c>
    </row>
    <row r="126">
      <c r="A126" t="inlineStr">
        <is>
          <t xml:space="preserve">MSFT</t>
        </is>
      </c>
      <c r="B126" t="inlineStr">
        <is>
          <t xml:space="preserve">Table 3 -- Revenue growth</t>
        </is>
      </c>
      <c r="C126" t="inlineStr">
        <is>
          <t xml:space="preserve">RevGrowth=40.0000%</t>
        </is>
      </c>
      <c r="D126" t="inlineStr">
        <is>
          <t xml:space="preserve">FCF Year 3</t>
        </is>
      </c>
      <c r="E126" s="6">
        <v>312515638412.01154</v>
      </c>
      <c r="F126" s="6">
        <v>312515638412.01154</v>
      </c>
      <c r="G126" s="11">
        <f>ABS(E126-F126)</f>
        <v>0.0</v>
      </c>
      <c r="H126" s="10">
        <f>IF(F126=0,"n/a (zero denom)",G126/ABS(F126))</f>
        <v>0.0</v>
      </c>
      <c r="I126" s="10">
        <f>'Tolerances'!$B$6</f>
        <v>0.001</v>
      </c>
      <c r="J126" s="15" t="str">
        <f>IF(F126=0,IF(G126&lt;=0.000001,"PASS","FAIL"),IF(H126&lt;=I126,"PASS","FAIL"))</f>
        <v>PASS</v>
      </c>
      <c r="K126" t="inlineStr">
        <is>
          <t xml:space="preserve"/>
        </is>
      </c>
    </row>
    <row r="127">
      <c r="A127" t="inlineStr">
        <is>
          <t xml:space="preserve">MSFT</t>
        </is>
      </c>
      <c r="B127" t="inlineStr">
        <is>
          <t xml:space="preserve">Table 3 -- Revenue growth</t>
        </is>
      </c>
      <c r="C127" t="inlineStr">
        <is>
          <t xml:space="preserve">RevGrowth=40.0000%</t>
        </is>
      </c>
      <c r="D127" t="inlineStr">
        <is>
          <t xml:space="preserve">FCF Year 4</t>
        </is>
      </c>
      <c r="E127" s="6">
        <v>437521893776.81616</v>
      </c>
      <c r="F127" s="6">
        <v>437521893776.81616</v>
      </c>
      <c r="G127" s="11">
        <f>ABS(E127-F127)</f>
        <v>0.0</v>
      </c>
      <c r="H127" s="10">
        <f>IF(F127=0,"n/a (zero denom)",G127/ABS(F127))</f>
        <v>0.0</v>
      </c>
      <c r="I127" s="10">
        <f>'Tolerances'!$B$6</f>
        <v>0.001</v>
      </c>
      <c r="J127" s="15" t="str">
        <f>IF(F127=0,IF(G127&lt;=0.000001,"PASS","FAIL"),IF(H127&lt;=I127,"PASS","FAIL"))</f>
        <v>PASS</v>
      </c>
      <c r="K127" t="inlineStr">
        <is>
          <t xml:space="preserve"/>
        </is>
      </c>
    </row>
    <row r="128">
      <c r="A128" t="inlineStr">
        <is>
          <t xml:space="preserve">MSFT</t>
        </is>
      </c>
      <c r="B128" t="inlineStr">
        <is>
          <t xml:space="preserve">Table 3 -- Revenue growth</t>
        </is>
      </c>
      <c r="C128" t="inlineStr">
        <is>
          <t xml:space="preserve">RevGrowth=40.0000%</t>
        </is>
      </c>
      <c r="D128" t="inlineStr">
        <is>
          <t xml:space="preserve">FCF Year 5</t>
        </is>
      </c>
      <c r="E128" s="6">
        <v>612530651287.5426</v>
      </c>
      <c r="F128" s="6">
        <v>612530651287.5426</v>
      </c>
      <c r="G128" s="11">
        <f>ABS(E128-F128)</f>
        <v>0.0</v>
      </c>
      <c r="H128" s="10">
        <f>IF(F128=0,"n/a (zero denom)",G128/ABS(F128))</f>
        <v>0.0</v>
      </c>
      <c r="I128" s="10">
        <f>'Tolerances'!$B$6</f>
        <v>0.001</v>
      </c>
      <c r="J128" s="15" t="str">
        <f>IF(F128=0,IF(G128&lt;=0.000001,"PASS","FAIL"),IF(H128&lt;=I128,"PASS","FAIL"))</f>
        <v>PASS</v>
      </c>
      <c r="K128" t="inlineStr">
        <is>
          <t xml:space="preserve"/>
        </is>
      </c>
    </row>
    <row r="129">
      <c r="A129" t="inlineStr">
        <is>
          <t xml:space="preserve">MSFT</t>
        </is>
      </c>
      <c r="B129" t="inlineStr">
        <is>
          <t xml:space="preserve">Table 3 -- Revenue growth</t>
        </is>
      </c>
      <c r="C129" t="inlineStr">
        <is>
          <t xml:space="preserve">RevGrowth=40.0000%</t>
        </is>
      </c>
      <c r="D129" t="inlineStr">
        <is>
          <t xml:space="preserve">Terminal Value</t>
        </is>
      </c>
      <c r="E129" s="6">
        <v>8370781698329.671</v>
      </c>
      <c r="F129" s="6">
        <v>8370781698329.671</v>
      </c>
      <c r="G129" s="11">
        <f>ABS(E129-F129)</f>
        <v>0.0</v>
      </c>
      <c r="H129" s="10">
        <f>IF(F129=0,"n/a (zero denom)",G129/ABS(F129))</f>
        <v>0.0</v>
      </c>
      <c r="I129" s="10">
        <f>'Tolerances'!$B$7</f>
        <v>0.002</v>
      </c>
      <c r="J129" s="15" t="str">
        <f>IF(F129=0,IF(G129&lt;=0.000001,"PASS","FAIL"),IF(H129&lt;=I129,"PASS","FAIL"))</f>
        <v>PASS</v>
      </c>
      <c r="K129" t="inlineStr">
        <is>
          <t xml:space="preserve"/>
        </is>
      </c>
    </row>
    <row r="130">
      <c r="A130" t="inlineStr">
        <is>
          <t xml:space="preserve">MSFT</t>
        </is>
      </c>
      <c r="B130" t="inlineStr">
        <is>
          <t xml:space="preserve">Table 3 -- Revenue growth</t>
        </is>
      </c>
      <c r="C130" t="inlineStr">
        <is>
          <t xml:space="preserve">RevGrowth=40.0000%</t>
        </is>
      </c>
      <c r="D130" t="inlineStr">
        <is>
          <t xml:space="preserve">Enterprise Value</t>
        </is>
      </c>
      <c r="E130" s="6">
        <v>6440880457840.158</v>
      </c>
      <c r="F130" s="6">
        <v>6440880457840.158</v>
      </c>
      <c r="G130" s="11">
        <f>ABS(E130-F130)</f>
        <v>0.0</v>
      </c>
      <c r="H130" s="10">
        <f>IF(F130=0,"n/a (zero denom)",G130/ABS(F130))</f>
        <v>0.0</v>
      </c>
      <c r="I130" s="10">
        <f>'Tolerances'!$B$10</f>
        <v>0.002</v>
      </c>
      <c r="J130" s="15" t="str">
        <f>IF(F130=0,IF(G130&lt;=0.000001,"PASS","FAIL"),IF(H130&lt;=I130,"PASS","FAIL"))</f>
        <v>PASS</v>
      </c>
      <c r="K130" t="inlineStr">
        <is>
          <t xml:space="preserve"/>
        </is>
      </c>
    </row>
    <row r="131">
      <c r="A131" t="inlineStr">
        <is>
          <t xml:space="preserve">MSFT</t>
        </is>
      </c>
      <c r="B131" t="inlineStr">
        <is>
          <t xml:space="preserve">Table 3 -- Revenue growth</t>
        </is>
      </c>
      <c r="C131" t="inlineStr">
        <is>
          <t xml:space="preserve">RevGrowth=40.0000%</t>
        </is>
      </c>
      <c r="D131" t="inlineStr">
        <is>
          <t xml:space="preserve">Equity Value</t>
        </is>
      </c>
      <c r="E131" s="6">
        <v>6421521457840.158</v>
      </c>
      <c r="F131" s="6">
        <v>6421521457840.158</v>
      </c>
      <c r="G131" s="11">
        <f>ABS(E131-F131)</f>
        <v>0.0</v>
      </c>
      <c r="H131" s="10">
        <f>IF(F131=0,"n/a (zero denom)",G131/ABS(F131))</f>
        <v>0.0</v>
      </c>
      <c r="I131" s="10">
        <f>'Tolerances'!$B$11</f>
        <v>0.002</v>
      </c>
      <c r="J131" s="15" t="str">
        <f>IF(F131=0,IF(G131&lt;=0.000001,"PASS","FAIL"),IF(H131&lt;=I131,"PASS","FAIL"))</f>
        <v>PASS</v>
      </c>
      <c r="K131" t="inlineStr">
        <is>
          <t xml:space="preserve"/>
        </is>
      </c>
    </row>
    <row r="132">
      <c r="A132" t="inlineStr">
        <is>
          <t xml:space="preserve">MSFT</t>
        </is>
      </c>
      <c r="B132" t="inlineStr">
        <is>
          <t xml:space="preserve">Table 3 -- Revenue growth</t>
        </is>
      </c>
      <c r="C132" t="inlineStr">
        <is>
          <t xml:space="preserve">RevGrowth=40.0000%</t>
        </is>
      </c>
      <c r="D132" t="inlineStr">
        <is>
          <t xml:space="preserve">Intrinsic Value per Share</t>
        </is>
      </c>
      <c r="E132" s="7">
        <v>864.7878415967216</v>
      </c>
      <c r="F132" s="7">
        <v>864.7878415967216</v>
      </c>
      <c r="G132" s="12">
        <f>ABS(E132-F132)</f>
        <v>0.0</v>
      </c>
      <c r="H132" s="10">
        <f>IF(F132=0,"n/a (zero denom)",G132/ABS(F132))</f>
        <v>0.0</v>
      </c>
      <c r="I132" s="10">
        <f>'Tolerances'!$B$13</f>
        <v>0.005</v>
      </c>
      <c r="J132" s="15" t="str">
        <f>IF(F132=0,IF(G132&lt;=0.000001,"PASS","FAIL"),IF(H132&lt;=I132,"PASS","FAIL"))</f>
        <v>PASS</v>
      </c>
      <c r="K132" t="inlineStr">
        <is>
          <t xml:space="preserve"/>
        </is>
      </c>
    </row>
    <row r="133">
      <c r="A133" t="inlineStr">
        <is>
          <t xml:space="preserve">MSFT</t>
        </is>
      </c>
      <c r="B133" t="inlineStr">
        <is>
          <t xml:space="preserve">Table 4 -- Operating margin</t>
        </is>
      </c>
      <c r="C133" t="inlineStr">
        <is>
          <t xml:space="preserve">Margin=0.0000%</t>
        </is>
      </c>
      <c r="D133" t="inlineStr">
        <is>
          <t xml:space="preserve">FCF Year 1</t>
        </is>
      </c>
      <c r="E133" s="6">
        <v>-4230359719.295488</v>
      </c>
      <c r="F133" s="6">
        <v>-4230359719.295488</v>
      </c>
      <c r="G133" s="11">
        <f>ABS(E133-F133)</f>
        <v>0.0</v>
      </c>
      <c r="H133" s="10">
        <f>IF(F133=0,"n/a (zero denom)",G133/ABS(F133))</f>
        <v>0.0</v>
      </c>
      <c r="I133" s="10">
        <f>'Tolerances'!$B$6</f>
        <v>0.001</v>
      </c>
      <c r="J133" s="15" t="str">
        <f>IF(F133=0,IF(G133&lt;=0.000001,"PASS","FAIL"),IF(H133&lt;=I133,"PASS","FAIL"))</f>
        <v>PASS</v>
      </c>
      <c r="K133" t="inlineStr">
        <is>
          <t xml:space="preserve"/>
        </is>
      </c>
    </row>
    <row r="134">
      <c r="A134" t="inlineStr">
        <is>
          <t xml:space="preserve">MSFT</t>
        </is>
      </c>
      <c r="B134" t="inlineStr">
        <is>
          <t xml:space="preserve">Table 4 -- Operating margin</t>
        </is>
      </c>
      <c r="C134" t="inlineStr">
        <is>
          <t xml:space="preserve">Margin=0.0000%</t>
        </is>
      </c>
      <c r="D134" t="inlineStr">
        <is>
          <t xml:space="preserve">FCF Year 2</t>
        </is>
      </c>
      <c r="E134" s="6">
        <v>-4811659681.886508</v>
      </c>
      <c r="F134" s="6">
        <v>-4811659681.886508</v>
      </c>
      <c r="G134" s="11">
        <f>ABS(E134-F134)</f>
        <v>0.0</v>
      </c>
      <c r="H134" s="10">
        <f>IF(F134=0,"n/a (zero denom)",G134/ABS(F134))</f>
        <v>0.0</v>
      </c>
      <c r="I134" s="10">
        <f>'Tolerances'!$B$6</f>
        <v>0.001</v>
      </c>
      <c r="J134" s="15" t="str">
        <f>IF(F134=0,IF(G134&lt;=0.000001,"PASS","FAIL"),IF(H134&lt;=I134,"PASS","FAIL"))</f>
        <v>PASS</v>
      </c>
      <c r="K134" t="inlineStr">
        <is>
          <t xml:space="preserve"/>
        </is>
      </c>
    </row>
    <row r="135">
      <c r="A135" t="inlineStr">
        <is>
          <t xml:space="preserve">MSFT</t>
        </is>
      </c>
      <c r="B135" t="inlineStr">
        <is>
          <t xml:space="preserve">Table 4 -- Operating margin</t>
        </is>
      </c>
      <c r="C135" t="inlineStr">
        <is>
          <t xml:space="preserve">Margin=0.0000%</t>
        </is>
      </c>
      <c r="D135" t="inlineStr">
        <is>
          <t xml:space="preserve">FCF Year 3</t>
        </is>
      </c>
      <c r="E135" s="6">
        <v>-5472836928.900188</v>
      </c>
      <c r="F135" s="6">
        <v>-5472836928.900188</v>
      </c>
      <c r="G135" s="11">
        <f>ABS(E135-F135)</f>
        <v>0.0</v>
      </c>
      <c r="H135" s="10">
        <f>IF(F135=0,"n/a (zero denom)",G135/ABS(F135))</f>
        <v>0.0</v>
      </c>
      <c r="I135" s="10">
        <f>'Tolerances'!$B$6</f>
        <v>0.001</v>
      </c>
      <c r="J135" s="15" t="str">
        <f>IF(F135=0,IF(G135&lt;=0.000001,"PASS","FAIL"),IF(H135&lt;=I135,"PASS","FAIL"))</f>
        <v>PASS</v>
      </c>
      <c r="K135" t="inlineStr">
        <is>
          <t xml:space="preserve"/>
        </is>
      </c>
    </row>
    <row r="136">
      <c r="A136" t="inlineStr">
        <is>
          <t xml:space="preserve">MSFT</t>
        </is>
      </c>
      <c r="B136" t="inlineStr">
        <is>
          <t xml:space="preserve">Table 4 -- Operating margin</t>
        </is>
      </c>
      <c r="C136" t="inlineStr">
        <is>
          <t xml:space="preserve">Margin=0.0000%</t>
        </is>
      </c>
      <c r="D136" t="inlineStr">
        <is>
          <t xml:space="preserve">FCF Year 4</t>
        </is>
      </c>
      <c r="E136" s="6">
        <v>-6224867515.690628</v>
      </c>
      <c r="F136" s="6">
        <v>-6224867515.690628</v>
      </c>
      <c r="G136" s="11">
        <f>ABS(E136-F136)</f>
        <v>0.0</v>
      </c>
      <c r="H136" s="10">
        <f>IF(F136=0,"n/a (zero denom)",G136/ABS(F136))</f>
        <v>0.0</v>
      </c>
      <c r="I136" s="10">
        <f>'Tolerances'!$B$6</f>
        <v>0.001</v>
      </c>
      <c r="J136" s="15" t="str">
        <f>IF(F136=0,IF(G136&lt;=0.000001,"PASS","FAIL"),IF(H136&lt;=I136,"PASS","FAIL"))</f>
        <v>PASS</v>
      </c>
      <c r="K136" t="inlineStr">
        <is>
          <t xml:space="preserve"/>
        </is>
      </c>
    </row>
    <row r="137">
      <c r="A137" t="inlineStr">
        <is>
          <t xml:space="preserve">MSFT</t>
        </is>
      </c>
      <c r="B137" t="inlineStr">
        <is>
          <t xml:space="preserve">Table 4 -- Operating margin</t>
        </is>
      </c>
      <c r="C137" t="inlineStr">
        <is>
          <t xml:space="preserve">Margin=0.0000%</t>
        </is>
      </c>
      <c r="D137" t="inlineStr">
        <is>
          <t xml:space="preserve">FCF Year 5</t>
        </is>
      </c>
      <c r="E137" s="6">
        <v>-7080235733.551694</v>
      </c>
      <c r="F137" s="6">
        <v>-7080235733.551694</v>
      </c>
      <c r="G137" s="11">
        <f>ABS(E137-F137)</f>
        <v>0.0</v>
      </c>
      <c r="H137" s="10">
        <f>IF(F137=0,"n/a (zero denom)",G137/ABS(F137))</f>
        <v>0.0</v>
      </c>
      <c r="I137" s="10">
        <f>'Tolerances'!$B$6</f>
        <v>0.001</v>
      </c>
      <c r="J137" s="15" t="str">
        <f>IF(F137=0,IF(G137&lt;=0.000001,"PASS","FAIL"),IF(H137&lt;=I137,"PASS","FAIL"))</f>
        <v>PASS</v>
      </c>
      <c r="K137" t="inlineStr">
        <is>
          <t xml:space="preserve"/>
        </is>
      </c>
    </row>
    <row r="138">
      <c r="A138" t="inlineStr">
        <is>
          <t xml:space="preserve">MSFT</t>
        </is>
      </c>
      <c r="B138" t="inlineStr">
        <is>
          <t xml:space="preserve">Table 4 -- Operating margin</t>
        </is>
      </c>
      <c r="C138" t="inlineStr">
        <is>
          <t xml:space="preserve">Margin=0.0000%</t>
        </is>
      </c>
      <c r="D138" t="inlineStr">
        <is>
          <t xml:space="preserve">Terminal Value</t>
        </is>
      </c>
      <c r="E138" s="6">
        <v>-96757782771.67764</v>
      </c>
      <c r="F138" s="6">
        <v>-96757782771.67764</v>
      </c>
      <c r="G138" s="11">
        <f>ABS(E138-F138)</f>
        <v>0.0</v>
      </c>
      <c r="H138" s="10">
        <f>IF(F138=0,"n/a (zero denom)",G138/ABS(F138))</f>
        <v>0.0</v>
      </c>
      <c r="I138" s="10">
        <f>'Tolerances'!$B$7</f>
        <v>0.002</v>
      </c>
      <c r="J138" s="15" t="str">
        <f>IF(F138=0,IF(G138&lt;=0.000001,"PASS","FAIL"),IF(H138&lt;=I138,"PASS","FAIL"))</f>
        <v>PASS</v>
      </c>
      <c r="K138" t="inlineStr">
        <is>
          <t xml:space="preserve"/>
        </is>
      </c>
    </row>
    <row r="139">
      <c r="A139" t="inlineStr">
        <is>
          <t xml:space="preserve">MSFT</t>
        </is>
      </c>
      <c r="B139" t="inlineStr">
        <is>
          <t xml:space="preserve">Table 4 -- Operating margin</t>
        </is>
      </c>
      <c r="C139" t="inlineStr">
        <is>
          <t xml:space="preserve">Margin=0.0000%</t>
        </is>
      </c>
      <c r="D139" t="inlineStr">
        <is>
          <t xml:space="preserve">Enterprise Value</t>
        </is>
      </c>
      <c r="E139" s="6">
        <v>-80659698098.40524</v>
      </c>
      <c r="F139" s="6">
        <v>-80659698098.40524</v>
      </c>
      <c r="G139" s="11">
        <f>ABS(E139-F139)</f>
        <v>0.0</v>
      </c>
      <c r="H139" s="10">
        <f>IF(F139=0,"n/a (zero denom)",G139/ABS(F139))</f>
        <v>0.0</v>
      </c>
      <c r="I139" s="10">
        <f>'Tolerances'!$B$10</f>
        <v>0.002</v>
      </c>
      <c r="J139" s="15" t="str">
        <f>IF(F139=0,IF(G139&lt;=0.000001,"PASS","FAIL"),IF(H139&lt;=I139,"PASS","FAIL"))</f>
        <v>PASS</v>
      </c>
      <c r="K139" t="inlineStr">
        <is>
          <t xml:space="preserve"/>
        </is>
      </c>
    </row>
    <row r="140">
      <c r="A140" t="inlineStr">
        <is>
          <t xml:space="preserve">MSFT</t>
        </is>
      </c>
      <c r="B140" t="inlineStr">
        <is>
          <t xml:space="preserve">Table 4 -- Operating margin</t>
        </is>
      </c>
      <c r="C140" t="inlineStr">
        <is>
          <t xml:space="preserve">Margin=0.0000%</t>
        </is>
      </c>
      <c r="D140" t="inlineStr">
        <is>
          <t xml:space="preserve">Equity Value</t>
        </is>
      </c>
      <c r="E140" s="6">
        <v>-100018698098.40524</v>
      </c>
      <c r="F140" s="6">
        <v>-100018698098.40524</v>
      </c>
      <c r="G140" s="11">
        <f>ABS(E140-F140)</f>
        <v>0.0</v>
      </c>
      <c r="H140" s="10">
        <f>IF(F140=0,"n/a (zero denom)",G140/ABS(F140))</f>
        <v>0.0</v>
      </c>
      <c r="I140" s="10">
        <f>'Tolerances'!$B$11</f>
        <v>0.002</v>
      </c>
      <c r="J140" s="15" t="str">
        <f>IF(F140=0,IF(G140&lt;=0.000001,"PASS","FAIL"),IF(H140&lt;=I140,"PASS","FAIL"))</f>
        <v>PASS</v>
      </c>
      <c r="K140" t="inlineStr">
        <is>
          <t xml:space="preserve"/>
        </is>
      </c>
    </row>
    <row r="141">
      <c r="A141" t="inlineStr">
        <is>
          <t xml:space="preserve">MSFT</t>
        </is>
      </c>
      <c r="B141" t="inlineStr">
        <is>
          <t xml:space="preserve">Table 4 -- Operating margin</t>
        </is>
      </c>
      <c r="C141" t="inlineStr">
        <is>
          <t xml:space="preserve">Margin=0.0000%</t>
        </is>
      </c>
      <c r="D141" t="inlineStr">
        <is>
          <t xml:space="preserve">Intrinsic Value per Share</t>
        </is>
      </c>
      <c r="E141" s="7">
        <v>-13.469542166246388</v>
      </c>
      <c r="F141" s="7">
        <v>-13.469542166246388</v>
      </c>
      <c r="G141" s="12">
        <f>ABS(E141-F141)</f>
        <v>0.0</v>
      </c>
      <c r="H141" s="10">
        <f>IF(F141=0,"n/a (zero denom)",G141/ABS(F141))</f>
        <v>0.0</v>
      </c>
      <c r="I141" s="10">
        <f>'Tolerances'!$B$13</f>
        <v>0.005</v>
      </c>
      <c r="J141" s="15" t="str">
        <f>IF(F141=0,IF(G141&lt;=0.000001,"PASS","FAIL"),IF(H141&lt;=I141,"PASS","FAIL"))</f>
        <v>PASS</v>
      </c>
      <c r="K141" t="inlineStr">
        <is>
          <t xml:space="preserve"/>
        </is>
      </c>
    </row>
    <row r="142">
      <c r="A142" t="inlineStr">
        <is>
          <t xml:space="preserve">MSFT</t>
        </is>
      </c>
      <c r="B142" t="inlineStr">
        <is>
          <t xml:space="preserve">Table 4 -- Operating margin</t>
        </is>
      </c>
      <c r="C142" t="inlineStr">
        <is>
          <t xml:space="preserve">Margin=10.0000%</t>
        </is>
      </c>
      <c r="D142" t="inlineStr">
        <is>
          <t xml:space="preserve">FCF Year 1</t>
        </is>
      </c>
      <c r="E142" s="6">
        <v>26192511006.59709</v>
      </c>
      <c r="F142" s="6">
        <v>26192511006.59709</v>
      </c>
      <c r="G142" s="11">
        <f>ABS(E142-F142)</f>
        <v>0.0</v>
      </c>
      <c r="H142" s="10">
        <f>IF(F142=0,"n/a (zero denom)",G142/ABS(F142))</f>
        <v>0.0</v>
      </c>
      <c r="I142" s="10">
        <f>'Tolerances'!$B$6</f>
        <v>0.001</v>
      </c>
      <c r="J142" s="15" t="str">
        <f>IF(F142=0,IF(G142&lt;=0.000001,"PASS","FAIL"),IF(H142&lt;=I142,"PASS","FAIL"))</f>
        <v>PASS</v>
      </c>
      <c r="K142" t="inlineStr">
        <is>
          <t xml:space="preserve"/>
        </is>
      </c>
    </row>
    <row r="143">
      <c r="A143" t="inlineStr">
        <is>
          <t xml:space="preserve">MSFT</t>
        </is>
      </c>
      <c r="B143" t="inlineStr">
        <is>
          <t xml:space="preserve">Table 4 -- Operating margin</t>
        </is>
      </c>
      <c r="C143" t="inlineStr">
        <is>
          <t xml:space="preserve">Margin=10.0000%</t>
        </is>
      </c>
      <c r="D143" t="inlineStr">
        <is>
          <t xml:space="preserve">FCF Year 2</t>
        </is>
      </c>
      <c r="E143" s="6">
        <v>29791662539.468494</v>
      </c>
      <c r="F143" s="6">
        <v>29791662539.468494</v>
      </c>
      <c r="G143" s="11">
        <f>ABS(E143-F143)</f>
        <v>0.0</v>
      </c>
      <c r="H143" s="10">
        <f>IF(F143=0,"n/a (zero denom)",G143/ABS(F143))</f>
        <v>0.0</v>
      </c>
      <c r="I143" s="10">
        <f>'Tolerances'!$B$6</f>
        <v>0.001</v>
      </c>
      <c r="J143" s="15" t="str">
        <f>IF(F143=0,IF(G143&lt;=0.000001,"PASS","FAIL"),IF(H143&lt;=I143,"PASS","FAIL"))</f>
        <v>PASS</v>
      </c>
      <c r="K143" t="inlineStr">
        <is>
          <t xml:space="preserve"/>
        </is>
      </c>
    </row>
    <row r="144">
      <c r="A144" t="inlineStr">
        <is>
          <t xml:space="preserve">MSFT</t>
        </is>
      </c>
      <c r="B144" t="inlineStr">
        <is>
          <t xml:space="preserve">Table 4 -- Operating margin</t>
        </is>
      </c>
      <c r="C144" t="inlineStr">
        <is>
          <t xml:space="preserve">Margin=10.0000%</t>
        </is>
      </c>
      <c r="D144" t="inlineStr">
        <is>
          <t xml:space="preserve">FCF Year 3</t>
        </is>
      </c>
      <c r="E144" s="6">
        <v>33885378787.930084</v>
      </c>
      <c r="F144" s="6">
        <v>33885378787.930084</v>
      </c>
      <c r="G144" s="11">
        <f>ABS(E144-F144)</f>
        <v>0.0</v>
      </c>
      <c r="H144" s="10">
        <f>IF(F144=0,"n/a (zero denom)",G144/ABS(F144))</f>
        <v>0.0</v>
      </c>
      <c r="I144" s="10">
        <f>'Tolerances'!$B$6</f>
        <v>0.001</v>
      </c>
      <c r="J144" s="15" t="str">
        <f>IF(F144=0,IF(G144&lt;=0.000001,"PASS","FAIL"),IF(H144&lt;=I144,"PASS","FAIL"))</f>
        <v>PASS</v>
      </c>
      <c r="K144" t="inlineStr">
        <is>
          <t xml:space="preserve"/>
        </is>
      </c>
    </row>
    <row r="145">
      <c r="A145" t="inlineStr">
        <is>
          <t xml:space="preserve">MSFT</t>
        </is>
      </c>
      <c r="B145" t="inlineStr">
        <is>
          <t xml:space="preserve">Table 4 -- Operating margin</t>
        </is>
      </c>
      <c r="C145" t="inlineStr">
        <is>
          <t xml:space="preserve">Margin=10.0000%</t>
        </is>
      </c>
      <c r="D145" t="inlineStr">
        <is>
          <t xml:space="preserve">FCF Year 4</t>
        </is>
      </c>
      <c r="E145" s="6">
        <v>38541618618.30714</v>
      </c>
      <c r="F145" s="6">
        <v>38541618618.30714</v>
      </c>
      <c r="G145" s="11">
        <f>ABS(E145-F145)</f>
        <v>0.0</v>
      </c>
      <c r="H145" s="10">
        <f>IF(F145=0,"n/a (zero denom)",G145/ABS(F145))</f>
        <v>0.0</v>
      </c>
      <c r="I145" s="10">
        <f>'Tolerances'!$B$6</f>
        <v>0.001</v>
      </c>
      <c r="J145" s="15" t="str">
        <f>IF(F145=0,IF(G145&lt;=0.000001,"PASS","FAIL"),IF(H145&lt;=I145,"PASS","FAIL"))</f>
        <v>PASS</v>
      </c>
      <c r="K145" t="inlineStr">
        <is>
          <t xml:space="preserve"/>
        </is>
      </c>
    </row>
    <row r="146">
      <c r="A146" t="inlineStr">
        <is>
          <t xml:space="preserve">MSFT</t>
        </is>
      </c>
      <c r="B146" t="inlineStr">
        <is>
          <t xml:space="preserve">Table 4 -- Operating margin</t>
        </is>
      </c>
      <c r="C146" t="inlineStr">
        <is>
          <t xml:space="preserve">Margin=10.0000%</t>
        </is>
      </c>
      <c r="D146" t="inlineStr">
        <is>
          <t xml:space="preserve">FCF Year 5</t>
        </is>
      </c>
      <c r="E146" s="6">
        <v>43837679224.88612</v>
      </c>
      <c r="F146" s="6">
        <v>43837679224.88612</v>
      </c>
      <c r="G146" s="11">
        <f>ABS(E146-F146)</f>
        <v>0.0</v>
      </c>
      <c r="H146" s="10">
        <f>IF(F146=0,"n/a (zero denom)",G146/ABS(F146))</f>
        <v>0.0</v>
      </c>
      <c r="I146" s="10">
        <f>'Tolerances'!$B$6</f>
        <v>0.001</v>
      </c>
      <c r="J146" s="15" t="str">
        <f>IF(F146=0,IF(G146&lt;=0.000001,"PASS","FAIL"),IF(H146&lt;=I146,"PASS","FAIL"))</f>
        <v>PASS</v>
      </c>
      <c r="K146" t="inlineStr">
        <is>
          <t xml:space="preserve"/>
        </is>
      </c>
    </row>
    <row r="147">
      <c r="A147" t="inlineStr">
        <is>
          <t xml:space="preserve">MSFT</t>
        </is>
      </c>
      <c r="B147" t="inlineStr">
        <is>
          <t xml:space="preserve">Table 4 -- Operating margin</t>
        </is>
      </c>
      <c r="C147" t="inlineStr">
        <is>
          <t xml:space="preserve">Margin=10.0000%</t>
        </is>
      </c>
      <c r="D147" t="inlineStr">
        <is>
          <t xml:space="preserve">Terminal Value</t>
        </is>
      </c>
      <c r="E147" s="6">
        <v>599081274025.3584</v>
      </c>
      <c r="F147" s="6">
        <v>599081274025.3584</v>
      </c>
      <c r="G147" s="11">
        <f>ABS(E147-F147)</f>
        <v>0.0</v>
      </c>
      <c r="H147" s="10">
        <f>IF(F147=0,"n/a (zero denom)",G147/ABS(F147))</f>
        <v>0.0</v>
      </c>
      <c r="I147" s="10">
        <f>'Tolerances'!$B$7</f>
        <v>0.002</v>
      </c>
      <c r="J147" s="15" t="str">
        <f>IF(F147=0,IF(G147&lt;=0.000001,"PASS","FAIL"),IF(H147&lt;=I147,"PASS","FAIL"))</f>
        <v>PASS</v>
      </c>
      <c r="K147" t="inlineStr">
        <is>
          <t xml:space="preserve"/>
        </is>
      </c>
    </row>
    <row r="148">
      <c r="A148" t="inlineStr">
        <is>
          <t xml:space="preserve">MSFT</t>
        </is>
      </c>
      <c r="B148" t="inlineStr">
        <is>
          <t xml:space="preserve">Table 4 -- Operating margin</t>
        </is>
      </c>
      <c r="C148" t="inlineStr">
        <is>
          <t xml:space="preserve">Margin=10.0000%</t>
        </is>
      </c>
      <c r="D148" t="inlineStr">
        <is>
          <t xml:space="preserve">Enterprise Value</t>
        </is>
      </c>
      <c r="E148" s="6">
        <v>499409074030.9712</v>
      </c>
      <c r="F148" s="6">
        <v>499409074030.9712</v>
      </c>
      <c r="G148" s="11">
        <f>ABS(E148-F148)</f>
        <v>0.0</v>
      </c>
      <c r="H148" s="10">
        <f>IF(F148=0,"n/a (zero denom)",G148/ABS(F148))</f>
        <v>0.0</v>
      </c>
      <c r="I148" s="10">
        <f>'Tolerances'!$B$10</f>
        <v>0.002</v>
      </c>
      <c r="J148" s="15" t="str">
        <f>IF(F148=0,IF(G148&lt;=0.000001,"PASS","FAIL"),IF(H148&lt;=I148,"PASS","FAIL"))</f>
        <v>PASS</v>
      </c>
      <c r="K148" t="inlineStr">
        <is>
          <t xml:space="preserve"/>
        </is>
      </c>
    </row>
    <row r="149">
      <c r="A149" t="inlineStr">
        <is>
          <t xml:space="preserve">MSFT</t>
        </is>
      </c>
      <c r="B149" t="inlineStr">
        <is>
          <t xml:space="preserve">Table 4 -- Operating margin</t>
        </is>
      </c>
      <c r="C149" t="inlineStr">
        <is>
          <t xml:space="preserve">Margin=10.0000%</t>
        </is>
      </c>
      <c r="D149" t="inlineStr">
        <is>
          <t xml:space="preserve">Equity Value</t>
        </is>
      </c>
      <c r="E149" s="6">
        <v>480050074030.9712</v>
      </c>
      <c r="F149" s="6">
        <v>480050074030.9712</v>
      </c>
      <c r="G149" s="11">
        <f>ABS(E149-F149)</f>
        <v>0.0</v>
      </c>
      <c r="H149" s="10">
        <f>IF(F149=0,"n/a (zero denom)",G149/ABS(F149))</f>
        <v>0.0</v>
      </c>
      <c r="I149" s="10">
        <f>'Tolerances'!$B$11</f>
        <v>0.002</v>
      </c>
      <c r="J149" s="15" t="str">
        <f>IF(F149=0,IF(G149&lt;=0.000001,"PASS","FAIL"),IF(H149&lt;=I149,"PASS","FAIL"))</f>
        <v>PASS</v>
      </c>
      <c r="K149" t="inlineStr">
        <is>
          <t xml:space="preserve"/>
        </is>
      </c>
    </row>
    <row r="150">
      <c r="A150" t="inlineStr">
        <is>
          <t xml:space="preserve">MSFT</t>
        </is>
      </c>
      <c r="B150" t="inlineStr">
        <is>
          <t xml:space="preserve">Table 4 -- Operating margin</t>
        </is>
      </c>
      <c r="C150" t="inlineStr">
        <is>
          <t xml:space="preserve">Margin=10.0000%</t>
        </is>
      </c>
      <c r="D150" t="inlineStr">
        <is>
          <t xml:space="preserve">Intrinsic Value per Share</t>
        </is>
      </c>
      <c r="E150" s="7">
        <v>64.64845910819714</v>
      </c>
      <c r="F150" s="7">
        <v>64.64845910819714</v>
      </c>
      <c r="G150" s="12">
        <f>ABS(E150-F150)</f>
        <v>0.0</v>
      </c>
      <c r="H150" s="10">
        <f>IF(F150=0,"n/a (zero denom)",G150/ABS(F150))</f>
        <v>0.0</v>
      </c>
      <c r="I150" s="10">
        <f>'Tolerances'!$B$13</f>
        <v>0.005</v>
      </c>
      <c r="J150" s="15" t="str">
        <f>IF(F150=0,IF(G150&lt;=0.000001,"PASS","FAIL"),IF(H150&lt;=I150,"PASS","FAIL"))</f>
        <v>PASS</v>
      </c>
      <c r="K150" t="inlineStr">
        <is>
          <t xml:space="preserve"/>
        </is>
      </c>
    </row>
    <row r="151">
      <c r="A151" t="inlineStr">
        <is>
          <t xml:space="preserve">MSFT</t>
        </is>
      </c>
      <c r="B151" t="inlineStr">
        <is>
          <t xml:space="preserve">Table 4 -- Operating margin</t>
        </is>
      </c>
      <c r="C151" t="inlineStr">
        <is>
          <t xml:space="preserve">Margin=20.0000%</t>
        </is>
      </c>
      <c r="D151" t="inlineStr">
        <is>
          <t xml:space="preserve">FCF Year 1</t>
        </is>
      </c>
      <c r="E151" s="6">
        <v>56615381732.48968</v>
      </c>
      <c r="F151" s="6">
        <v>56615381732.48968</v>
      </c>
      <c r="G151" s="11">
        <f>ABS(E151-F151)</f>
        <v>0.0</v>
      </c>
      <c r="H151" s="10">
        <f>IF(F151=0,"n/a (zero denom)",G151/ABS(F151))</f>
        <v>0.0</v>
      </c>
      <c r="I151" s="10">
        <f>'Tolerances'!$B$6</f>
        <v>0.001</v>
      </c>
      <c r="J151" s="15" t="str">
        <f>IF(F151=0,IF(G151&lt;=0.000001,"PASS","FAIL"),IF(H151&lt;=I151,"PASS","FAIL"))</f>
        <v>PASS</v>
      </c>
      <c r="K151" t="inlineStr">
        <is>
          <t xml:space="preserve"/>
        </is>
      </c>
    </row>
    <row r="152">
      <c r="A152" t="inlineStr">
        <is>
          <t xml:space="preserve">MSFT</t>
        </is>
      </c>
      <c r="B152" t="inlineStr">
        <is>
          <t xml:space="preserve">Table 4 -- Operating margin</t>
        </is>
      </c>
      <c r="C152" t="inlineStr">
        <is>
          <t xml:space="preserve">Margin=20.0000%</t>
        </is>
      </c>
      <c r="D152" t="inlineStr">
        <is>
          <t xml:space="preserve">FCF Year 2</t>
        </is>
      </c>
      <c r="E152" s="6">
        <v>64394984760.8235</v>
      </c>
      <c r="F152" s="6">
        <v>64394984760.8235</v>
      </c>
      <c r="G152" s="11">
        <f>ABS(E152-F152)</f>
        <v>0.0</v>
      </c>
      <c r="H152" s="10">
        <f>IF(F152=0,"n/a (zero denom)",G152/ABS(F152))</f>
        <v>0.0</v>
      </c>
      <c r="I152" s="10">
        <f>'Tolerances'!$B$6</f>
        <v>0.001</v>
      </c>
      <c r="J152" s="15" t="str">
        <f>IF(F152=0,IF(G152&lt;=0.000001,"PASS","FAIL"),IF(H152&lt;=I152,"PASS","FAIL"))</f>
        <v>PASS</v>
      </c>
      <c r="K152" t="inlineStr">
        <is>
          <t xml:space="preserve"/>
        </is>
      </c>
    </row>
    <row r="153">
      <c r="A153" t="inlineStr">
        <is>
          <t xml:space="preserve">MSFT</t>
        </is>
      </c>
      <c r="B153" t="inlineStr">
        <is>
          <t xml:space="preserve">Table 4 -- Operating margin</t>
        </is>
      </c>
      <c r="C153" t="inlineStr">
        <is>
          <t xml:space="preserve">Margin=20.0000%</t>
        </is>
      </c>
      <c r="D153" t="inlineStr">
        <is>
          <t xml:space="preserve">FCF Year 3</t>
        </is>
      </c>
      <c r="E153" s="6">
        <v>73243594504.76036</v>
      </c>
      <c r="F153" s="6">
        <v>73243594504.76036</v>
      </c>
      <c r="G153" s="11">
        <f>ABS(E153-F153)</f>
        <v>0.0</v>
      </c>
      <c r="H153" s="10">
        <f>IF(F153=0,"n/a (zero denom)",G153/ABS(F153))</f>
        <v>0.0</v>
      </c>
      <c r="I153" s="10">
        <f>'Tolerances'!$B$6</f>
        <v>0.001</v>
      </c>
      <c r="J153" s="15" t="str">
        <f>IF(F153=0,IF(G153&lt;=0.000001,"PASS","FAIL"),IF(H153&lt;=I153,"PASS","FAIL"))</f>
        <v>PASS</v>
      </c>
      <c r="K153" t="inlineStr">
        <is>
          <t xml:space="preserve"/>
        </is>
      </c>
    </row>
    <row r="154">
      <c r="A154" t="inlineStr">
        <is>
          <t xml:space="preserve">MSFT</t>
        </is>
      </c>
      <c r="B154" t="inlineStr">
        <is>
          <t xml:space="preserve">Table 4 -- Operating margin</t>
        </is>
      </c>
      <c r="C154" t="inlineStr">
        <is>
          <t xml:space="preserve">Margin=20.0000%</t>
        </is>
      </c>
      <c r="D154" t="inlineStr">
        <is>
          <t xml:space="preserve">FCF Year 4</t>
        </is>
      </c>
      <c r="E154" s="6">
        <v>83308104752.30492</v>
      </c>
      <c r="F154" s="6">
        <v>83308104752.30492</v>
      </c>
      <c r="G154" s="11">
        <f>ABS(E154-F154)</f>
        <v>0.0</v>
      </c>
      <c r="H154" s="10">
        <f>IF(F154=0,"n/a (zero denom)",G154/ABS(F154))</f>
        <v>0.0</v>
      </c>
      <c r="I154" s="10">
        <f>'Tolerances'!$B$6</f>
        <v>0.001</v>
      </c>
      <c r="J154" s="15" t="str">
        <f>IF(F154=0,IF(G154&lt;=0.000001,"PASS","FAIL"),IF(H154&lt;=I154,"PASS","FAIL"))</f>
        <v>PASS</v>
      </c>
      <c r="K154" t="inlineStr">
        <is>
          <t xml:space="preserve"/>
        </is>
      </c>
    </row>
    <row r="155">
      <c r="A155" t="inlineStr">
        <is>
          <t xml:space="preserve">MSFT</t>
        </is>
      </c>
      <c r="B155" t="inlineStr">
        <is>
          <t xml:space="preserve">Table 4 -- Operating margin</t>
        </is>
      </c>
      <c r="C155" t="inlineStr">
        <is>
          <t xml:space="preserve">Margin=20.0000%</t>
        </is>
      </c>
      <c r="D155" t="inlineStr">
        <is>
          <t xml:space="preserve">FCF Year 5</t>
        </is>
      </c>
      <c r="E155" s="6">
        <v>94755594183.32394</v>
      </c>
      <c r="F155" s="6">
        <v>94755594183.32394</v>
      </c>
      <c r="G155" s="11">
        <f>ABS(E155-F155)</f>
        <v>0.0</v>
      </c>
      <c r="H155" s="10">
        <f>IF(F155=0,"n/a (zero denom)",G155/ABS(F155))</f>
        <v>0.0</v>
      </c>
      <c r="I155" s="10">
        <f>'Tolerances'!$B$6</f>
        <v>0.001</v>
      </c>
      <c r="J155" s="15" t="str">
        <f>IF(F155=0,IF(G155&lt;=0.000001,"PASS","FAIL"),IF(H155&lt;=I155,"PASS","FAIL"))</f>
        <v>PASS</v>
      </c>
      <c r="K155" t="inlineStr">
        <is>
          <t xml:space="preserve"/>
        </is>
      </c>
    </row>
    <row r="156">
      <c r="A156" t="inlineStr">
        <is>
          <t xml:space="preserve">MSFT</t>
        </is>
      </c>
      <c r="B156" t="inlineStr">
        <is>
          <t xml:space="preserve">Table 4 -- Operating margin</t>
        </is>
      </c>
      <c r="C156" t="inlineStr">
        <is>
          <t xml:space="preserve">Margin=20.0000%</t>
        </is>
      </c>
      <c r="D156" t="inlineStr">
        <is>
          <t xml:space="preserve">Terminal Value</t>
        </is>
      </c>
      <c r="E156" s="6">
        <v>1294920330822.3945</v>
      </c>
      <c r="F156" s="6">
        <v>1294920330822.3945</v>
      </c>
      <c r="G156" s="11">
        <f>ABS(E156-F156)</f>
        <v>0.0</v>
      </c>
      <c r="H156" s="10">
        <f>IF(F156=0,"n/a (zero denom)",G156/ABS(F156))</f>
        <v>0.0</v>
      </c>
      <c r="I156" s="10">
        <f>'Tolerances'!$B$7</f>
        <v>0.002</v>
      </c>
      <c r="J156" s="15" t="str">
        <f>IF(F156=0,IF(G156&lt;=0.000001,"PASS","FAIL"),IF(H156&lt;=I156,"PASS","FAIL"))</f>
        <v>PASS</v>
      </c>
      <c r="K156" t="inlineStr">
        <is>
          <t xml:space="preserve"/>
        </is>
      </c>
    </row>
    <row r="157">
      <c r="A157" t="inlineStr">
        <is>
          <t xml:space="preserve">MSFT</t>
        </is>
      </c>
      <c r="B157" t="inlineStr">
        <is>
          <t xml:space="preserve">Table 4 -- Operating margin</t>
        </is>
      </c>
      <c r="C157" t="inlineStr">
        <is>
          <t xml:space="preserve">Margin=20.0000%</t>
        </is>
      </c>
      <c r="D157" t="inlineStr">
        <is>
          <t xml:space="preserve">Enterprise Value</t>
        </is>
      </c>
      <c r="E157" s="6">
        <v>1079477846160.3477</v>
      </c>
      <c r="F157" s="6">
        <v>1079477846160.3477</v>
      </c>
      <c r="G157" s="11">
        <f>ABS(E157-F157)</f>
        <v>0.0</v>
      </c>
      <c r="H157" s="10">
        <f>IF(F157=0,"n/a (zero denom)",G157/ABS(F157))</f>
        <v>0.0</v>
      </c>
      <c r="I157" s="10">
        <f>'Tolerances'!$B$10</f>
        <v>0.002</v>
      </c>
      <c r="J157" s="15" t="str">
        <f>IF(F157=0,IF(G157&lt;=0.000001,"PASS","FAIL"),IF(H157&lt;=I157,"PASS","FAIL"))</f>
        <v>PASS</v>
      </c>
      <c r="K157" t="inlineStr">
        <is>
          <t xml:space="preserve"/>
        </is>
      </c>
    </row>
    <row r="158">
      <c r="A158" t="inlineStr">
        <is>
          <t xml:space="preserve">MSFT</t>
        </is>
      </c>
      <c r="B158" t="inlineStr">
        <is>
          <t xml:space="preserve">Table 4 -- Operating margin</t>
        </is>
      </c>
      <c r="C158" t="inlineStr">
        <is>
          <t xml:space="preserve">Margin=20.0000%</t>
        </is>
      </c>
      <c r="D158" t="inlineStr">
        <is>
          <t xml:space="preserve">Equity Value</t>
        </is>
      </c>
      <c r="E158" s="6">
        <v>1060118846160.3477</v>
      </c>
      <c r="F158" s="6">
        <v>1060118846160.3477</v>
      </c>
      <c r="G158" s="11">
        <f>ABS(E158-F158)</f>
        <v>0.0</v>
      </c>
      <c r="H158" s="10">
        <f>IF(F158=0,"n/a (zero denom)",G158/ABS(F158))</f>
        <v>0.0</v>
      </c>
      <c r="I158" s="10">
        <f>'Tolerances'!$B$11</f>
        <v>0.002</v>
      </c>
      <c r="J158" s="15" t="str">
        <f>IF(F158=0,IF(G158&lt;=0.000001,"PASS","FAIL"),IF(H158&lt;=I158,"PASS","FAIL"))</f>
        <v>PASS</v>
      </c>
      <c r="K158" t="inlineStr">
        <is>
          <t xml:space="preserve"/>
        </is>
      </c>
    </row>
    <row r="159">
      <c r="A159" t="inlineStr">
        <is>
          <t xml:space="preserve">MSFT</t>
        </is>
      </c>
      <c r="B159" t="inlineStr">
        <is>
          <t xml:space="preserve">Table 4 -- Operating margin</t>
        </is>
      </c>
      <c r="C159" t="inlineStr">
        <is>
          <t xml:space="preserve">Margin=20.0000%</t>
        </is>
      </c>
      <c r="D159" t="inlineStr">
        <is>
          <t xml:space="preserve">Intrinsic Value per Share</t>
        </is>
      </c>
      <c r="E159" s="7">
        <v>142.76646038264067</v>
      </c>
      <c r="F159" s="7">
        <v>142.76646038264067</v>
      </c>
      <c r="G159" s="12">
        <f>ABS(E159-F159)</f>
        <v>0.0</v>
      </c>
      <c r="H159" s="10">
        <f>IF(F159=0,"n/a (zero denom)",G159/ABS(F159))</f>
        <v>0.0</v>
      </c>
      <c r="I159" s="10">
        <f>'Tolerances'!$B$13</f>
        <v>0.005</v>
      </c>
      <c r="J159" s="15" t="str">
        <f>IF(F159=0,IF(G159&lt;=0.000001,"PASS","FAIL"),IF(H159&lt;=I159,"PASS","FAIL"))</f>
        <v>PASS</v>
      </c>
      <c r="K159" t="inlineStr">
        <is>
          <t xml:space="preserve"/>
        </is>
      </c>
    </row>
    <row r="160">
      <c r="A160" t="inlineStr">
        <is>
          <t xml:space="preserve">MSFT</t>
        </is>
      </c>
      <c r="B160" t="inlineStr">
        <is>
          <t xml:space="preserve">Table 4 -- Operating margin</t>
        </is>
      </c>
      <c r="C160" t="inlineStr">
        <is>
          <t xml:space="preserve">Margin=30.0000%</t>
        </is>
      </c>
      <c r="D160" t="inlineStr">
        <is>
          <t xml:space="preserve">FCF Year 1</t>
        </is>
      </c>
      <c r="E160" s="6">
        <v>87038252458.38225</v>
      </c>
      <c r="F160" s="6">
        <v>87038252458.38225</v>
      </c>
      <c r="G160" s="11">
        <f>ABS(E160-F160)</f>
        <v>0.0</v>
      </c>
      <c r="H160" s="10">
        <f>IF(F160=0,"n/a (zero denom)",G160/ABS(F160))</f>
        <v>0.0</v>
      </c>
      <c r="I160" s="10">
        <f>'Tolerances'!$B$6</f>
        <v>0.001</v>
      </c>
      <c r="J160" s="15" t="str">
        <f>IF(F160=0,IF(G160&lt;=0.000001,"PASS","FAIL"),IF(H160&lt;=I160,"PASS","FAIL"))</f>
        <v>PASS</v>
      </c>
      <c r="K160" t="inlineStr">
        <is>
          <t xml:space="preserve"/>
        </is>
      </c>
    </row>
    <row r="161">
      <c r="A161" t="inlineStr">
        <is>
          <t xml:space="preserve">MSFT</t>
        </is>
      </c>
      <c r="B161" t="inlineStr">
        <is>
          <t xml:space="preserve">Table 4 -- Operating margin</t>
        </is>
      </c>
      <c r="C161" t="inlineStr">
        <is>
          <t xml:space="preserve">Margin=30.0000%</t>
        </is>
      </c>
      <c r="D161" t="inlineStr">
        <is>
          <t xml:space="preserve">FCF Year 2</t>
        </is>
      </c>
      <c r="E161" s="6">
        <v>98998306982.1785</v>
      </c>
      <c r="F161" s="6">
        <v>98998306982.1785</v>
      </c>
      <c r="G161" s="11">
        <f>ABS(E161-F161)</f>
        <v>0.0</v>
      </c>
      <c r="H161" s="10">
        <f>IF(F161=0,"n/a (zero denom)",G161/ABS(F161))</f>
        <v>0.0</v>
      </c>
      <c r="I161" s="10">
        <f>'Tolerances'!$B$6</f>
        <v>0.001</v>
      </c>
      <c r="J161" s="15" t="str">
        <f>IF(F161=0,IF(G161&lt;=0.000001,"PASS","FAIL"),IF(H161&lt;=I161,"PASS","FAIL"))</f>
        <v>PASS</v>
      </c>
      <c r="K161" t="inlineStr">
        <is>
          <t xml:space="preserve"/>
        </is>
      </c>
    </row>
    <row r="162">
      <c r="A162" t="inlineStr">
        <is>
          <t xml:space="preserve">MSFT</t>
        </is>
      </c>
      <c r="B162" t="inlineStr">
        <is>
          <t xml:space="preserve">Table 4 -- Operating margin</t>
        </is>
      </c>
      <c r="C162" t="inlineStr">
        <is>
          <t xml:space="preserve">Margin=30.0000%</t>
        </is>
      </c>
      <c r="D162" t="inlineStr">
        <is>
          <t xml:space="preserve">FCF Year 3</t>
        </is>
      </c>
      <c r="E162" s="6">
        <v>112601810221.59064</v>
      </c>
      <c r="F162" s="6">
        <v>112601810221.59064</v>
      </c>
      <c r="G162" s="11">
        <f>ABS(E162-F162)</f>
        <v>0.0</v>
      </c>
      <c r="H162" s="10">
        <f>IF(F162=0,"n/a (zero denom)",G162/ABS(F162))</f>
        <v>0.0</v>
      </c>
      <c r="I162" s="10">
        <f>'Tolerances'!$B$6</f>
        <v>0.001</v>
      </c>
      <c r="J162" s="15" t="str">
        <f>IF(F162=0,IF(G162&lt;=0.000001,"PASS","FAIL"),IF(H162&lt;=I162,"PASS","FAIL"))</f>
        <v>PASS</v>
      </c>
      <c r="K162" t="inlineStr">
        <is>
          <t xml:space="preserve"/>
        </is>
      </c>
    </row>
    <row r="163">
      <c r="A163" t="inlineStr">
        <is>
          <t xml:space="preserve">MSFT</t>
        </is>
      </c>
      <c r="B163" t="inlineStr">
        <is>
          <t xml:space="preserve">Table 4 -- Operating margin</t>
        </is>
      </c>
      <c r="C163" t="inlineStr">
        <is>
          <t xml:space="preserve">Margin=30.0000%</t>
        </is>
      </c>
      <c r="D163" t="inlineStr">
        <is>
          <t xml:space="preserve">FCF Year 4</t>
        </is>
      </c>
      <c r="E163" s="6">
        <v>128074590886.30267</v>
      </c>
      <c r="F163" s="6">
        <v>128074590886.30267</v>
      </c>
      <c r="G163" s="11">
        <f>ABS(E163-F163)</f>
        <v>0.0</v>
      </c>
      <c r="H163" s="10">
        <f>IF(F163=0,"n/a (zero denom)",G163/ABS(F163))</f>
        <v>0.0</v>
      </c>
      <c r="I163" s="10">
        <f>'Tolerances'!$B$6</f>
        <v>0.001</v>
      </c>
      <c r="J163" s="15" t="str">
        <f>IF(F163=0,IF(G163&lt;=0.000001,"PASS","FAIL"),IF(H163&lt;=I163,"PASS","FAIL"))</f>
        <v>PASS</v>
      </c>
      <c r="K163" t="inlineStr">
        <is>
          <t xml:space="preserve"/>
        </is>
      </c>
    </row>
    <row r="164">
      <c r="A164" t="inlineStr">
        <is>
          <t xml:space="preserve">MSFT</t>
        </is>
      </c>
      <c r="B164" t="inlineStr">
        <is>
          <t xml:space="preserve">Table 4 -- Operating margin</t>
        </is>
      </c>
      <c r="C164" t="inlineStr">
        <is>
          <t xml:space="preserve">Margin=30.0000%</t>
        </is>
      </c>
      <c r="D164" t="inlineStr">
        <is>
          <t xml:space="preserve">FCF Year 5</t>
        </is>
      </c>
      <c r="E164" s="6">
        <v>145673509141.76178</v>
      </c>
      <c r="F164" s="6">
        <v>145673509141.76178</v>
      </c>
      <c r="G164" s="11">
        <f>ABS(E164-F164)</f>
        <v>0.0</v>
      </c>
      <c r="H164" s="10">
        <f>IF(F164=0,"n/a (zero denom)",G164/ABS(F164))</f>
        <v>0.0</v>
      </c>
      <c r="I164" s="10">
        <f>'Tolerances'!$B$6</f>
        <v>0.001</v>
      </c>
      <c r="J164" s="15" t="str">
        <f>IF(F164=0,IF(G164&lt;=0.000001,"PASS","FAIL"),IF(H164&lt;=I164,"PASS","FAIL"))</f>
        <v>PASS</v>
      </c>
      <c r="K164" t="inlineStr">
        <is>
          <t xml:space="preserve"/>
        </is>
      </c>
    </row>
    <row r="165">
      <c r="A165" t="inlineStr">
        <is>
          <t xml:space="preserve">MSFT</t>
        </is>
      </c>
      <c r="B165" t="inlineStr">
        <is>
          <t xml:space="preserve">Table 4 -- Operating margin</t>
        </is>
      </c>
      <c r="C165" t="inlineStr">
        <is>
          <t xml:space="preserve">Margin=30.0000%</t>
        </is>
      </c>
      <c r="D165" t="inlineStr">
        <is>
          <t xml:space="preserve">Terminal Value</t>
        </is>
      </c>
      <c r="E165" s="6">
        <v>1990759387619.4312</v>
      </c>
      <c r="F165" s="6">
        <v>1990759387619.4312</v>
      </c>
      <c r="G165" s="11">
        <f>ABS(E165-F165)</f>
        <v>0.0</v>
      </c>
      <c r="H165" s="10">
        <f>IF(F165=0,"n/a (zero denom)",G165/ABS(F165))</f>
        <v>0.0</v>
      </c>
      <c r="I165" s="10">
        <f>'Tolerances'!$B$7</f>
        <v>0.002</v>
      </c>
      <c r="J165" s="15" t="str">
        <f>IF(F165=0,IF(G165&lt;=0.000001,"PASS","FAIL"),IF(H165&lt;=I165,"PASS","FAIL"))</f>
        <v>PASS</v>
      </c>
      <c r="K165" t="inlineStr">
        <is>
          <t xml:space="preserve"/>
        </is>
      </c>
    </row>
    <row r="166">
      <c r="A166" t="inlineStr">
        <is>
          <t xml:space="preserve">MSFT</t>
        </is>
      </c>
      <c r="B166" t="inlineStr">
        <is>
          <t xml:space="preserve">Table 4 -- Operating margin</t>
        </is>
      </c>
      <c r="C166" t="inlineStr">
        <is>
          <t xml:space="preserve">Margin=30.0000%</t>
        </is>
      </c>
      <c r="D166" t="inlineStr">
        <is>
          <t xml:space="preserve">Enterprise Value</t>
        </is>
      </c>
      <c r="E166" s="6">
        <v>1659546618289.7246</v>
      </c>
      <c r="F166" s="6">
        <v>1659546618289.7246</v>
      </c>
      <c r="G166" s="11">
        <f>ABS(E166-F166)</f>
        <v>0.0</v>
      </c>
      <c r="H166" s="10">
        <f>IF(F166=0,"n/a (zero denom)",G166/ABS(F166))</f>
        <v>0.0</v>
      </c>
      <c r="I166" s="10">
        <f>'Tolerances'!$B$10</f>
        <v>0.002</v>
      </c>
      <c r="J166" s="15" t="str">
        <f>IF(F166=0,IF(G166&lt;=0.000001,"PASS","FAIL"),IF(H166&lt;=I166,"PASS","FAIL"))</f>
        <v>PASS</v>
      </c>
      <c r="K166" t="inlineStr">
        <is>
          <t xml:space="preserve"/>
        </is>
      </c>
    </row>
    <row r="167">
      <c r="A167" t="inlineStr">
        <is>
          <t xml:space="preserve">MSFT</t>
        </is>
      </c>
      <c r="B167" t="inlineStr">
        <is>
          <t xml:space="preserve">Table 4 -- Operating margin</t>
        </is>
      </c>
      <c r="C167" t="inlineStr">
        <is>
          <t xml:space="preserve">Margin=30.0000%</t>
        </is>
      </c>
      <c r="D167" t="inlineStr">
        <is>
          <t xml:space="preserve">Equity Value</t>
        </is>
      </c>
      <c r="E167" s="6">
        <v>1640187618289.7246</v>
      </c>
      <c r="F167" s="6">
        <v>1640187618289.7246</v>
      </c>
      <c r="G167" s="11">
        <f>ABS(E167-F167)</f>
        <v>0.0</v>
      </c>
      <c r="H167" s="10">
        <f>IF(F167=0,"n/a (zero denom)",G167/ABS(F167))</f>
        <v>0.0</v>
      </c>
      <c r="I167" s="10">
        <f>'Tolerances'!$B$11</f>
        <v>0.002</v>
      </c>
      <c r="J167" s="15" t="str">
        <f>IF(F167=0,IF(G167&lt;=0.000001,"PASS","FAIL"),IF(H167&lt;=I167,"PASS","FAIL"))</f>
        <v>PASS</v>
      </c>
      <c r="K167" t="inlineStr">
        <is>
          <t xml:space="preserve"/>
        </is>
      </c>
    </row>
    <row r="168">
      <c r="A168" t="inlineStr">
        <is>
          <t xml:space="preserve">MSFT</t>
        </is>
      </c>
      <c r="B168" t="inlineStr">
        <is>
          <t xml:space="preserve">Table 4 -- Operating margin</t>
        </is>
      </c>
      <c r="C168" t="inlineStr">
        <is>
          <t xml:space="preserve">Margin=30.0000%</t>
        </is>
      </c>
      <c r="D168" t="inlineStr">
        <is>
          <t xml:space="preserve">Intrinsic Value per Share</t>
        </is>
      </c>
      <c r="E168" s="7">
        <v>220.88446165708427</v>
      </c>
      <c r="F168" s="7">
        <v>220.88446165708427</v>
      </c>
      <c r="G168" s="12">
        <f>ABS(E168-F168)</f>
        <v>0.0</v>
      </c>
      <c r="H168" s="10">
        <f>IF(F168=0,"n/a (zero denom)",G168/ABS(F168))</f>
        <v>0.0</v>
      </c>
      <c r="I168" s="10">
        <f>'Tolerances'!$B$13</f>
        <v>0.005</v>
      </c>
      <c r="J168" s="15" t="str">
        <f>IF(F168=0,IF(G168&lt;=0.000001,"PASS","FAIL"),IF(H168&lt;=I168,"PASS","FAIL"))</f>
        <v>PASS</v>
      </c>
      <c r="K168" t="inlineStr">
        <is>
          <t xml:space="preserve"/>
        </is>
      </c>
    </row>
    <row r="169">
      <c r="A169" t="inlineStr">
        <is>
          <t xml:space="preserve">MSFT</t>
        </is>
      </c>
      <c r="B169" t="inlineStr">
        <is>
          <t xml:space="preserve">Table 4 -- Operating margin</t>
        </is>
      </c>
      <c r="C169" t="inlineStr">
        <is>
          <t xml:space="preserve">Margin=40.0000%</t>
        </is>
      </c>
      <c r="D169" t="inlineStr">
        <is>
          <t xml:space="preserve">FCF Year 1</t>
        </is>
      </c>
      <c r="E169" s="6">
        <v>117461123184.27484</v>
      </c>
      <c r="F169" s="6">
        <v>117461123184.27484</v>
      </c>
      <c r="G169" s="11">
        <f>ABS(E169-F169)</f>
        <v>0.0</v>
      </c>
      <c r="H169" s="10">
        <f>IF(F169=0,"n/a (zero denom)",G169/ABS(F169))</f>
        <v>0.0</v>
      </c>
      <c r="I169" s="10">
        <f>'Tolerances'!$B$6</f>
        <v>0.001</v>
      </c>
      <c r="J169" s="15" t="str">
        <f>IF(F169=0,IF(G169&lt;=0.000001,"PASS","FAIL"),IF(H169&lt;=I169,"PASS","FAIL"))</f>
        <v>PASS</v>
      </c>
      <c r="K169" t="inlineStr">
        <is>
          <t xml:space="preserve"/>
        </is>
      </c>
    </row>
    <row r="170">
      <c r="A170" t="inlineStr">
        <is>
          <t xml:space="preserve">MSFT</t>
        </is>
      </c>
      <c r="B170" t="inlineStr">
        <is>
          <t xml:space="preserve">Table 4 -- Operating margin</t>
        </is>
      </c>
      <c r="C170" t="inlineStr">
        <is>
          <t xml:space="preserve">Margin=40.0000%</t>
        </is>
      </c>
      <c r="D170" t="inlineStr">
        <is>
          <t xml:space="preserve">FCF Year 2</t>
        </is>
      </c>
      <c r="E170" s="6">
        <v>133601629203.5335</v>
      </c>
      <c r="F170" s="6">
        <v>133601629203.5335</v>
      </c>
      <c r="G170" s="11">
        <f>ABS(E170-F170)</f>
        <v>0.0</v>
      </c>
      <c r="H170" s="10">
        <f>IF(F170=0,"n/a (zero denom)",G170/ABS(F170))</f>
        <v>0.0</v>
      </c>
      <c r="I170" s="10">
        <f>'Tolerances'!$B$6</f>
        <v>0.001</v>
      </c>
      <c r="J170" s="15" t="str">
        <f>IF(F170=0,IF(G170&lt;=0.000001,"PASS","FAIL"),IF(H170&lt;=I170,"PASS","FAIL"))</f>
        <v>PASS</v>
      </c>
      <c r="K170" t="inlineStr">
        <is>
          <t xml:space="preserve"/>
        </is>
      </c>
    </row>
    <row r="171">
      <c r="A171" t="inlineStr">
        <is>
          <t xml:space="preserve">MSFT</t>
        </is>
      </c>
      <c r="B171" t="inlineStr">
        <is>
          <t xml:space="preserve">Table 4 -- Operating margin</t>
        </is>
      </c>
      <c r="C171" t="inlineStr">
        <is>
          <t xml:space="preserve">Margin=40.0000%</t>
        </is>
      </c>
      <c r="D171" t="inlineStr">
        <is>
          <t xml:space="preserve">FCF Year 3</t>
        </is>
      </c>
      <c r="E171" s="6">
        <v>151960025938.42093</v>
      </c>
      <c r="F171" s="6">
        <v>151960025938.42093</v>
      </c>
      <c r="G171" s="11">
        <f>ABS(E171-F171)</f>
        <v>0.0</v>
      </c>
      <c r="H171" s="10">
        <f>IF(F171=0,"n/a (zero denom)",G171/ABS(F171))</f>
        <v>0.0</v>
      </c>
      <c r="I171" s="10">
        <f>'Tolerances'!$B$6</f>
        <v>0.001</v>
      </c>
      <c r="J171" s="15" t="str">
        <f>IF(F171=0,IF(G171&lt;=0.000001,"PASS","FAIL"),IF(H171&lt;=I171,"PASS","FAIL"))</f>
        <v>PASS</v>
      </c>
      <c r="K171" t="inlineStr">
        <is>
          <t xml:space="preserve"/>
        </is>
      </c>
    </row>
    <row r="172">
      <c r="A172" t="inlineStr">
        <is>
          <t xml:space="preserve">MSFT</t>
        </is>
      </c>
      <c r="B172" t="inlineStr">
        <is>
          <t xml:space="preserve">Table 4 -- Operating margin</t>
        </is>
      </c>
      <c r="C172" t="inlineStr">
        <is>
          <t xml:space="preserve">Margin=40.0000%</t>
        </is>
      </c>
      <c r="D172" t="inlineStr">
        <is>
          <t xml:space="preserve">FCF Year 4</t>
        </is>
      </c>
      <c r="E172" s="6">
        <v>172841077020.30048</v>
      </c>
      <c r="F172" s="6">
        <v>172841077020.30048</v>
      </c>
      <c r="G172" s="11">
        <f>ABS(E172-F172)</f>
        <v>0.0</v>
      </c>
      <c r="H172" s="10">
        <f>IF(F172=0,"n/a (zero denom)",G172/ABS(F172))</f>
        <v>0.0</v>
      </c>
      <c r="I172" s="10">
        <f>'Tolerances'!$B$6</f>
        <v>0.001</v>
      </c>
      <c r="J172" s="15" t="str">
        <f>IF(F172=0,IF(G172&lt;=0.000001,"PASS","FAIL"),IF(H172&lt;=I172,"PASS","FAIL"))</f>
        <v>PASS</v>
      </c>
      <c r="K172" t="inlineStr">
        <is>
          <t xml:space="preserve"/>
        </is>
      </c>
    </row>
    <row r="173">
      <c r="A173" t="inlineStr">
        <is>
          <t xml:space="preserve">MSFT</t>
        </is>
      </c>
      <c r="B173" t="inlineStr">
        <is>
          <t xml:space="preserve">Table 4 -- Operating margin</t>
        </is>
      </c>
      <c r="C173" t="inlineStr">
        <is>
          <t xml:space="preserve">Margin=40.0000%</t>
        </is>
      </c>
      <c r="D173" t="inlineStr">
        <is>
          <t xml:space="preserve">FCF Year 5</t>
        </is>
      </c>
      <c r="E173" s="6">
        <v>196591424100.1996</v>
      </c>
      <c r="F173" s="6">
        <v>196591424100.1996</v>
      </c>
      <c r="G173" s="11">
        <f>ABS(E173-F173)</f>
        <v>0.0</v>
      </c>
      <c r="H173" s="10">
        <f>IF(F173=0,"n/a (zero denom)",G173/ABS(F173))</f>
        <v>0.0</v>
      </c>
      <c r="I173" s="10">
        <f>'Tolerances'!$B$6</f>
        <v>0.001</v>
      </c>
      <c r="J173" s="15" t="str">
        <f>IF(F173=0,IF(G173&lt;=0.000001,"PASS","FAIL"),IF(H173&lt;=I173,"PASS","FAIL"))</f>
        <v>PASS</v>
      </c>
      <c r="K173" t="inlineStr">
        <is>
          <t xml:space="preserve"/>
        </is>
      </c>
    </row>
    <row r="174">
      <c r="A174" t="inlineStr">
        <is>
          <t xml:space="preserve">MSFT</t>
        </is>
      </c>
      <c r="B174" t="inlineStr">
        <is>
          <t xml:space="preserve">Table 4 -- Operating margin</t>
        </is>
      </c>
      <c r="C174" t="inlineStr">
        <is>
          <t xml:space="preserve">Margin=40.0000%</t>
        </is>
      </c>
      <c r="D174" t="inlineStr">
        <is>
          <t xml:space="preserve">Terminal Value</t>
        </is>
      </c>
      <c r="E174" s="6">
        <v>2686598444416.467</v>
      </c>
      <c r="F174" s="6">
        <v>2686598444416.467</v>
      </c>
      <c r="G174" s="11">
        <f>ABS(E174-F174)</f>
        <v>0.0</v>
      </c>
      <c r="H174" s="10">
        <f>IF(F174=0,"n/a (zero denom)",G174/ABS(F174))</f>
        <v>0.0</v>
      </c>
      <c r="I174" s="10">
        <f>'Tolerances'!$B$7</f>
        <v>0.002</v>
      </c>
      <c r="J174" s="15" t="str">
        <f>IF(F174=0,IF(G174&lt;=0.000001,"PASS","FAIL"),IF(H174&lt;=I174,"PASS","FAIL"))</f>
        <v>PASS</v>
      </c>
      <c r="K174" t="inlineStr">
        <is>
          <t xml:space="preserve"/>
        </is>
      </c>
    </row>
    <row r="175">
      <c r="A175" t="inlineStr">
        <is>
          <t xml:space="preserve">MSFT</t>
        </is>
      </c>
      <c r="B175" t="inlineStr">
        <is>
          <t xml:space="preserve">Table 4 -- Operating margin</t>
        </is>
      </c>
      <c r="C175" t="inlineStr">
        <is>
          <t xml:space="preserve">Margin=40.0000%</t>
        </is>
      </c>
      <c r="D175" t="inlineStr">
        <is>
          <t xml:space="preserve">Enterprise Value</t>
        </is>
      </c>
      <c r="E175" s="6">
        <v>2239615390419.1006</v>
      </c>
      <c r="F175" s="6">
        <v>2239615390419.1006</v>
      </c>
      <c r="G175" s="11">
        <f>ABS(E175-F175)</f>
        <v>0.0</v>
      </c>
      <c r="H175" s="10">
        <f>IF(F175=0,"n/a (zero denom)",G175/ABS(F175))</f>
        <v>0.0</v>
      </c>
      <c r="I175" s="10">
        <f>'Tolerances'!$B$10</f>
        <v>0.002</v>
      </c>
      <c r="J175" s="15" t="str">
        <f>IF(F175=0,IF(G175&lt;=0.000001,"PASS","FAIL"),IF(H175&lt;=I175,"PASS","FAIL"))</f>
        <v>PASS</v>
      </c>
      <c r="K175" t="inlineStr">
        <is>
          <t xml:space="preserve"/>
        </is>
      </c>
    </row>
    <row r="176">
      <c r="A176" t="inlineStr">
        <is>
          <t xml:space="preserve">MSFT</t>
        </is>
      </c>
      <c r="B176" t="inlineStr">
        <is>
          <t xml:space="preserve">Table 4 -- Operating margin</t>
        </is>
      </c>
      <c r="C176" t="inlineStr">
        <is>
          <t xml:space="preserve">Margin=40.0000%</t>
        </is>
      </c>
      <c r="D176" t="inlineStr">
        <is>
          <t xml:space="preserve">Equity Value</t>
        </is>
      </c>
      <c r="E176" s="6">
        <v>2220256390419.1006</v>
      </c>
      <c r="F176" s="6">
        <v>2220256390419.1006</v>
      </c>
      <c r="G176" s="11">
        <f>ABS(E176-F176)</f>
        <v>0.0</v>
      </c>
      <c r="H176" s="10">
        <f>IF(F176=0,"n/a (zero denom)",G176/ABS(F176))</f>
        <v>0.0</v>
      </c>
      <c r="I176" s="10">
        <f>'Tolerances'!$B$11</f>
        <v>0.002</v>
      </c>
      <c r="J176" s="15" t="str">
        <f>IF(F176=0,IF(G176&lt;=0.000001,"PASS","FAIL"),IF(H176&lt;=I176,"PASS","FAIL"))</f>
        <v>PASS</v>
      </c>
      <c r="K176" t="inlineStr">
        <is>
          <t xml:space="preserve"/>
        </is>
      </c>
    </row>
    <row r="177">
      <c r="A177" t="inlineStr">
        <is>
          <t xml:space="preserve">MSFT</t>
        </is>
      </c>
      <c r="B177" t="inlineStr">
        <is>
          <t xml:space="preserve">Table 4 -- Operating margin</t>
        </is>
      </c>
      <c r="C177" t="inlineStr">
        <is>
          <t xml:space="preserve">Margin=40.0000%</t>
        </is>
      </c>
      <c r="D177" t="inlineStr">
        <is>
          <t xml:space="preserve">Intrinsic Value per Share</t>
        </is>
      </c>
      <c r="E177" s="7">
        <v>299.00246293152776</v>
      </c>
      <c r="F177" s="7">
        <v>299.00246293152776</v>
      </c>
      <c r="G177" s="12">
        <f>ABS(E177-F177)</f>
        <v>0.0</v>
      </c>
      <c r="H177" s="10">
        <f>IF(F177=0,"n/a (zero denom)",G177/ABS(F177))</f>
        <v>0.0</v>
      </c>
      <c r="I177" s="10">
        <f>'Tolerances'!$B$13</f>
        <v>0.005</v>
      </c>
      <c r="J177" s="15" t="str">
        <f>IF(F177=0,IF(G177&lt;=0.000001,"PASS","FAIL"),IF(H177&lt;=I177,"PASS","FAIL"))</f>
        <v>PASS</v>
      </c>
      <c r="K177" t="inlineStr">
        <is>
          <t xml:space="preserve"/>
        </is>
      </c>
    </row>
    <row r="178">
      <c r="A178" t="inlineStr">
        <is>
          <t xml:space="preserve">MSFT</t>
        </is>
      </c>
      <c r="B178" t="inlineStr">
        <is>
          <t xml:space="preserve">Table 4 -- Operating margin</t>
        </is>
      </c>
      <c r="C178" t="inlineStr">
        <is>
          <t xml:space="preserve">Margin=50.0000%</t>
        </is>
      </c>
      <c r="D178" t="inlineStr">
        <is>
          <t xml:space="preserve">FCF Year 1</t>
        </is>
      </c>
      <c r="E178" s="6">
        <v>147883993910.16742</v>
      </c>
      <c r="F178" s="6">
        <v>147883993910.16742</v>
      </c>
      <c r="G178" s="11">
        <f>ABS(E178-F178)</f>
        <v>0.0</v>
      </c>
      <c r="H178" s="10">
        <f>IF(F178=0,"n/a (zero denom)",G178/ABS(F178))</f>
        <v>0.0</v>
      </c>
      <c r="I178" s="10">
        <f>'Tolerances'!$B$6</f>
        <v>0.001</v>
      </c>
      <c r="J178" s="15" t="str">
        <f>IF(F178=0,IF(G178&lt;=0.000001,"PASS","FAIL"),IF(H178&lt;=I178,"PASS","FAIL"))</f>
        <v>PASS</v>
      </c>
      <c r="K178" t="inlineStr">
        <is>
          <t xml:space="preserve"/>
        </is>
      </c>
    </row>
    <row r="179">
      <c r="A179" t="inlineStr">
        <is>
          <t xml:space="preserve">MSFT</t>
        </is>
      </c>
      <c r="B179" t="inlineStr">
        <is>
          <t xml:space="preserve">Table 4 -- Operating margin</t>
        </is>
      </c>
      <c r="C179" t="inlineStr">
        <is>
          <t xml:space="preserve">Margin=50.0000%</t>
        </is>
      </c>
      <c r="D179" t="inlineStr">
        <is>
          <t xml:space="preserve">FCF Year 2</t>
        </is>
      </c>
      <c r="E179" s="6">
        <v>168204951424.8885</v>
      </c>
      <c r="F179" s="6">
        <v>168204951424.8885</v>
      </c>
      <c r="G179" s="11">
        <f>ABS(E179-F179)</f>
        <v>0.0</v>
      </c>
      <c r="H179" s="10">
        <f>IF(F179=0,"n/a (zero denom)",G179/ABS(F179))</f>
        <v>0.0</v>
      </c>
      <c r="I179" s="10">
        <f>'Tolerances'!$B$6</f>
        <v>0.001</v>
      </c>
      <c r="J179" s="15" t="str">
        <f>IF(F179=0,IF(G179&lt;=0.000001,"PASS","FAIL"),IF(H179&lt;=I179,"PASS","FAIL"))</f>
        <v>PASS</v>
      </c>
      <c r="K179" t="inlineStr">
        <is>
          <t xml:space="preserve"/>
        </is>
      </c>
    </row>
    <row r="180">
      <c r="A180" t="inlineStr">
        <is>
          <t xml:space="preserve">MSFT</t>
        </is>
      </c>
      <c r="B180" t="inlineStr">
        <is>
          <t xml:space="preserve">Table 4 -- Operating margin</t>
        </is>
      </c>
      <c r="C180" t="inlineStr">
        <is>
          <t xml:space="preserve">Margin=50.0000%</t>
        </is>
      </c>
      <c r="D180" t="inlineStr">
        <is>
          <t xml:space="preserve">FCF Year 3</t>
        </is>
      </c>
      <c r="E180" s="6">
        <v>191318241655.2512</v>
      </c>
      <c r="F180" s="6">
        <v>191318241655.2512</v>
      </c>
      <c r="G180" s="11">
        <f>ABS(E180-F180)</f>
        <v>0.0</v>
      </c>
      <c r="H180" s="10">
        <f>IF(F180=0,"n/a (zero denom)",G180/ABS(F180))</f>
        <v>0.0</v>
      </c>
      <c r="I180" s="10">
        <f>'Tolerances'!$B$6</f>
        <v>0.001</v>
      </c>
      <c r="J180" s="15" t="str">
        <f>IF(F180=0,IF(G180&lt;=0.000001,"PASS","FAIL"),IF(H180&lt;=I180,"PASS","FAIL"))</f>
        <v>PASS</v>
      </c>
      <c r="K180" t="inlineStr">
        <is>
          <t xml:space="preserve"/>
        </is>
      </c>
    </row>
    <row r="181">
      <c r="A181" t="inlineStr">
        <is>
          <t xml:space="preserve">MSFT</t>
        </is>
      </c>
      <c r="B181" t="inlineStr">
        <is>
          <t xml:space="preserve">Table 4 -- Operating margin</t>
        </is>
      </c>
      <c r="C181" t="inlineStr">
        <is>
          <t xml:space="preserve">Margin=50.0000%</t>
        </is>
      </c>
      <c r="D181" t="inlineStr">
        <is>
          <t xml:space="preserve">FCF Year 4</t>
        </is>
      </c>
      <c r="E181" s="6">
        <v>217607563154.29822</v>
      </c>
      <c r="F181" s="6">
        <v>217607563154.29822</v>
      </c>
      <c r="G181" s="11">
        <f>ABS(E181-F181)</f>
        <v>0.0</v>
      </c>
      <c r="H181" s="10">
        <f>IF(F181=0,"n/a (zero denom)",G181/ABS(F181))</f>
        <v>0.0</v>
      </c>
      <c r="I181" s="10">
        <f>'Tolerances'!$B$6</f>
        <v>0.001</v>
      </c>
      <c r="J181" s="15" t="str">
        <f>IF(F181=0,IF(G181&lt;=0.000001,"PASS","FAIL"),IF(H181&lt;=I181,"PASS","FAIL"))</f>
        <v>PASS</v>
      </c>
      <c r="K181" t="inlineStr">
        <is>
          <t xml:space="preserve"/>
        </is>
      </c>
    </row>
    <row r="182">
      <c r="A182" t="inlineStr">
        <is>
          <t xml:space="preserve">MSFT</t>
        </is>
      </c>
      <c r="B182" t="inlineStr">
        <is>
          <t xml:space="preserve">Table 4 -- Operating margin</t>
        </is>
      </c>
      <c r="C182" t="inlineStr">
        <is>
          <t xml:space="preserve">Margin=50.0000%</t>
        </is>
      </c>
      <c r="D182" t="inlineStr">
        <is>
          <t xml:space="preserve">FCF Year 5</t>
        </is>
      </c>
      <c r="E182" s="6">
        <v>247509339058.6374</v>
      </c>
      <c r="F182" s="6">
        <v>247509339058.6374</v>
      </c>
      <c r="G182" s="11">
        <f>ABS(E182-F182)</f>
        <v>0.0</v>
      </c>
      <c r="H182" s="10">
        <f>IF(F182=0,"n/a (zero denom)",G182/ABS(F182))</f>
        <v>0.0</v>
      </c>
      <c r="I182" s="10">
        <f>'Tolerances'!$B$6</f>
        <v>0.001</v>
      </c>
      <c r="J182" s="15" t="str">
        <f>IF(F182=0,IF(G182&lt;=0.000001,"PASS","FAIL"),IF(H182&lt;=I182,"PASS","FAIL"))</f>
        <v>PASS</v>
      </c>
      <c r="K182" t="inlineStr">
        <is>
          <t xml:space="preserve"/>
        </is>
      </c>
    </row>
    <row r="183">
      <c r="A183" t="inlineStr">
        <is>
          <t xml:space="preserve">MSFT</t>
        </is>
      </c>
      <c r="B183" t="inlineStr">
        <is>
          <t xml:space="preserve">Table 4 -- Operating margin</t>
        </is>
      </c>
      <c r="C183" t="inlineStr">
        <is>
          <t xml:space="preserve">Margin=50.0000%</t>
        </is>
      </c>
      <c r="D183" t="inlineStr">
        <is>
          <t xml:space="preserve">Terminal Value</t>
        </is>
      </c>
      <c r="E183" s="6">
        <v>3382437501213.503</v>
      </c>
      <c r="F183" s="6">
        <v>3382437501213.503</v>
      </c>
      <c r="G183" s="11">
        <f>ABS(E183-F183)</f>
        <v>0.0</v>
      </c>
      <c r="H183" s="10">
        <f>IF(F183=0,"n/a (zero denom)",G183/ABS(F183))</f>
        <v>0.0</v>
      </c>
      <c r="I183" s="10">
        <f>'Tolerances'!$B$7</f>
        <v>0.002</v>
      </c>
      <c r="J183" s="15" t="str">
        <f>IF(F183=0,IF(G183&lt;=0.000001,"PASS","FAIL"),IF(H183&lt;=I183,"PASS","FAIL"))</f>
        <v>PASS</v>
      </c>
      <c r="K183" t="inlineStr">
        <is>
          <t xml:space="preserve"/>
        </is>
      </c>
    </row>
    <row r="184">
      <c r="A184" t="inlineStr">
        <is>
          <t xml:space="preserve">MSFT</t>
        </is>
      </c>
      <c r="B184" t="inlineStr">
        <is>
          <t xml:space="preserve">Table 4 -- Operating margin</t>
        </is>
      </c>
      <c r="C184" t="inlineStr">
        <is>
          <t xml:space="preserve">Margin=50.0000%</t>
        </is>
      </c>
      <c r="D184" t="inlineStr">
        <is>
          <t xml:space="preserve">Enterprise Value</t>
        </is>
      </c>
      <c r="E184" s="6">
        <v>2819684162548.477</v>
      </c>
      <c r="F184" s="6">
        <v>2819684162548.477</v>
      </c>
      <c r="G184" s="11">
        <f>ABS(E184-F184)</f>
        <v>0.0</v>
      </c>
      <c r="H184" s="10">
        <f>IF(F184=0,"n/a (zero denom)",G184/ABS(F184))</f>
        <v>0.0</v>
      </c>
      <c r="I184" s="10">
        <f>'Tolerances'!$B$10</f>
        <v>0.002</v>
      </c>
      <c r="J184" s="15" t="str">
        <f>IF(F184=0,IF(G184&lt;=0.000001,"PASS","FAIL"),IF(H184&lt;=I184,"PASS","FAIL"))</f>
        <v>PASS</v>
      </c>
      <c r="K184" t="inlineStr">
        <is>
          <t xml:space="preserve"/>
        </is>
      </c>
    </row>
    <row r="185">
      <c r="A185" t="inlineStr">
        <is>
          <t xml:space="preserve">MSFT</t>
        </is>
      </c>
      <c r="B185" t="inlineStr">
        <is>
          <t xml:space="preserve">Table 4 -- Operating margin</t>
        </is>
      </c>
      <c r="C185" t="inlineStr">
        <is>
          <t xml:space="preserve">Margin=50.0000%</t>
        </is>
      </c>
      <c r="D185" t="inlineStr">
        <is>
          <t xml:space="preserve">Equity Value</t>
        </is>
      </c>
      <c r="E185" s="6">
        <v>2800325162548.477</v>
      </c>
      <c r="F185" s="6">
        <v>2800325162548.477</v>
      </c>
      <c r="G185" s="11">
        <f>ABS(E185-F185)</f>
        <v>0.0</v>
      </c>
      <c r="H185" s="10">
        <f>IF(F185=0,"n/a (zero denom)",G185/ABS(F185))</f>
        <v>0.0</v>
      </c>
      <c r="I185" s="10">
        <f>'Tolerances'!$B$11</f>
        <v>0.002</v>
      </c>
      <c r="J185" s="15" t="str">
        <f>IF(F185=0,IF(G185&lt;=0.000001,"PASS","FAIL"),IF(H185&lt;=I185,"PASS","FAIL"))</f>
        <v>PASS</v>
      </c>
      <c r="K185" t="inlineStr">
        <is>
          <t xml:space="preserve"/>
        </is>
      </c>
    </row>
    <row r="186">
      <c r="A186" t="inlineStr">
        <is>
          <t xml:space="preserve">MSFT</t>
        </is>
      </c>
      <c r="B186" t="inlineStr">
        <is>
          <t xml:space="preserve">Table 4 -- Operating margin</t>
        </is>
      </c>
      <c r="C186" t="inlineStr">
        <is>
          <t xml:space="preserve">Margin=50.0000%</t>
        </is>
      </c>
      <c r="D186" t="inlineStr">
        <is>
          <t xml:space="preserve">Intrinsic Value per Share</t>
        </is>
      </c>
      <c r="E186" s="7">
        <v>377.1204642059713</v>
      </c>
      <c r="F186" s="7">
        <v>377.1204642059713</v>
      </c>
      <c r="G186" s="12">
        <f>ABS(E186-F186)</f>
        <v>0.0</v>
      </c>
      <c r="H186" s="10">
        <f>IF(F186=0,"n/a (zero denom)",G186/ABS(F186))</f>
        <v>0.0</v>
      </c>
      <c r="I186" s="10">
        <f>'Tolerances'!$B$13</f>
        <v>0.005</v>
      </c>
      <c r="J186" s="15" t="str">
        <f>IF(F186=0,IF(G186&lt;=0.000001,"PASS","FAIL"),IF(H186&lt;=I186,"PASS","FAIL"))</f>
        <v>PASS</v>
      </c>
      <c r="K186" t="inlineStr">
        <is>
          <t xml:space="preserve"/>
        </is>
      </c>
    </row>
    <row r="187">
      <c r="A187" t="inlineStr">
        <is>
          <t xml:space="preserve">MSFT</t>
        </is>
      </c>
      <c r="B187" t="inlineStr">
        <is>
          <t xml:space="preserve">Table 4 -- Operating margin</t>
        </is>
      </c>
      <c r="C187" t="inlineStr">
        <is>
          <t xml:space="preserve">Margin=60.0000%</t>
        </is>
      </c>
      <c r="D187" t="inlineStr">
        <is>
          <t xml:space="preserve">FCF Year 1</t>
        </is>
      </c>
      <c r="E187" s="6">
        <v>178306864636.06</v>
      </c>
      <c r="F187" s="6">
        <v>178306864636.06</v>
      </c>
      <c r="G187" s="11">
        <f>ABS(E187-F187)</f>
        <v>0.0</v>
      </c>
      <c r="H187" s="10">
        <f>IF(F187=0,"n/a (zero denom)",G187/ABS(F187))</f>
        <v>0.0</v>
      </c>
      <c r="I187" s="10">
        <f>'Tolerances'!$B$6</f>
        <v>0.001</v>
      </c>
      <c r="J187" s="15" t="str">
        <f>IF(F187=0,IF(G187&lt;=0.000001,"PASS","FAIL"),IF(H187&lt;=I187,"PASS","FAIL"))</f>
        <v>PASS</v>
      </c>
      <c r="K187" t="inlineStr">
        <is>
          <t xml:space="preserve"/>
        </is>
      </c>
    </row>
    <row r="188">
      <c r="A188" t="inlineStr">
        <is>
          <t xml:space="preserve">MSFT</t>
        </is>
      </c>
      <c r="B188" t="inlineStr">
        <is>
          <t xml:space="preserve">Table 4 -- Operating margin</t>
        </is>
      </c>
      <c r="C188" t="inlineStr">
        <is>
          <t xml:space="preserve">Margin=60.0000%</t>
        </is>
      </c>
      <c r="D188" t="inlineStr">
        <is>
          <t xml:space="preserve">FCF Year 2</t>
        </is>
      </c>
      <c r="E188" s="6">
        <v>202808273646.24347</v>
      </c>
      <c r="F188" s="6">
        <v>202808273646.24347</v>
      </c>
      <c r="G188" s="11">
        <f>ABS(E188-F188)</f>
        <v>0.0</v>
      </c>
      <c r="H188" s="10">
        <f>IF(F188=0,"n/a (zero denom)",G188/ABS(F188))</f>
        <v>0.0</v>
      </c>
      <c r="I188" s="10">
        <f>'Tolerances'!$B$6</f>
        <v>0.001</v>
      </c>
      <c r="J188" s="15" t="str">
        <f>IF(F188=0,IF(G188&lt;=0.000001,"PASS","FAIL"),IF(H188&lt;=I188,"PASS","FAIL"))</f>
        <v>PASS</v>
      </c>
      <c r="K188" t="inlineStr">
        <is>
          <t xml:space="preserve"/>
        </is>
      </c>
    </row>
    <row r="189">
      <c r="A189" t="inlineStr">
        <is>
          <t xml:space="preserve">MSFT</t>
        </is>
      </c>
      <c r="B189" t="inlineStr">
        <is>
          <t xml:space="preserve">Table 4 -- Operating margin</t>
        </is>
      </c>
      <c r="C189" t="inlineStr">
        <is>
          <t xml:space="preserve">Margin=60.0000%</t>
        </is>
      </c>
      <c r="D189" t="inlineStr">
        <is>
          <t xml:space="preserve">FCF Year 3</t>
        </is>
      </c>
      <c r="E189" s="6">
        <v>230676457372.08148</v>
      </c>
      <c r="F189" s="6">
        <v>230676457372.08148</v>
      </c>
      <c r="G189" s="11">
        <f>ABS(E189-F189)</f>
        <v>0.0</v>
      </c>
      <c r="H189" s="10">
        <f>IF(F189=0,"n/a (zero denom)",G189/ABS(F189))</f>
        <v>0.0</v>
      </c>
      <c r="I189" s="10">
        <f>'Tolerances'!$B$6</f>
        <v>0.001</v>
      </c>
      <c r="J189" s="15" t="str">
        <f>IF(F189=0,IF(G189&lt;=0.000001,"PASS","FAIL"),IF(H189&lt;=I189,"PASS","FAIL"))</f>
        <v>PASS</v>
      </c>
      <c r="K189" t="inlineStr">
        <is>
          <t xml:space="preserve"/>
        </is>
      </c>
    </row>
    <row r="190">
      <c r="A190" t="inlineStr">
        <is>
          <t xml:space="preserve">MSFT</t>
        </is>
      </c>
      <c r="B190" t="inlineStr">
        <is>
          <t xml:space="preserve">Table 4 -- Operating margin</t>
        </is>
      </c>
      <c r="C190" t="inlineStr">
        <is>
          <t xml:space="preserve">Margin=60.0000%</t>
        </is>
      </c>
      <c r="D190" t="inlineStr">
        <is>
          <t xml:space="preserve">FCF Year 4</t>
        </is>
      </c>
      <c r="E190" s="6">
        <v>262374049288.29596</v>
      </c>
      <c r="F190" s="6">
        <v>262374049288.29596</v>
      </c>
      <c r="G190" s="11">
        <f>ABS(E190-F190)</f>
        <v>0.0</v>
      </c>
      <c r="H190" s="10">
        <f>IF(F190=0,"n/a (zero denom)",G190/ABS(F190))</f>
        <v>0.0</v>
      </c>
      <c r="I190" s="10">
        <f>'Tolerances'!$B$6</f>
        <v>0.001</v>
      </c>
      <c r="J190" s="15" t="str">
        <f>IF(F190=0,IF(G190&lt;=0.000001,"PASS","FAIL"),IF(H190&lt;=I190,"PASS","FAIL"))</f>
        <v>PASS</v>
      </c>
      <c r="K190" t="inlineStr">
        <is>
          <t xml:space="preserve"/>
        </is>
      </c>
    </row>
    <row r="191">
      <c r="A191" t="inlineStr">
        <is>
          <t xml:space="preserve">MSFT</t>
        </is>
      </c>
      <c r="B191" t="inlineStr">
        <is>
          <t xml:space="preserve">Table 4 -- Operating margin</t>
        </is>
      </c>
      <c r="C191" t="inlineStr">
        <is>
          <t xml:space="preserve">Margin=60.0000%</t>
        </is>
      </c>
      <c r="D191" t="inlineStr">
        <is>
          <t xml:space="preserve">FCF Year 5</t>
        </is>
      </c>
      <c r="E191" s="6">
        <v>298427254017.0752</v>
      </c>
      <c r="F191" s="6">
        <v>298427254017.0752</v>
      </c>
      <c r="G191" s="11">
        <f>ABS(E191-F191)</f>
        <v>0.0</v>
      </c>
      <c r="H191" s="10">
        <f>IF(F191=0,"n/a (zero denom)",G191/ABS(F191))</f>
        <v>0.0</v>
      </c>
      <c r="I191" s="10">
        <f>'Tolerances'!$B$6</f>
        <v>0.001</v>
      </c>
      <c r="J191" s="15" t="str">
        <f>IF(F191=0,IF(G191&lt;=0.000001,"PASS","FAIL"),IF(H191&lt;=I191,"PASS","FAIL"))</f>
        <v>PASS</v>
      </c>
      <c r="K191" t="inlineStr">
        <is>
          <t xml:space="preserve"/>
        </is>
      </c>
    </row>
    <row r="192">
      <c r="A192" t="inlineStr">
        <is>
          <t xml:space="preserve">MSFT</t>
        </is>
      </c>
      <c r="B192" t="inlineStr">
        <is>
          <t xml:space="preserve">Table 4 -- Operating margin</t>
        </is>
      </c>
      <c r="C192" t="inlineStr">
        <is>
          <t xml:space="preserve">Margin=60.0000%</t>
        </is>
      </c>
      <c r="D192" t="inlineStr">
        <is>
          <t xml:space="preserve">Terminal Value</t>
        </is>
      </c>
      <c r="E192" s="6">
        <v>4078276558010.539</v>
      </c>
      <c r="F192" s="6">
        <v>4078276558010.539</v>
      </c>
      <c r="G192" s="11">
        <f>ABS(E192-F192)</f>
        <v>0.0</v>
      </c>
      <c r="H192" s="10">
        <f>IF(F192=0,"n/a (zero denom)",G192/ABS(F192))</f>
        <v>0.0</v>
      </c>
      <c r="I192" s="10">
        <f>'Tolerances'!$B$7</f>
        <v>0.002</v>
      </c>
      <c r="J192" s="15" t="str">
        <f>IF(F192=0,IF(G192&lt;=0.000001,"PASS","FAIL"),IF(H192&lt;=I192,"PASS","FAIL"))</f>
        <v>PASS</v>
      </c>
      <c r="K192" t="inlineStr">
        <is>
          <t xml:space="preserve"/>
        </is>
      </c>
    </row>
    <row r="193">
      <c r="A193" t="inlineStr">
        <is>
          <t xml:space="preserve">MSFT</t>
        </is>
      </c>
      <c r="B193" t="inlineStr">
        <is>
          <t xml:space="preserve">Table 4 -- Operating margin</t>
        </is>
      </c>
      <c r="C193" t="inlineStr">
        <is>
          <t xml:space="preserve">Margin=60.0000%</t>
        </is>
      </c>
      <c r="D193" t="inlineStr">
        <is>
          <t xml:space="preserve">Enterprise Value</t>
        </is>
      </c>
      <c r="E193" s="6">
        <v>3399752934677.8535</v>
      </c>
      <c r="F193" s="6">
        <v>3399752934677.8535</v>
      </c>
      <c r="G193" s="11">
        <f>ABS(E193-F193)</f>
        <v>0.0</v>
      </c>
      <c r="H193" s="10">
        <f>IF(F193=0,"n/a (zero denom)",G193/ABS(F193))</f>
        <v>0.0</v>
      </c>
      <c r="I193" s="10">
        <f>'Tolerances'!$B$10</f>
        <v>0.002</v>
      </c>
      <c r="J193" s="15" t="str">
        <f>IF(F193=0,IF(G193&lt;=0.000001,"PASS","FAIL"),IF(H193&lt;=I193,"PASS","FAIL"))</f>
        <v>PASS</v>
      </c>
      <c r="K193" t="inlineStr">
        <is>
          <t xml:space="preserve"/>
        </is>
      </c>
    </row>
    <row r="194">
      <c r="A194" t="inlineStr">
        <is>
          <t xml:space="preserve">MSFT</t>
        </is>
      </c>
      <c r="B194" t="inlineStr">
        <is>
          <t xml:space="preserve">Table 4 -- Operating margin</t>
        </is>
      </c>
      <c r="C194" t="inlineStr">
        <is>
          <t xml:space="preserve">Margin=60.0000%</t>
        </is>
      </c>
      <c r="D194" t="inlineStr">
        <is>
          <t xml:space="preserve">Equity Value</t>
        </is>
      </c>
      <c r="E194" s="6">
        <v>3380393934677.8535</v>
      </c>
      <c r="F194" s="6">
        <v>3380393934677.8535</v>
      </c>
      <c r="G194" s="11">
        <f>ABS(E194-F194)</f>
        <v>0.0</v>
      </c>
      <c r="H194" s="10">
        <f>IF(F194=0,"n/a (zero denom)",G194/ABS(F194))</f>
        <v>0.0</v>
      </c>
      <c r="I194" s="10">
        <f>'Tolerances'!$B$11</f>
        <v>0.002</v>
      </c>
      <c r="J194" s="15" t="str">
        <f>IF(F194=0,IF(G194&lt;=0.000001,"PASS","FAIL"),IF(H194&lt;=I194,"PASS","FAIL"))</f>
        <v>PASS</v>
      </c>
      <c r="K194" t="inlineStr">
        <is>
          <t xml:space="preserve"/>
        </is>
      </c>
    </row>
    <row r="195">
      <c r="A195" t="inlineStr">
        <is>
          <t xml:space="preserve">MSFT</t>
        </is>
      </c>
      <c r="B195" t="inlineStr">
        <is>
          <t xml:space="preserve">Table 4 -- Operating margin</t>
        </is>
      </c>
      <c r="C195" t="inlineStr">
        <is>
          <t xml:space="preserve">Margin=60.0000%</t>
        </is>
      </c>
      <c r="D195" t="inlineStr">
        <is>
          <t xml:space="preserve">Intrinsic Value per Share</t>
        </is>
      </c>
      <c r="E195" s="7">
        <v>455.23846548041485</v>
      </c>
      <c r="F195" s="7">
        <v>455.23846548041485</v>
      </c>
      <c r="G195" s="12">
        <f>ABS(E195-F195)</f>
        <v>0.0</v>
      </c>
      <c r="H195" s="10">
        <f>IF(F195=0,"n/a (zero denom)",G195/ABS(F195))</f>
        <v>0.0</v>
      </c>
      <c r="I195" s="10">
        <f>'Tolerances'!$B$13</f>
        <v>0.005</v>
      </c>
      <c r="J195" s="15" t="str">
        <f>IF(F195=0,IF(G195&lt;=0.000001,"PASS","FAIL"),IF(H195&lt;=I195,"PASS","FAIL"))</f>
        <v>PASS</v>
      </c>
      <c r="K195" t="inlineStr">
        <is>
          <t xml:space="preserve"/>
        </is>
      </c>
    </row>
    <row r="196">
      <c r="A196" t="inlineStr">
        <is>
          <t xml:space="preserve">MSFT</t>
        </is>
      </c>
      <c r="B196" t="inlineStr">
        <is>
          <t xml:space="preserve">Table 5 -- WACC x g two-way grid</t>
        </is>
      </c>
      <c r="C196" t="inlineStr">
        <is>
          <t xml:space="preserve">WACC=5.0000%, g=0.0000%</t>
        </is>
      </c>
      <c r="D196" t="inlineStr">
        <is>
          <t xml:space="preserve">Intrinsic Value per Share</t>
        </is>
      </c>
      <c r="E196" s="7">
        <v>555.708645231685</v>
      </c>
      <c r="F196" s="7">
        <v>555.708645231685</v>
      </c>
      <c r="G196" s="12">
        <f>ABS(E196-F196)</f>
        <v>0.0</v>
      </c>
      <c r="H196" s="10">
        <f>IF(F196=0,"n/a (zero denom)",G196/ABS(F196))</f>
        <v>0.0</v>
      </c>
      <c r="I196" s="10">
        <f>'Tolerances'!$B$13</f>
        <v>0.005</v>
      </c>
      <c r="J196" s="15" t="str">
        <f>IF(F196=0,IF(G196&lt;=0.000001,"PASS","FAIL"),IF(H196&lt;=I196,"PASS","FAIL"))</f>
        <v>PASS</v>
      </c>
      <c r="K196" t="inlineStr">
        <is>
          <t xml:space="preserve"/>
        </is>
      </c>
    </row>
    <row r="197">
      <c r="A197" t="inlineStr">
        <is>
          <t xml:space="preserve">MSFT</t>
        </is>
      </c>
      <c r="B197" t="inlineStr">
        <is>
          <t xml:space="preserve">Table 5 -- WACC x g two-way grid</t>
        </is>
      </c>
      <c r="C197" t="inlineStr">
        <is>
          <t xml:space="preserve">WACC=5.0000%, g=1.0000%</t>
        </is>
      </c>
      <c r="D197" t="inlineStr">
        <is>
          <t xml:space="preserve">Intrinsic Value per Share</t>
        </is>
      </c>
      <c r="E197" s="7">
        <v>676.3904487329858</v>
      </c>
      <c r="F197" s="7">
        <v>676.3904487329858</v>
      </c>
      <c r="G197" s="12">
        <f>ABS(E197-F197)</f>
        <v>0.0</v>
      </c>
      <c r="H197" s="10">
        <f>IF(F197=0,"n/a (zero denom)",G197/ABS(F197))</f>
        <v>0.0</v>
      </c>
      <c r="I197" s="10">
        <f>'Tolerances'!$B$13</f>
        <v>0.005</v>
      </c>
      <c r="J197" s="15" t="str">
        <f>IF(F197=0,IF(G197&lt;=0.000001,"PASS","FAIL"),IF(H197&lt;=I197,"PASS","FAIL"))</f>
        <v>PASS</v>
      </c>
      <c r="K197" t="inlineStr">
        <is>
          <t xml:space="preserve"/>
        </is>
      </c>
    </row>
    <row r="198">
      <c r="A198" t="inlineStr">
        <is>
          <t xml:space="preserve">MSFT</t>
        </is>
      </c>
      <c r="B198" t="inlineStr">
        <is>
          <t xml:space="preserve">Table 5 -- WACC x g two-way grid</t>
        </is>
      </c>
      <c r="C198" t="inlineStr">
        <is>
          <t xml:space="preserve">WACC=5.0000%, g=2.0000%</t>
        </is>
      </c>
      <c r="D198" t="inlineStr">
        <is>
          <t xml:space="preserve">Intrinsic Value per Share</t>
        </is>
      </c>
      <c r="E198" s="7">
        <v>877.5267879018203</v>
      </c>
      <c r="F198" s="7">
        <v>877.5267879018203</v>
      </c>
      <c r="G198" s="12">
        <f>ABS(E198-F198)</f>
        <v>0.0</v>
      </c>
      <c r="H198" s="10">
        <f>IF(F198=0,"n/a (zero denom)",G198/ABS(F198))</f>
        <v>0.0</v>
      </c>
      <c r="I198" s="10">
        <f>'Tolerances'!$B$13</f>
        <v>0.005</v>
      </c>
      <c r="J198" s="15" t="str">
        <f>IF(F198=0,IF(G198&lt;=0.000001,"PASS","FAIL"),IF(H198&lt;=I198,"PASS","FAIL"))</f>
        <v>PASS</v>
      </c>
      <c r="K198" t="inlineStr">
        <is>
          <t xml:space="preserve"/>
        </is>
      </c>
    </row>
    <row r="199">
      <c r="A199" t="inlineStr">
        <is>
          <t xml:space="preserve">MSFT</t>
        </is>
      </c>
      <c r="B199" t="inlineStr">
        <is>
          <t xml:space="preserve">Table 5 -- WACC x g two-way grid</t>
        </is>
      </c>
      <c r="C199" t="inlineStr">
        <is>
          <t xml:space="preserve">WACC=5.0000%, g=3.0000%</t>
        </is>
      </c>
      <c r="D199" t="inlineStr">
        <is>
          <t xml:space="preserve">Intrinsic Value per Share</t>
        </is>
      </c>
      <c r="E199" s="7">
        <v>1279.7994662394894</v>
      </c>
      <c r="F199" s="7">
        <v>1279.7994662394894</v>
      </c>
      <c r="G199" s="12">
        <f>ABS(E199-F199)</f>
        <v>0.0</v>
      </c>
      <c r="H199" s="10">
        <f>IF(F199=0,"n/a (zero denom)",G199/ABS(F199))</f>
        <v>0.0</v>
      </c>
      <c r="I199" s="10">
        <f>'Tolerances'!$B$13</f>
        <v>0.005</v>
      </c>
      <c r="J199" s="15" t="str">
        <f>IF(F199=0,IF(G199&lt;=0.000001,"PASS","FAIL"),IF(H199&lt;=I199,"PASS","FAIL"))</f>
        <v>PASS</v>
      </c>
      <c r="K199" t="inlineStr">
        <is>
          <t xml:space="preserve"/>
        </is>
      </c>
    </row>
    <row r="200">
      <c r="A200" t="inlineStr">
        <is>
          <t xml:space="preserve">MSFT</t>
        </is>
      </c>
      <c r="B200" t="inlineStr">
        <is>
          <t xml:space="preserve">Table 5 -- WACC x g two-way grid</t>
        </is>
      </c>
      <c r="C200" t="inlineStr">
        <is>
          <t xml:space="preserve">WACC=5.0000%, g=4.0000%</t>
        </is>
      </c>
      <c r="D200" t="inlineStr">
        <is>
          <t xml:space="preserve">Intrinsic Value per Share</t>
        </is>
      </c>
      <c r="E200" s="7">
        <v>2486.6175012524973</v>
      </c>
      <c r="F200" s="7">
        <v>2486.6175012524973</v>
      </c>
      <c r="G200" s="12">
        <f>ABS(E200-F200)</f>
        <v>0.0</v>
      </c>
      <c r="H200" s="10">
        <f>IF(F200=0,"n/a (zero denom)",G200/ABS(F200))</f>
        <v>0.0</v>
      </c>
      <c r="I200" s="10">
        <f>'Tolerances'!$B$13</f>
        <v>0.005</v>
      </c>
      <c r="J200" s="15" t="str">
        <f>IF(F200=0,IF(G200&lt;=0.000001,"PASS","FAIL"),IF(H200&lt;=I200,"PASS","FAIL"))</f>
        <v>PASS</v>
      </c>
      <c r="K200" t="inlineStr">
        <is>
          <t xml:space="preserve"/>
        </is>
      </c>
    </row>
    <row r="201">
      <c r="A201" t="inlineStr">
        <is>
          <t xml:space="preserve">MSFT</t>
        </is>
      </c>
      <c r="B201" t="inlineStr">
        <is>
          <t xml:space="preserve">Table 5 -- WACC x g two-way grid</t>
        </is>
      </c>
      <c r="C201" t="inlineStr">
        <is>
          <t xml:space="preserve">WACC=5.0000%, g=5.0000%</t>
        </is>
      </c>
      <c r="D201" t="inlineStr">
        <is>
          <t xml:space="preserve">Intrinsic Value per Share</t>
        </is>
      </c>
      <c r="E201" s="4" t="inlineStr">
        <is>
          <t xml:space="preserve">n/a</t>
        </is>
      </c>
      <c r="F201" s="4" t="inlineStr">
        <is>
          <t xml:space="preserve">n/a</t>
        </is>
      </c>
      <c r="G201" s="4" t="inlineStr">
        <is>
          <t xml:space="preserve">n/a</t>
        </is>
      </c>
      <c r="H201" s="4" t="inlineStr">
        <is>
          <t xml:space="preserve">n/a</t>
        </is>
      </c>
      <c r="I201" s="10">
        <f>'Tolerances'!$B$13</f>
        <v>0.005</v>
      </c>
      <c r="J201" s="15" t="inlineStr">
        <is>
          <t xml:space="preserve">PASS</t>
        </is>
      </c>
      <c r="K201" t="inlineStr">
        <is>
          <t xml:space="preserve">Both sides report the invalid-combination marker; exact string equality, not a numeric/tolerance comparison.</t>
        </is>
      </c>
    </row>
    <row r="202">
      <c r="A202" t="inlineStr">
        <is>
          <t xml:space="preserve">MSFT</t>
        </is>
      </c>
      <c r="B202" t="inlineStr">
        <is>
          <t xml:space="preserve">Table 5 -- WACC x g two-way grid</t>
        </is>
      </c>
      <c r="C202" t="inlineStr">
        <is>
          <t xml:space="preserve">WACC=8.0000%, g=0.0000%</t>
        </is>
      </c>
      <c r="D202" t="inlineStr">
        <is>
          <t xml:space="preserve">Intrinsic Value per Share</t>
        </is>
      </c>
      <c r="E202" s="7">
        <v>337.23092771054934</v>
      </c>
      <c r="F202" s="7">
        <v>337.23092771054934</v>
      </c>
      <c r="G202" s="12">
        <f>ABS(E202-F202)</f>
        <v>0.0</v>
      </c>
      <c r="H202" s="10">
        <f>IF(F202=0,"n/a (zero denom)",G202/ABS(F202))</f>
        <v>0.0</v>
      </c>
      <c r="I202" s="10">
        <f>'Tolerances'!$B$13</f>
        <v>0.005</v>
      </c>
      <c r="J202" s="15" t="str">
        <f>IF(F202=0,IF(G202&lt;=0.000001,"PASS","FAIL"),IF(H202&lt;=I202,"PASS","FAIL"))</f>
        <v>PASS</v>
      </c>
      <c r="K202" t="inlineStr">
        <is>
          <t xml:space="preserve"/>
        </is>
      </c>
    </row>
    <row r="203">
      <c r="A203" t="inlineStr">
        <is>
          <t xml:space="preserve">MSFT</t>
        </is>
      </c>
      <c r="B203" t="inlineStr">
        <is>
          <t xml:space="preserve">Table 5 -- WACC x g two-way grid</t>
        </is>
      </c>
      <c r="C203" t="inlineStr">
        <is>
          <t xml:space="preserve">WACC=8.0000%, g=1.0000%</t>
        </is>
      </c>
      <c r="D203" t="inlineStr">
        <is>
          <t xml:space="preserve">Intrinsic Value per Share</t>
        </is>
      </c>
      <c r="E203" s="7">
        <v>375.73848185624587</v>
      </c>
      <c r="F203" s="7">
        <v>375.73848185624587</v>
      </c>
      <c r="G203" s="12">
        <f>ABS(E203-F203)</f>
        <v>0.0</v>
      </c>
      <c r="H203" s="10">
        <f>IF(F203=0,"n/a (zero denom)",G203/ABS(F203))</f>
        <v>0.0</v>
      </c>
      <c r="I203" s="10">
        <f>'Tolerances'!$B$13</f>
        <v>0.005</v>
      </c>
      <c r="J203" s="15" t="str">
        <f>IF(F203=0,IF(G203&lt;=0.000001,"PASS","FAIL"),IF(H203&lt;=I203,"PASS","FAIL"))</f>
        <v>PASS</v>
      </c>
      <c r="K203" t="inlineStr">
        <is>
          <t xml:space="preserve"/>
        </is>
      </c>
    </row>
    <row r="204">
      <c r="A204" t="inlineStr">
        <is>
          <t xml:space="preserve">MSFT</t>
        </is>
      </c>
      <c r="B204" t="inlineStr">
        <is>
          <t xml:space="preserve">Table 5 -- WACC x g two-way grid</t>
        </is>
      </c>
      <c r="C204" t="inlineStr">
        <is>
          <t xml:space="preserve">WACC=8.0000%, g=2.0000%</t>
        </is>
      </c>
      <c r="D204" t="inlineStr">
        <is>
          <t xml:space="preserve">Intrinsic Value per Share</t>
        </is>
      </c>
      <c r="E204" s="7">
        <v>427.08188738384143</v>
      </c>
      <c r="F204" s="7">
        <v>427.08188738384143</v>
      </c>
      <c r="G204" s="12">
        <f>ABS(E204-F204)</f>
        <v>0.0</v>
      </c>
      <c r="H204" s="10">
        <f>IF(F204=0,"n/a (zero denom)",G204/ABS(F204))</f>
        <v>0.0</v>
      </c>
      <c r="I204" s="10">
        <f>'Tolerances'!$B$13</f>
        <v>0.005</v>
      </c>
      <c r="J204" s="15" t="str">
        <f>IF(F204=0,IF(G204&lt;=0.000001,"PASS","FAIL"),IF(H204&lt;=I204,"PASS","FAIL"))</f>
        <v>PASS</v>
      </c>
      <c r="K204" t="inlineStr">
        <is>
          <t xml:space="preserve"/>
        </is>
      </c>
    </row>
    <row r="205">
      <c r="A205" t="inlineStr">
        <is>
          <t xml:space="preserve">MSFT</t>
        </is>
      </c>
      <c r="B205" t="inlineStr">
        <is>
          <t xml:space="preserve">Table 5 -- WACC x g two-way grid</t>
        </is>
      </c>
      <c r="C205" t="inlineStr">
        <is>
          <t xml:space="preserve">WACC=8.0000%, g=3.0000%</t>
        </is>
      </c>
      <c r="D205" t="inlineStr">
        <is>
          <t xml:space="preserve">Intrinsic Value per Share</t>
        </is>
      </c>
      <c r="E205" s="7">
        <v>498.9626551224751</v>
      </c>
      <c r="F205" s="7">
        <v>498.9626551224751</v>
      </c>
      <c r="G205" s="12">
        <f>ABS(E205-F205)</f>
        <v>0.0</v>
      </c>
      <c r="H205" s="10">
        <f>IF(F205=0,"n/a (zero denom)",G205/ABS(F205))</f>
        <v>0.0</v>
      </c>
      <c r="I205" s="10">
        <f>'Tolerances'!$B$13</f>
        <v>0.005</v>
      </c>
      <c r="J205" s="15" t="str">
        <f>IF(F205=0,IF(G205&lt;=0.000001,"PASS","FAIL"),IF(H205&lt;=I205,"PASS","FAIL"))</f>
        <v>PASS</v>
      </c>
      <c r="K205" t="inlineStr">
        <is>
          <t xml:space="preserve"/>
        </is>
      </c>
    </row>
    <row r="206">
      <c r="A206" t="inlineStr">
        <is>
          <t xml:space="preserve">MSFT</t>
        </is>
      </c>
      <c r="B206" t="inlineStr">
        <is>
          <t xml:space="preserve">Table 5 -- WACC x g two-way grid</t>
        </is>
      </c>
      <c r="C206" t="inlineStr">
        <is>
          <t xml:space="preserve">WACC=8.0000%, g=4.0000%</t>
        </is>
      </c>
      <c r="D206" t="inlineStr">
        <is>
          <t xml:space="preserve">Intrinsic Value per Share</t>
        </is>
      </c>
      <c r="E206" s="7">
        <v>606.7838067304257</v>
      </c>
      <c r="F206" s="7">
        <v>606.7838067304257</v>
      </c>
      <c r="G206" s="12">
        <f>ABS(E206-F206)</f>
        <v>0.0</v>
      </c>
      <c r="H206" s="10">
        <f>IF(F206=0,"n/a (zero denom)",G206/ABS(F206))</f>
        <v>0.0</v>
      </c>
      <c r="I206" s="10">
        <f>'Tolerances'!$B$13</f>
        <v>0.005</v>
      </c>
      <c r="J206" s="15" t="str">
        <f>IF(F206=0,IF(G206&lt;=0.000001,"PASS","FAIL"),IF(H206&lt;=I206,"PASS","FAIL"))</f>
        <v>PASS</v>
      </c>
      <c r="K206" t="inlineStr">
        <is>
          <t xml:space="preserve"/>
        </is>
      </c>
    </row>
    <row r="207">
      <c r="A207" t="inlineStr">
        <is>
          <t xml:space="preserve">MSFT</t>
        </is>
      </c>
      <c r="B207" t="inlineStr">
        <is>
          <t xml:space="preserve">Table 5 -- WACC x g two-way grid</t>
        </is>
      </c>
      <c r="C207" t="inlineStr">
        <is>
          <t xml:space="preserve">WACC=8.0000%, g=5.0000%</t>
        </is>
      </c>
      <c r="D207" t="inlineStr">
        <is>
          <t xml:space="preserve">Intrinsic Value per Share</t>
        </is>
      </c>
      <c r="E207" s="7">
        <v>786.48572607701</v>
      </c>
      <c r="F207" s="7">
        <v>786.48572607701</v>
      </c>
      <c r="G207" s="12">
        <f>ABS(E207-F207)</f>
        <v>0.0</v>
      </c>
      <c r="H207" s="10">
        <f>IF(F207=0,"n/a (zero denom)",G207/ABS(F207))</f>
        <v>0.0</v>
      </c>
      <c r="I207" s="10">
        <f>'Tolerances'!$B$13</f>
        <v>0.005</v>
      </c>
      <c r="J207" s="15" t="str">
        <f>IF(F207=0,IF(G207&lt;=0.000001,"PASS","FAIL"),IF(H207&lt;=I207,"PASS","FAIL"))</f>
        <v>PASS</v>
      </c>
      <c r="K207" t="inlineStr">
        <is>
          <t xml:space="preserve"/>
        </is>
      </c>
    </row>
    <row r="208">
      <c r="A208" t="inlineStr">
        <is>
          <t xml:space="preserve">MSFT</t>
        </is>
      </c>
      <c r="B208" t="inlineStr">
        <is>
          <t xml:space="preserve">Table 5 -- WACC x g two-way grid</t>
        </is>
      </c>
      <c r="C208" t="inlineStr">
        <is>
          <t xml:space="preserve">WACC=11.0000%, g=0.0000%</t>
        </is>
      </c>
      <c r="D208" t="inlineStr">
        <is>
          <t xml:space="preserve">Intrinsic Value per Share</t>
        </is>
      </c>
      <c r="E208" s="7">
        <v>238.62827216631442</v>
      </c>
      <c r="F208" s="7">
        <v>238.62827216631442</v>
      </c>
      <c r="G208" s="12">
        <f>ABS(E208-F208)</f>
        <v>0.0</v>
      </c>
      <c r="H208" s="10">
        <f>IF(F208=0,"n/a (zero denom)",G208/ABS(F208))</f>
        <v>0.0</v>
      </c>
      <c r="I208" s="10">
        <f>'Tolerances'!$B$13</f>
        <v>0.005</v>
      </c>
      <c r="J208" s="15" t="str">
        <f>IF(F208=0,IF(G208&lt;=0.000001,"PASS","FAIL"),IF(H208&lt;=I208,"PASS","FAIL"))</f>
        <v>PASS</v>
      </c>
      <c r="K208" t="inlineStr">
        <is>
          <t xml:space="preserve"/>
        </is>
      </c>
    </row>
    <row r="209">
      <c r="A209" t="inlineStr">
        <is>
          <t xml:space="preserve">MSFT</t>
        </is>
      </c>
      <c r="B209" t="inlineStr">
        <is>
          <t xml:space="preserve">Table 5 -- WACC x g two-way grid</t>
        </is>
      </c>
      <c r="C209" t="inlineStr">
        <is>
          <t xml:space="preserve">WACC=11.0000%, g=1.0000%</t>
        </is>
      </c>
      <c r="D209" t="inlineStr">
        <is>
          <t xml:space="preserve">Intrinsic Value per Share</t>
        </is>
      </c>
      <c r="E209" s="7">
        <v>256.197164581654</v>
      </c>
      <c r="F209" s="7">
        <v>256.197164581654</v>
      </c>
      <c r="G209" s="12">
        <f>ABS(E209-F209)</f>
        <v>0.0</v>
      </c>
      <c r="H209" s="10">
        <f>IF(F209=0,"n/a (zero denom)",G209/ABS(F209))</f>
        <v>0.0</v>
      </c>
      <c r="I209" s="10">
        <f>'Tolerances'!$B$13</f>
        <v>0.005</v>
      </c>
      <c r="J209" s="15" t="str">
        <f>IF(F209=0,IF(G209&lt;=0.000001,"PASS","FAIL"),IF(H209&lt;=I209,"PASS","FAIL"))</f>
        <v>PASS</v>
      </c>
      <c r="K209" t="inlineStr">
        <is>
          <t xml:space="preserve"/>
        </is>
      </c>
    </row>
    <row r="210">
      <c r="A210" t="inlineStr">
        <is>
          <t xml:space="preserve">MSFT</t>
        </is>
      </c>
      <c r="B210" t="inlineStr">
        <is>
          <t xml:space="preserve">Table 5 -- WACC x g two-way grid</t>
        </is>
      </c>
      <c r="C210" t="inlineStr">
        <is>
          <t xml:space="preserve">WACC=11.0000%, g=2.0000%</t>
        </is>
      </c>
      <c r="D210" t="inlineStr">
        <is>
          <t xml:space="preserve">Intrinsic Value per Share</t>
        </is>
      </c>
      <c r="E210" s="7">
        <v>277.67025531151364</v>
      </c>
      <c r="F210" s="7">
        <v>277.67025531151364</v>
      </c>
      <c r="G210" s="12">
        <f>ABS(E210-F210)</f>
        <v>0.0</v>
      </c>
      <c r="H210" s="10">
        <f>IF(F210=0,"n/a (zero denom)",G210/ABS(F210))</f>
        <v>0.0</v>
      </c>
      <c r="I210" s="10">
        <f>'Tolerances'!$B$13</f>
        <v>0.005</v>
      </c>
      <c r="J210" s="15" t="str">
        <f>IF(F210=0,IF(G210&lt;=0.000001,"PASS","FAIL"),IF(H210&lt;=I210,"PASS","FAIL"))</f>
        <v>PASS</v>
      </c>
      <c r="K210" t="inlineStr">
        <is>
          <t xml:space="preserve"/>
        </is>
      </c>
    </row>
    <row r="211">
      <c r="A211" t="inlineStr">
        <is>
          <t xml:space="preserve">MSFT</t>
        </is>
      </c>
      <c r="B211" t="inlineStr">
        <is>
          <t xml:space="preserve">Table 5 -- WACC x g two-way grid</t>
        </is>
      </c>
      <c r="C211" t="inlineStr">
        <is>
          <t xml:space="preserve">WACC=11.0000%, g=3.0000%</t>
        </is>
      </c>
      <c r="D211" t="inlineStr">
        <is>
          <t xml:space="preserve">Intrinsic Value per Share</t>
        </is>
      </c>
      <c r="E211" s="7">
        <v>304.51161872383807</v>
      </c>
      <c r="F211" s="7">
        <v>304.51161872383807</v>
      </c>
      <c r="G211" s="12">
        <f>ABS(E211-F211)</f>
        <v>0.0</v>
      </c>
      <c r="H211" s="10">
        <f>IF(F211=0,"n/a (zero denom)",G211/ABS(F211))</f>
        <v>0.0</v>
      </c>
      <c r="I211" s="10">
        <f>'Tolerances'!$B$13</f>
        <v>0.005</v>
      </c>
      <c r="J211" s="15" t="str">
        <f>IF(F211=0,IF(G211&lt;=0.000001,"PASS","FAIL"),IF(H211&lt;=I211,"PASS","FAIL"))</f>
        <v>PASS</v>
      </c>
      <c r="K211" t="inlineStr">
        <is>
          <t xml:space="preserve"/>
        </is>
      </c>
    </row>
    <row r="212">
      <c r="A212" t="inlineStr">
        <is>
          <t xml:space="preserve">MSFT</t>
        </is>
      </c>
      <c r="B212" t="inlineStr">
        <is>
          <t xml:space="preserve">Table 5 -- WACC x g two-way grid</t>
        </is>
      </c>
      <c r="C212" t="inlineStr">
        <is>
          <t xml:space="preserve">WACC=11.0000%, g=4.0000%</t>
        </is>
      </c>
      <c r="D212" t="inlineStr">
        <is>
          <t xml:space="preserve">Intrinsic Value per Share</t>
        </is>
      </c>
      <c r="E212" s="7">
        <v>339.02194311111236</v>
      </c>
      <c r="F212" s="7">
        <v>339.02194311111236</v>
      </c>
      <c r="G212" s="12">
        <f>ABS(E212-F212)</f>
        <v>0.0</v>
      </c>
      <c r="H212" s="10">
        <f>IF(F212=0,"n/a (zero denom)",G212/ABS(F212))</f>
        <v>0.0</v>
      </c>
      <c r="I212" s="10">
        <f>'Tolerances'!$B$13</f>
        <v>0.005</v>
      </c>
      <c r="J212" s="15" t="str">
        <f>IF(F212=0,IF(G212&lt;=0.000001,"PASS","FAIL"),IF(H212&lt;=I212,"PASS","FAIL"))</f>
        <v>PASS</v>
      </c>
      <c r="K212" t="inlineStr">
        <is>
          <t xml:space="preserve"/>
        </is>
      </c>
    </row>
    <row r="213">
      <c r="A213" t="inlineStr">
        <is>
          <t xml:space="preserve">MSFT</t>
        </is>
      </c>
      <c r="B213" t="inlineStr">
        <is>
          <t xml:space="preserve">Table 5 -- WACC x g two-way grid</t>
        </is>
      </c>
      <c r="C213" t="inlineStr">
        <is>
          <t xml:space="preserve">WACC=11.0000%, g=5.0000%</t>
        </is>
      </c>
      <c r="D213" t="inlineStr">
        <is>
          <t xml:space="preserve">Intrinsic Value per Share</t>
        </is>
      </c>
      <c r="E213" s="7">
        <v>385.0357089608114</v>
      </c>
      <c r="F213" s="7">
        <v>385.0357089608114</v>
      </c>
      <c r="G213" s="12">
        <f>ABS(E213-F213)</f>
        <v>0.0</v>
      </c>
      <c r="H213" s="10">
        <f>IF(F213=0,"n/a (zero denom)",G213/ABS(F213))</f>
        <v>0.0</v>
      </c>
      <c r="I213" s="10">
        <f>'Tolerances'!$B$13</f>
        <v>0.005</v>
      </c>
      <c r="J213" s="15" t="str">
        <f>IF(F213=0,IF(G213&lt;=0.000001,"PASS","FAIL"),IF(H213&lt;=I213,"PASS","FAIL"))</f>
        <v>PASS</v>
      </c>
      <c r="K213" t="inlineStr">
        <is>
          <t xml:space="preserve"/>
        </is>
      </c>
    </row>
    <row r="214">
      <c r="A214" t="inlineStr">
        <is>
          <t xml:space="preserve">MSFT</t>
        </is>
      </c>
      <c r="B214" t="inlineStr">
        <is>
          <t xml:space="preserve">Table 5 -- WACC x g two-way grid</t>
        </is>
      </c>
      <c r="C214" t="inlineStr">
        <is>
          <t xml:space="preserve">WACC=14.0000%, g=0.0000%</t>
        </is>
      </c>
      <c r="D214" t="inlineStr">
        <is>
          <t xml:space="preserve">Intrinsic Value per Share</t>
        </is>
      </c>
      <c r="E214" s="7">
        <v>182.7634324299865</v>
      </c>
      <c r="F214" s="7">
        <v>182.7634324299865</v>
      </c>
      <c r="G214" s="12">
        <f>ABS(E214-F214)</f>
        <v>0.0</v>
      </c>
      <c r="H214" s="10">
        <f>IF(F214=0,"n/a (zero denom)",G214/ABS(F214))</f>
        <v>0.0</v>
      </c>
      <c r="I214" s="10">
        <f>'Tolerances'!$B$13</f>
        <v>0.005</v>
      </c>
      <c r="J214" s="15" t="str">
        <f>IF(F214=0,IF(G214&lt;=0.000001,"PASS","FAIL"),IF(H214&lt;=I214,"PASS","FAIL"))</f>
        <v>PASS</v>
      </c>
      <c r="K214" t="inlineStr">
        <is>
          <t xml:space="preserve"/>
        </is>
      </c>
    </row>
    <row r="215">
      <c r="A215" t="inlineStr">
        <is>
          <t xml:space="preserve">MSFT</t>
        </is>
      </c>
      <c r="B215" t="inlineStr">
        <is>
          <t xml:space="preserve">Table 5 -- WACC x g two-way grid</t>
        </is>
      </c>
      <c r="C215" t="inlineStr">
        <is>
          <t xml:space="preserve">WACC=14.0000%, g=1.0000%</t>
        </is>
      </c>
      <c r="D215" t="inlineStr">
        <is>
          <t xml:space="preserve">Intrinsic Value per Share</t>
        </is>
      </c>
      <c r="E215" s="7">
        <v>192.30760295802264</v>
      </c>
      <c r="F215" s="7">
        <v>192.30760295802264</v>
      </c>
      <c r="G215" s="12">
        <f>ABS(E215-F215)</f>
        <v>0.0</v>
      </c>
      <c r="H215" s="10">
        <f>IF(F215=0,"n/a (zero denom)",G215/ABS(F215))</f>
        <v>0.0</v>
      </c>
      <c r="I215" s="10">
        <f>'Tolerances'!$B$13</f>
        <v>0.005</v>
      </c>
      <c r="J215" s="15" t="str">
        <f>IF(F215=0,IF(G215&lt;=0.000001,"PASS","FAIL"),IF(H215&lt;=I215,"PASS","FAIL"))</f>
        <v>PASS</v>
      </c>
      <c r="K215" t="inlineStr">
        <is>
          <t xml:space="preserve"/>
        </is>
      </c>
    </row>
    <row r="216">
      <c r="A216" t="inlineStr">
        <is>
          <t xml:space="preserve">MSFT</t>
        </is>
      </c>
      <c r="B216" t="inlineStr">
        <is>
          <t xml:space="preserve">Table 5 -- WACC x g two-way grid</t>
        </is>
      </c>
      <c r="C216" t="inlineStr">
        <is>
          <t xml:space="preserve">WACC=14.0000%, g=2.0000%</t>
        </is>
      </c>
      <c r="D216" t="inlineStr">
        <is>
          <t xml:space="preserve">Intrinsic Value per Share</t>
        </is>
      </c>
      <c r="E216" s="7">
        <v>203.44246857406483</v>
      </c>
      <c r="F216" s="7">
        <v>203.44246857406483</v>
      </c>
      <c r="G216" s="12">
        <f>ABS(E216-F216)</f>
        <v>0.0</v>
      </c>
      <c r="H216" s="10">
        <f>IF(F216=0,"n/a (zero denom)",G216/ABS(F216))</f>
        <v>0.0</v>
      </c>
      <c r="I216" s="10">
        <f>'Tolerances'!$B$13</f>
        <v>0.005</v>
      </c>
      <c r="J216" s="15" t="str">
        <f>IF(F216=0,IF(G216&lt;=0.000001,"PASS","FAIL"),IF(H216&lt;=I216,"PASS","FAIL"))</f>
        <v>PASS</v>
      </c>
      <c r="K216" t="inlineStr">
        <is>
          <t xml:space="preserve"/>
        </is>
      </c>
    </row>
    <row r="217">
      <c r="A217" t="inlineStr">
        <is>
          <t xml:space="preserve">MSFT</t>
        </is>
      </c>
      <c r="B217" t="inlineStr">
        <is>
          <t xml:space="preserve">Table 5 -- WACC x g two-way grid</t>
        </is>
      </c>
      <c r="C217" t="inlineStr">
        <is>
          <t xml:space="preserve">WACC=14.0000%, g=3.0000%</t>
        </is>
      </c>
      <c r="D217" t="inlineStr">
        <is>
          <t xml:space="preserve">Intrinsic Value per Share</t>
        </is>
      </c>
      <c r="E217" s="7">
        <v>216.6018552112056</v>
      </c>
      <c r="F217" s="7">
        <v>216.6018552112056</v>
      </c>
      <c r="G217" s="12">
        <f>ABS(E217-F217)</f>
        <v>0.0</v>
      </c>
      <c r="H217" s="10">
        <f>IF(F217=0,"n/a (zero denom)",G217/ABS(F217))</f>
        <v>0.0</v>
      </c>
      <c r="I217" s="10">
        <f>'Tolerances'!$B$13</f>
        <v>0.005</v>
      </c>
      <c r="J217" s="15" t="str">
        <f>IF(F217=0,IF(G217&lt;=0.000001,"PASS","FAIL"),IF(H217&lt;=I217,"PASS","FAIL"))</f>
        <v>PASS</v>
      </c>
      <c r="K217" t="inlineStr">
        <is>
          <t xml:space="preserve"/>
        </is>
      </c>
    </row>
    <row r="218">
      <c r="A218" t="inlineStr">
        <is>
          <t xml:space="preserve">MSFT</t>
        </is>
      </c>
      <c r="B218" t="inlineStr">
        <is>
          <t xml:space="preserve">Table 5 -- WACC x g two-way grid</t>
        </is>
      </c>
      <c r="C218" t="inlineStr">
        <is>
          <t xml:space="preserve">WACC=14.0000%, g=4.0000%</t>
        </is>
      </c>
      <c r="D218" t="inlineStr">
        <is>
          <t xml:space="preserve">Intrinsic Value per Share</t>
        </is>
      </c>
      <c r="E218" s="7">
        <v>232.3931191757745</v>
      </c>
      <c r="F218" s="7">
        <v>232.3931191757745</v>
      </c>
      <c r="G218" s="12">
        <f>ABS(E218-F218)</f>
        <v>0.0</v>
      </c>
      <c r="H218" s="10">
        <f>IF(F218=0,"n/a (zero denom)",G218/ABS(F218))</f>
        <v>0.0</v>
      </c>
      <c r="I218" s="10">
        <f>'Tolerances'!$B$13</f>
        <v>0.005</v>
      </c>
      <c r="J218" s="15" t="str">
        <f>IF(F218=0,IF(G218&lt;=0.000001,"PASS","FAIL"),IF(H218&lt;=I218,"PASS","FAIL"))</f>
        <v>PASS</v>
      </c>
      <c r="K218" t="inlineStr">
        <is>
          <t xml:space="preserve"/>
        </is>
      </c>
    </row>
    <row r="219">
      <c r="A219" t="inlineStr">
        <is>
          <t xml:space="preserve">MSFT</t>
        </is>
      </c>
      <c r="B219" t="inlineStr">
        <is>
          <t xml:space="preserve">Table 5 -- WACC x g two-way grid</t>
        </is>
      </c>
      <c r="C219" t="inlineStr">
        <is>
          <t xml:space="preserve">WACC=14.0000%, g=5.0000%</t>
        </is>
      </c>
      <c r="D219" t="inlineStr">
        <is>
          <t xml:space="preserve">Intrinsic Value per Share</t>
        </is>
      </c>
      <c r="E219" s="7">
        <v>251.69355291024763</v>
      </c>
      <c r="F219" s="7">
        <v>251.69355291024763</v>
      </c>
      <c r="G219" s="12">
        <f>ABS(E219-F219)</f>
        <v>0.0</v>
      </c>
      <c r="H219" s="10">
        <f>IF(F219=0,"n/a (zero denom)",G219/ABS(F219))</f>
        <v>0.0</v>
      </c>
      <c r="I219" s="10">
        <f>'Tolerances'!$B$13</f>
        <v>0.005</v>
      </c>
      <c r="J219" s="15" t="str">
        <f>IF(F219=0,IF(G219&lt;=0.000001,"PASS","FAIL"),IF(H219&lt;=I219,"PASS","FAIL"))</f>
        <v>PASS</v>
      </c>
      <c r="K219" t="inlineStr">
        <is>
          <t xml:space="preserve"/>
        </is>
      </c>
    </row>
    <row r="220">
      <c r="A220" t="inlineStr">
        <is>
          <t xml:space="preserve">MSFT</t>
        </is>
      </c>
      <c r="B220" t="inlineStr">
        <is>
          <t xml:space="preserve">Table 5 -- WACC x g two-way grid</t>
        </is>
      </c>
      <c r="C220" t="inlineStr">
        <is>
          <t xml:space="preserve">WACC=17.0000%, g=0.0000%</t>
        </is>
      </c>
      <c r="D220" t="inlineStr">
        <is>
          <t xml:space="preserve">Intrinsic Value per Share</t>
        </is>
      </c>
      <c r="E220" s="7">
        <v>146.95879097349757</v>
      </c>
      <c r="F220" s="7">
        <v>146.95879097349757</v>
      </c>
      <c r="G220" s="12">
        <f>ABS(E220-F220)</f>
        <v>0.0</v>
      </c>
      <c r="H220" s="10">
        <f>IF(F220=0,"n/a (zero denom)",G220/ABS(F220))</f>
        <v>0.0</v>
      </c>
      <c r="I220" s="10">
        <f>'Tolerances'!$B$13</f>
        <v>0.005</v>
      </c>
      <c r="J220" s="15" t="str">
        <f>IF(F220=0,IF(G220&lt;=0.000001,"PASS","FAIL"),IF(H220&lt;=I220,"PASS","FAIL"))</f>
        <v>PASS</v>
      </c>
      <c r="K220" t="inlineStr">
        <is>
          <t xml:space="preserve"/>
        </is>
      </c>
    </row>
    <row r="221">
      <c r="A221" t="inlineStr">
        <is>
          <t xml:space="preserve">MSFT</t>
        </is>
      </c>
      <c r="B221" t="inlineStr">
        <is>
          <t xml:space="preserve">Table 5 -- WACC x g two-way grid</t>
        </is>
      </c>
      <c r="C221" t="inlineStr">
        <is>
          <t xml:space="preserve">WACC=17.0000%, g=1.0000%</t>
        </is>
      </c>
      <c r="D221" t="inlineStr">
        <is>
          <t xml:space="preserve">Intrinsic Value per Share</t>
        </is>
      </c>
      <c r="E221" s="7">
        <v>152.7147359368641</v>
      </c>
      <c r="F221" s="7">
        <v>152.7147359368641</v>
      </c>
      <c r="G221" s="12">
        <f>ABS(E221-F221)</f>
        <v>0.0</v>
      </c>
      <c r="H221" s="10">
        <f>IF(F221=0,"n/a (zero denom)",G221/ABS(F221))</f>
        <v>0.0</v>
      </c>
      <c r="I221" s="10">
        <f>'Tolerances'!$B$13</f>
        <v>0.005</v>
      </c>
      <c r="J221" s="15" t="str">
        <f>IF(F221=0,IF(G221&lt;=0.000001,"PASS","FAIL"),IF(H221&lt;=I221,"PASS","FAIL"))</f>
        <v>PASS</v>
      </c>
      <c r="K221" t="inlineStr">
        <is>
          <t xml:space="preserve"/>
        </is>
      </c>
    </row>
    <row r="222">
      <c r="A222" t="inlineStr">
        <is>
          <t xml:space="preserve">MSFT</t>
        </is>
      </c>
      <c r="B222" t="inlineStr">
        <is>
          <t xml:space="preserve">Table 5 -- WACC x g two-way grid</t>
        </is>
      </c>
      <c r="C222" t="inlineStr">
        <is>
          <t xml:space="preserve">WACC=17.0000%, g=2.0000%</t>
        </is>
      </c>
      <c r="D222" t="inlineStr">
        <is>
          <t xml:space="preserve">Intrinsic Value per Share</t>
        </is>
      </c>
      <c r="E222" s="7">
        <v>159.23814022867944</v>
      </c>
      <c r="F222" s="7">
        <v>159.23814022867944</v>
      </c>
      <c r="G222" s="12">
        <f>ABS(E222-F222)</f>
        <v>0.0</v>
      </c>
      <c r="H222" s="10">
        <f>IF(F222=0,"n/a (zero denom)",G222/ABS(F222))</f>
        <v>0.0</v>
      </c>
      <c r="I222" s="10">
        <f>'Tolerances'!$B$13</f>
        <v>0.005</v>
      </c>
      <c r="J222" s="15" t="str">
        <f>IF(F222=0,IF(G222&lt;=0.000001,"PASS","FAIL"),IF(H222&lt;=I222,"PASS","FAIL"))</f>
        <v>PASS</v>
      </c>
      <c r="K222" t="inlineStr">
        <is>
          <t xml:space="preserve"/>
        </is>
      </c>
    </row>
    <row r="223">
      <c r="A223" t="inlineStr">
        <is>
          <t xml:space="preserve">MSFT</t>
        </is>
      </c>
      <c r="B223" t="inlineStr">
        <is>
          <t xml:space="preserve">Table 5 -- WACC x g two-way grid</t>
        </is>
      </c>
      <c r="C223" t="inlineStr">
        <is>
          <t xml:space="preserve">WACC=17.0000%, g=3.0000%</t>
        </is>
      </c>
      <c r="D223" t="inlineStr">
        <is>
          <t xml:space="preserve">Intrinsic Value per Share</t>
        </is>
      </c>
      <c r="E223" s="7">
        <v>166.69345941932556</v>
      </c>
      <c r="F223" s="7">
        <v>166.69345941932556</v>
      </c>
      <c r="G223" s="12">
        <f>ABS(E223-F223)</f>
        <v>0.0</v>
      </c>
      <c r="H223" s="10">
        <f>IF(F223=0,"n/a (zero denom)",G223/ABS(F223))</f>
        <v>0.0</v>
      </c>
      <c r="I223" s="10">
        <f>'Tolerances'!$B$13</f>
        <v>0.005</v>
      </c>
      <c r="J223" s="15" t="str">
        <f>IF(F223=0,IF(G223&lt;=0.000001,"PASS","FAIL"),IF(H223&lt;=I223,"PASS","FAIL"))</f>
        <v>PASS</v>
      </c>
      <c r="K223" t="inlineStr">
        <is>
          <t xml:space="preserve"/>
        </is>
      </c>
    </row>
    <row r="224">
      <c r="A224" t="inlineStr">
        <is>
          <t xml:space="preserve">MSFT</t>
        </is>
      </c>
      <c r="B224" t="inlineStr">
        <is>
          <t xml:space="preserve">Table 5 -- WACC x g two-way grid</t>
        </is>
      </c>
      <c r="C224" t="inlineStr">
        <is>
          <t xml:space="preserve">WACC=17.0000%, g=4.0000%</t>
        </is>
      </c>
      <c r="D224" t="inlineStr">
        <is>
          <t xml:space="preserve">Intrinsic Value per Share</t>
        </is>
      </c>
      <c r="E224" s="7">
        <v>175.29575079314807</v>
      </c>
      <c r="F224" s="7">
        <v>175.29575079314807</v>
      </c>
      <c r="G224" s="12">
        <f>ABS(E224-F224)</f>
        <v>0.0</v>
      </c>
      <c r="H224" s="10">
        <f>IF(F224=0,"n/a (zero denom)",G224/ABS(F224))</f>
        <v>0.0</v>
      </c>
      <c r="I224" s="10">
        <f>'Tolerances'!$B$13</f>
        <v>0.005</v>
      </c>
      <c r="J224" s="15" t="str">
        <f>IF(F224=0,IF(G224&lt;=0.000001,"PASS","FAIL"),IF(H224&lt;=I224,"PASS","FAIL"))</f>
        <v>PASS</v>
      </c>
      <c r="K224" t="inlineStr">
        <is>
          <t xml:space="preserve"/>
        </is>
      </c>
    </row>
    <row r="225">
      <c r="A225" t="inlineStr">
        <is>
          <t xml:space="preserve">MSFT</t>
        </is>
      </c>
      <c r="B225" t="inlineStr">
        <is>
          <t xml:space="preserve">Table 5 -- WACC x g two-way grid</t>
        </is>
      </c>
      <c r="C225" t="inlineStr">
        <is>
          <t xml:space="preserve">WACC=17.0000%, g=5.0000%</t>
        </is>
      </c>
      <c r="D225" t="inlineStr">
        <is>
          <t xml:space="preserve">Intrinsic Value per Share</t>
        </is>
      </c>
      <c r="E225" s="7">
        <v>185.33175739594094</v>
      </c>
      <c r="F225" s="7">
        <v>185.33175739594094</v>
      </c>
      <c r="G225" s="12">
        <f>ABS(E225-F225)</f>
        <v>0.0</v>
      </c>
      <c r="H225" s="10">
        <f>IF(F225=0,"n/a (zero denom)",G225/ABS(F225))</f>
        <v>0.0</v>
      </c>
      <c r="I225" s="10">
        <f>'Tolerances'!$B$13</f>
        <v>0.005</v>
      </c>
      <c r="J225" s="15" t="str">
        <f>IF(F225=0,IF(G225&lt;=0.000001,"PASS","FAIL"),IF(H225&lt;=I225,"PASS","FAIL"))</f>
        <v>PASS</v>
      </c>
      <c r="K225" t="inlineStr">
        <is>
          <t xml:space="preserve"/>
        </is>
      </c>
    </row>
    <row r="226">
      <c r="A226" t="inlineStr">
        <is>
          <t xml:space="preserve">MSFT</t>
        </is>
      </c>
      <c r="B226" t="inlineStr">
        <is>
          <t xml:space="preserve">Table 5 -- WACC x g two-way grid</t>
        </is>
      </c>
      <c r="C226" t="inlineStr">
        <is>
          <t xml:space="preserve">WACC=20.0000%, g=0.0000%</t>
        </is>
      </c>
      <c r="D226" t="inlineStr">
        <is>
          <t xml:space="preserve">Intrinsic Value per Share</t>
        </is>
      </c>
      <c r="E226" s="7">
        <v>122.15012214310893</v>
      </c>
      <c r="F226" s="7">
        <v>122.15012214310893</v>
      </c>
      <c r="G226" s="12">
        <f>ABS(E226-F226)</f>
        <v>0.0</v>
      </c>
      <c r="H226" s="10">
        <f>IF(F226=0,"n/a (zero denom)",G226/ABS(F226))</f>
        <v>0.0</v>
      </c>
      <c r="I226" s="10">
        <f>'Tolerances'!$B$13</f>
        <v>0.005</v>
      </c>
      <c r="J226" s="15" t="str">
        <f>IF(F226=0,IF(G226&lt;=0.000001,"PASS","FAIL"),IF(H226&lt;=I226,"PASS","FAIL"))</f>
        <v>PASS</v>
      </c>
      <c r="K226" t="inlineStr">
        <is>
          <t xml:space="preserve"/>
        </is>
      </c>
    </row>
    <row r="227">
      <c r="A227" t="inlineStr">
        <is>
          <t xml:space="preserve">MSFT</t>
        </is>
      </c>
      <c r="B227" t="inlineStr">
        <is>
          <t xml:space="preserve">Table 5 -- WACC x g two-way grid</t>
        </is>
      </c>
      <c r="C227" t="inlineStr">
        <is>
          <t xml:space="preserve">WACC=20.0000%, g=1.0000%</t>
        </is>
      </c>
      <c r="D227" t="inlineStr">
        <is>
          <t xml:space="preserve">Intrinsic Value per Share</t>
        </is>
      </c>
      <c r="E227" s="7">
        <v>125.87335675205506</v>
      </c>
      <c r="F227" s="7">
        <v>125.87335675205506</v>
      </c>
      <c r="G227" s="12">
        <f>ABS(E227-F227)</f>
        <v>0.0</v>
      </c>
      <c r="H227" s="10">
        <f>IF(F227=0,"n/a (zero denom)",G227/ABS(F227))</f>
        <v>0.0</v>
      </c>
      <c r="I227" s="10">
        <f>'Tolerances'!$B$13</f>
        <v>0.005</v>
      </c>
      <c r="J227" s="15" t="str">
        <f>IF(F227=0,IF(G227&lt;=0.000001,"PASS","FAIL"),IF(H227&lt;=I227,"PASS","FAIL"))</f>
        <v>PASS</v>
      </c>
      <c r="K227" t="inlineStr">
        <is>
          <t xml:space="preserve"/>
        </is>
      </c>
    </row>
    <row r="228">
      <c r="A228" t="inlineStr">
        <is>
          <t xml:space="preserve">MSFT</t>
        </is>
      </c>
      <c r="B228" t="inlineStr">
        <is>
          <t xml:space="preserve">Table 5 -- WACC x g two-way grid</t>
        </is>
      </c>
      <c r="C228" t="inlineStr">
        <is>
          <t xml:space="preserve">WACC=20.0000%, g=2.0000%</t>
        </is>
      </c>
      <c r="D228" t="inlineStr">
        <is>
          <t xml:space="preserve">Intrinsic Value per Share</t>
        </is>
      </c>
      <c r="E228" s="7">
        <v>130.01028409532856</v>
      </c>
      <c r="F228" s="7">
        <v>130.01028409532856</v>
      </c>
      <c r="G228" s="12">
        <f>ABS(E228-F228)</f>
        <v>0.0</v>
      </c>
      <c r="H228" s="10">
        <f>IF(F228=0,"n/a (zero denom)",G228/ABS(F228))</f>
        <v>0.0</v>
      </c>
      <c r="I228" s="10">
        <f>'Tolerances'!$B$13</f>
        <v>0.005</v>
      </c>
      <c r="J228" s="15" t="str">
        <f>IF(F228=0,IF(G228&lt;=0.000001,"PASS","FAIL"),IF(H228&lt;=I228,"PASS","FAIL"))</f>
        <v>PASS</v>
      </c>
      <c r="K228" t="inlineStr">
        <is>
          <t xml:space="preserve"/>
        </is>
      </c>
    </row>
    <row r="229">
      <c r="A229" t="inlineStr">
        <is>
          <t xml:space="preserve">MSFT</t>
        </is>
      </c>
      <c r="B229" t="inlineStr">
        <is>
          <t xml:space="preserve">Table 5 -- WACC x g two-way grid</t>
        </is>
      </c>
      <c r="C229" t="inlineStr">
        <is>
          <t xml:space="preserve">WACC=20.0000%, g=3.0000%</t>
        </is>
      </c>
      <c r="D229" t="inlineStr">
        <is>
          <t xml:space="preserve">Intrinsic Value per Share</t>
        </is>
      </c>
      <c r="E229" s="7">
        <v>134.63390877310476</v>
      </c>
      <c r="F229" s="7">
        <v>134.63390877310476</v>
      </c>
      <c r="G229" s="12">
        <f>ABS(E229-F229)</f>
        <v>0.0</v>
      </c>
      <c r="H229" s="10">
        <f>IF(F229=0,"n/a (zero denom)",G229/ABS(F229))</f>
        <v>0.0</v>
      </c>
      <c r="I229" s="10">
        <f>'Tolerances'!$B$13</f>
        <v>0.005</v>
      </c>
      <c r="J229" s="15" t="str">
        <f>IF(F229=0,IF(G229&lt;=0.000001,"PASS","FAIL"),IF(H229&lt;=I229,"PASS","FAIL"))</f>
        <v>PASS</v>
      </c>
      <c r="K229" t="inlineStr">
        <is>
          <t xml:space="preserve"/>
        </is>
      </c>
    </row>
    <row r="230">
      <c r="A230" t="inlineStr">
        <is>
          <t xml:space="preserve">MSFT</t>
        </is>
      </c>
      <c r="B230" t="inlineStr">
        <is>
          <t xml:space="preserve">Table 5 -- WACC x g two-way grid</t>
        </is>
      </c>
      <c r="C230" t="inlineStr">
        <is>
          <t xml:space="preserve">WACC=20.0000%, g=4.0000%</t>
        </is>
      </c>
      <c r="D230" t="inlineStr">
        <is>
          <t xml:space="preserve">Intrinsic Value per Share</t>
        </is>
      </c>
      <c r="E230" s="7">
        <v>139.83548653560305</v>
      </c>
      <c r="F230" s="7">
        <v>139.83548653560305</v>
      </c>
      <c r="G230" s="12">
        <f>ABS(E230-F230)</f>
        <v>0.0</v>
      </c>
      <c r="H230" s="10">
        <f>IF(F230=0,"n/a (zero denom)",G230/ABS(F230))</f>
        <v>0.0</v>
      </c>
      <c r="I230" s="10">
        <f>'Tolerances'!$B$13</f>
        <v>0.005</v>
      </c>
      <c r="J230" s="15" t="str">
        <f>IF(F230=0,IF(G230&lt;=0.000001,"PASS","FAIL"),IF(H230&lt;=I230,"PASS","FAIL"))</f>
        <v>PASS</v>
      </c>
      <c r="K230" t="inlineStr">
        <is>
          <t xml:space="preserve"/>
        </is>
      </c>
    </row>
    <row r="231">
      <c r="A231" t="inlineStr">
        <is>
          <t xml:space="preserve">MSFT</t>
        </is>
      </c>
      <c r="B231" t="inlineStr">
        <is>
          <t xml:space="preserve">Table 5 -- WACC x g two-way grid</t>
        </is>
      </c>
      <c r="C231" t="inlineStr">
        <is>
          <t xml:space="preserve">WACC=20.0000%, g=5.0000%</t>
        </is>
      </c>
      <c r="D231" t="inlineStr">
        <is>
          <t xml:space="preserve">Intrinsic Value per Share</t>
        </is>
      </c>
      <c r="E231" s="7">
        <v>145.73060799976776</v>
      </c>
      <c r="F231" s="7">
        <v>145.73060799976776</v>
      </c>
      <c r="G231" s="12">
        <f>ABS(E231-F231)</f>
        <v>0.0</v>
      </c>
      <c r="H231" s="10">
        <f>IF(F231=0,"n/a (zero denom)",G231/ABS(F231))</f>
        <v>0.0</v>
      </c>
      <c r="I231" s="10">
        <f>'Tolerances'!$B$13</f>
        <v>0.005</v>
      </c>
      <c r="J231" s="15" t="str">
        <f>IF(F231=0,IF(G231&lt;=0.000001,"PASS","FAIL"),IF(H231&lt;=I231,"PASS","FAIL"))</f>
        <v>PASS</v>
      </c>
      <c r="K231" t="inlineStr">
        <is>
          <t xml:space="preserve"/>
        </is>
      </c>
    </row>
    <row r="232">
      <c r="A232" t="inlineStr">
        <is>
          <t xml:space="preserve">CAT</t>
        </is>
      </c>
      <c r="B232" t="inlineStr">
        <is>
          <t xml:space="preserve">Table 1 -- WACC</t>
        </is>
      </c>
      <c r="C232" t="inlineStr">
        <is>
          <t xml:space="preserve">WACC=5.0000%</t>
        </is>
      </c>
      <c r="D232" t="inlineStr">
        <is>
          <t xml:space="preserve">Terminal Value</t>
        </is>
      </c>
      <c r="E232" s="6">
        <v>454248847006.9486</v>
      </c>
      <c r="F232" s="6">
        <v>454248847006.9486</v>
      </c>
      <c r="G232" s="11">
        <f>ABS(E232-F232)</f>
        <v>0.0</v>
      </c>
      <c r="H232" s="10">
        <f>IF(F232=0,"n/a (zero denom)",G232/ABS(F232))</f>
        <v>0.0</v>
      </c>
      <c r="I232" s="10">
        <f>'Tolerances'!$B$7</f>
        <v>0.002</v>
      </c>
      <c r="J232" s="15" t="str">
        <f>IF(F232=0,IF(G232&lt;=0.000001,"PASS","FAIL"),IF(H232&lt;=I232,"PASS","FAIL"))</f>
        <v>PASS</v>
      </c>
      <c r="K232" t="inlineStr">
        <is>
          <t xml:space="preserve"/>
        </is>
      </c>
    </row>
    <row r="233">
      <c r="A233" t="inlineStr">
        <is>
          <t xml:space="preserve">CAT</t>
        </is>
      </c>
      <c r="B233" t="inlineStr">
        <is>
          <t xml:space="preserve">Table 1 -- WACC</t>
        </is>
      </c>
      <c r="C233" t="inlineStr">
        <is>
          <t xml:space="preserve">WACC=5.0000%</t>
        </is>
      </c>
      <c r="D233" t="inlineStr">
        <is>
          <t xml:space="preserve">Enterprise Value</t>
        </is>
      </c>
      <c r="E233" s="6">
        <v>397491714619.226</v>
      </c>
      <c r="F233" s="6">
        <v>397491714619.226</v>
      </c>
      <c r="G233" s="11">
        <f>ABS(E233-F233)</f>
        <v>0.0</v>
      </c>
      <c r="H233" s="10">
        <f>IF(F233=0,"n/a (zero denom)",G233/ABS(F233))</f>
        <v>0.0</v>
      </c>
      <c r="I233" s="10">
        <f>'Tolerances'!$B$10</f>
        <v>0.002</v>
      </c>
      <c r="J233" s="15" t="str">
        <f>IF(F233=0,IF(G233&lt;=0.000001,"PASS","FAIL"),IF(H233&lt;=I233,"PASS","FAIL"))</f>
        <v>PASS</v>
      </c>
      <c r="K233" t="inlineStr">
        <is>
          <t xml:space="preserve"/>
        </is>
      </c>
    </row>
    <row r="234">
      <c r="A234" t="inlineStr">
        <is>
          <t xml:space="preserve">CAT</t>
        </is>
      </c>
      <c r="B234" t="inlineStr">
        <is>
          <t xml:space="preserve">Table 1 -- WACC</t>
        </is>
      </c>
      <c r="C234" t="inlineStr">
        <is>
          <t xml:space="preserve">WACC=5.0000%</t>
        </is>
      </c>
      <c r="D234" t="inlineStr">
        <is>
          <t xml:space="preserve">Equity Value</t>
        </is>
      </c>
      <c r="E234" s="6">
        <v>371261714619.226</v>
      </c>
      <c r="F234" s="6">
        <v>371261714619.226</v>
      </c>
      <c r="G234" s="11">
        <f>ABS(E234-F234)</f>
        <v>0.0</v>
      </c>
      <c r="H234" s="10">
        <f>IF(F234=0,"n/a (zero denom)",G234/ABS(F234))</f>
        <v>0.0</v>
      </c>
      <c r="I234" s="10">
        <f>'Tolerances'!$B$11</f>
        <v>0.002</v>
      </c>
      <c r="J234" s="15" t="str">
        <f>IF(F234=0,IF(G234&lt;=0.000001,"PASS","FAIL"),IF(H234&lt;=I234,"PASS","FAIL"))</f>
        <v>PASS</v>
      </c>
      <c r="K234" t="inlineStr">
        <is>
          <t xml:space="preserve"/>
        </is>
      </c>
    </row>
    <row r="235">
      <c r="A235" t="inlineStr">
        <is>
          <t xml:space="preserve">CAT</t>
        </is>
      </c>
      <c r="B235" t="inlineStr">
        <is>
          <t xml:space="preserve">Table 1 -- WACC</t>
        </is>
      </c>
      <c r="C235" t="inlineStr">
        <is>
          <t xml:space="preserve">WACC=5.0000%</t>
        </is>
      </c>
      <c r="D235" t="inlineStr">
        <is>
          <t xml:space="preserve">Intrinsic Value per Share</t>
        </is>
      </c>
      <c r="E235" s="7">
        <v>807.6615092612249</v>
      </c>
      <c r="F235" s="7">
        <v>807.6615092612249</v>
      </c>
      <c r="G235" s="12">
        <f>ABS(E235-F235)</f>
        <v>0.0</v>
      </c>
      <c r="H235" s="10">
        <f>IF(F235=0,"n/a (zero denom)",G235/ABS(F235))</f>
        <v>0.0</v>
      </c>
      <c r="I235" s="10">
        <f>'Tolerances'!$B$13</f>
        <v>0.005</v>
      </c>
      <c r="J235" s="15" t="str">
        <f>IF(F235=0,IF(G235&lt;=0.000001,"PASS","FAIL"),IF(H235&lt;=I235,"PASS","FAIL"))</f>
        <v>PASS</v>
      </c>
      <c r="K235" t="inlineStr">
        <is>
          <t xml:space="preserve"/>
        </is>
      </c>
    </row>
    <row r="236">
      <c r="A236" t="inlineStr">
        <is>
          <t xml:space="preserve">CAT</t>
        </is>
      </c>
      <c r="B236" t="inlineStr">
        <is>
          <t xml:space="preserve">Table 1 -- WACC</t>
        </is>
      </c>
      <c r="C236" t="inlineStr">
        <is>
          <t xml:space="preserve">WACC=7.5000%</t>
        </is>
      </c>
      <c r="D236" t="inlineStr">
        <is>
          <t xml:space="preserve">Terminal Value</t>
        </is>
      </c>
      <c r="E236" s="6">
        <v>227124423503.47433</v>
      </c>
      <c r="F236" s="6">
        <v>227124423503.47433</v>
      </c>
      <c r="G236" s="11">
        <f>ABS(E236-F236)</f>
        <v>0.0</v>
      </c>
      <c r="H236" s="10">
        <f>IF(F236=0,"n/a (zero denom)",G236/ABS(F236))</f>
        <v>0.0</v>
      </c>
      <c r="I236" s="10">
        <f>'Tolerances'!$B$7</f>
        <v>0.002</v>
      </c>
      <c r="J236" s="15" t="str">
        <f>IF(F236=0,IF(G236&lt;=0.000001,"PASS","FAIL"),IF(H236&lt;=I236,"PASS","FAIL"))</f>
        <v>PASS</v>
      </c>
      <c r="K236" t="inlineStr">
        <is>
          <t xml:space="preserve"/>
        </is>
      </c>
    </row>
    <row r="237">
      <c r="A237" t="inlineStr">
        <is>
          <t xml:space="preserve">CAT</t>
        </is>
      </c>
      <c r="B237" t="inlineStr">
        <is>
          <t xml:space="preserve">Table 1 -- WACC</t>
        </is>
      </c>
      <c r="C237" t="inlineStr">
        <is>
          <t xml:space="preserve">WACC=7.5000%</t>
        </is>
      </c>
      <c r="D237" t="inlineStr">
        <is>
          <t xml:space="preserve">Enterprise Value</t>
        </is>
      </c>
      <c r="E237" s="6">
        <v>196929416257.16165</v>
      </c>
      <c r="F237" s="6">
        <v>196929416257.16165</v>
      </c>
      <c r="G237" s="11">
        <f>ABS(E237-F237)</f>
        <v>0.0</v>
      </c>
      <c r="H237" s="10">
        <f>IF(F237=0,"n/a (zero denom)",G237/ABS(F237))</f>
        <v>0.0</v>
      </c>
      <c r="I237" s="10">
        <f>'Tolerances'!$B$10</f>
        <v>0.002</v>
      </c>
      <c r="J237" s="15" t="str">
        <f>IF(F237=0,IF(G237&lt;=0.000001,"PASS","FAIL"),IF(H237&lt;=I237,"PASS","FAIL"))</f>
        <v>PASS</v>
      </c>
      <c r="K237" t="inlineStr">
        <is>
          <t xml:space="preserve"/>
        </is>
      </c>
    </row>
    <row r="238">
      <c r="A238" t="inlineStr">
        <is>
          <t xml:space="preserve">CAT</t>
        </is>
      </c>
      <c r="B238" t="inlineStr">
        <is>
          <t xml:space="preserve">Table 1 -- WACC</t>
        </is>
      </c>
      <c r="C238" t="inlineStr">
        <is>
          <t xml:space="preserve">WACC=7.5000%</t>
        </is>
      </c>
      <c r="D238" t="inlineStr">
        <is>
          <t xml:space="preserve">Equity Value</t>
        </is>
      </c>
      <c r="E238" s="6">
        <v>170699416257.16165</v>
      </c>
      <c r="F238" s="6">
        <v>170699416257.16165</v>
      </c>
      <c r="G238" s="11">
        <f>ABS(E238-F238)</f>
        <v>0.0</v>
      </c>
      <c r="H238" s="10">
        <f>IF(F238=0,"n/a (zero denom)",G238/ABS(F238))</f>
        <v>0.0</v>
      </c>
      <c r="I238" s="10">
        <f>'Tolerances'!$B$11</f>
        <v>0.002</v>
      </c>
      <c r="J238" s="15" t="str">
        <f>IF(F238=0,IF(G238&lt;=0.000001,"PASS","FAIL"),IF(H238&lt;=I238,"PASS","FAIL"))</f>
        <v>PASS</v>
      </c>
      <c r="K238" t="inlineStr">
        <is>
          <t xml:space="preserve"/>
        </is>
      </c>
    </row>
    <row r="239">
      <c r="A239" t="inlineStr">
        <is>
          <t xml:space="preserve">CAT</t>
        </is>
      </c>
      <c r="B239" t="inlineStr">
        <is>
          <t xml:space="preserve">Table 1 -- WACC</t>
        </is>
      </c>
      <c r="C239" t="inlineStr">
        <is>
          <t xml:space="preserve">WACC=7.5000%</t>
        </is>
      </c>
      <c r="D239" t="inlineStr">
        <is>
          <t xml:space="preserve">Intrinsic Value per Share</t>
        </is>
      </c>
      <c r="E239" s="7">
        <v>371.34814265906454</v>
      </c>
      <c r="F239" s="7">
        <v>371.34814265906454</v>
      </c>
      <c r="G239" s="12">
        <f>ABS(E239-F239)</f>
        <v>0.0</v>
      </c>
      <c r="H239" s="10">
        <f>IF(F239=0,"n/a (zero denom)",G239/ABS(F239))</f>
        <v>0.0</v>
      </c>
      <c r="I239" s="10">
        <f>'Tolerances'!$B$13</f>
        <v>0.005</v>
      </c>
      <c r="J239" s="15" t="str">
        <f>IF(F239=0,IF(G239&lt;=0.000001,"PASS","FAIL"),IF(H239&lt;=I239,"PASS","FAIL"))</f>
        <v>PASS</v>
      </c>
      <c r="K239" t="inlineStr">
        <is>
          <t xml:space="preserve"/>
        </is>
      </c>
    </row>
    <row r="240">
      <c r="A240" t="inlineStr">
        <is>
          <t xml:space="preserve">CAT</t>
        </is>
      </c>
      <c r="B240" t="inlineStr">
        <is>
          <t xml:space="preserve">Table 1 -- WACC</t>
        </is>
      </c>
      <c r="C240" t="inlineStr">
        <is>
          <t xml:space="preserve">WACC=10.0000%</t>
        </is>
      </c>
      <c r="D240" t="inlineStr">
        <is>
          <t xml:space="preserve">Terminal Value</t>
        </is>
      </c>
      <c r="E240" s="6">
        <v>151416282335.6495</v>
      </c>
      <c r="F240" s="6">
        <v>151416282335.6495</v>
      </c>
      <c r="G240" s="11">
        <f>ABS(E240-F240)</f>
        <v>0.0</v>
      </c>
      <c r="H240" s="10">
        <f>IF(F240=0,"n/a (zero denom)",G240/ABS(F240))</f>
        <v>0.0</v>
      </c>
      <c r="I240" s="10">
        <f>'Tolerances'!$B$7</f>
        <v>0.002</v>
      </c>
      <c r="J240" s="15" t="str">
        <f>IF(F240=0,IF(G240&lt;=0.000001,"PASS","FAIL"),IF(H240&lt;=I240,"PASS","FAIL"))</f>
        <v>PASS</v>
      </c>
      <c r="K240" t="inlineStr">
        <is>
          <t xml:space="preserve"/>
        </is>
      </c>
    </row>
    <row r="241">
      <c r="A241" t="inlineStr">
        <is>
          <t xml:space="preserve">CAT</t>
        </is>
      </c>
      <c r="B241" t="inlineStr">
        <is>
          <t xml:space="preserve">Table 1 -- WACC</t>
        </is>
      </c>
      <c r="C241" t="inlineStr">
        <is>
          <t xml:space="preserve">WACC=10.0000%</t>
        </is>
      </c>
      <c r="D241" t="inlineStr">
        <is>
          <t xml:space="preserve">Enterprise Value</t>
        </is>
      </c>
      <c r="E241" s="6">
        <v>130182873269.23093</v>
      </c>
      <c r="F241" s="6">
        <v>130182873269.23093</v>
      </c>
      <c r="G241" s="11">
        <f>ABS(E241-F241)</f>
        <v>0.0</v>
      </c>
      <c r="H241" s="10">
        <f>IF(F241=0,"n/a (zero denom)",G241/ABS(F241))</f>
        <v>0.0</v>
      </c>
      <c r="I241" s="10">
        <f>'Tolerances'!$B$10</f>
        <v>0.002</v>
      </c>
      <c r="J241" s="15" t="str">
        <f>IF(F241=0,IF(G241&lt;=0.000001,"PASS","FAIL"),IF(H241&lt;=I241,"PASS","FAIL"))</f>
        <v>PASS</v>
      </c>
      <c r="K241" t="inlineStr">
        <is>
          <t xml:space="preserve"/>
        </is>
      </c>
    </row>
    <row r="242">
      <c r="A242" t="inlineStr">
        <is>
          <t xml:space="preserve">CAT</t>
        </is>
      </c>
      <c r="B242" t="inlineStr">
        <is>
          <t xml:space="preserve">Table 1 -- WACC</t>
        </is>
      </c>
      <c r="C242" t="inlineStr">
        <is>
          <t xml:space="preserve">WACC=10.0000%</t>
        </is>
      </c>
      <c r="D242" t="inlineStr">
        <is>
          <t xml:space="preserve">Equity Value</t>
        </is>
      </c>
      <c r="E242" s="6">
        <v>103952873269.23093</v>
      </c>
      <c r="F242" s="6">
        <v>103952873269.23093</v>
      </c>
      <c r="G242" s="11">
        <f>ABS(E242-F242)</f>
        <v>0.0</v>
      </c>
      <c r="H242" s="10">
        <f>IF(F242=0,"n/a (zero denom)",G242/ABS(F242))</f>
        <v>0.0</v>
      </c>
      <c r="I242" s="10">
        <f>'Tolerances'!$B$11</f>
        <v>0.002</v>
      </c>
      <c r="J242" s="15" t="str">
        <f>IF(F242=0,IF(G242&lt;=0.000001,"PASS","FAIL"),IF(H242&lt;=I242,"PASS","FAIL"))</f>
        <v>PASS</v>
      </c>
      <c r="K242" t="inlineStr">
        <is>
          <t xml:space="preserve"/>
        </is>
      </c>
    </row>
    <row r="243">
      <c r="A243" t="inlineStr">
        <is>
          <t xml:space="preserve">CAT</t>
        </is>
      </c>
      <c r="B243" t="inlineStr">
        <is>
          <t xml:space="preserve">Table 1 -- WACC</t>
        </is>
      </c>
      <c r="C243" t="inlineStr">
        <is>
          <t xml:space="preserve">WACC=10.0000%</t>
        </is>
      </c>
      <c r="D243" t="inlineStr">
        <is>
          <t xml:space="preserve">Intrinsic Value per Share</t>
        </is>
      </c>
      <c r="E243" s="7">
        <v>226.1443375673082</v>
      </c>
      <c r="F243" s="7">
        <v>226.1443375673082</v>
      </c>
      <c r="G243" s="12">
        <f>ABS(E243-F243)</f>
        <v>0.0</v>
      </c>
      <c r="H243" s="10">
        <f>IF(F243=0,"n/a (zero denom)",G243/ABS(F243))</f>
        <v>0.0</v>
      </c>
      <c r="I243" s="10">
        <f>'Tolerances'!$B$13</f>
        <v>0.005</v>
      </c>
      <c r="J243" s="15" t="str">
        <f>IF(F243=0,IF(G243&lt;=0.000001,"PASS","FAIL"),IF(H243&lt;=I243,"PASS","FAIL"))</f>
        <v>PASS</v>
      </c>
      <c r="K243" t="inlineStr">
        <is>
          <t xml:space="preserve"/>
        </is>
      </c>
    </row>
    <row r="244">
      <c r="A244" t="inlineStr">
        <is>
          <t xml:space="preserve">CAT</t>
        </is>
      </c>
      <c r="B244" t="inlineStr">
        <is>
          <t xml:space="preserve">Table 1 -- WACC</t>
        </is>
      </c>
      <c r="C244" t="inlineStr">
        <is>
          <t xml:space="preserve">WACC=12.5000%</t>
        </is>
      </c>
      <c r="D244" t="inlineStr">
        <is>
          <t xml:space="preserve">Terminal Value</t>
        </is>
      </c>
      <c r="E244" s="6">
        <v>113562211751.73715</v>
      </c>
      <c r="F244" s="6">
        <v>113562211751.73715</v>
      </c>
      <c r="G244" s="11">
        <f>ABS(E244-F244)</f>
        <v>0.0</v>
      </c>
      <c r="H244" s="10">
        <f>IF(F244=0,"n/a (zero denom)",G244/ABS(F244))</f>
        <v>0.0</v>
      </c>
      <c r="I244" s="10">
        <f>'Tolerances'!$B$7</f>
        <v>0.002</v>
      </c>
      <c r="J244" s="15" t="str">
        <f>IF(F244=0,IF(G244&lt;=0.000001,"PASS","FAIL"),IF(H244&lt;=I244,"PASS","FAIL"))</f>
        <v>PASS</v>
      </c>
      <c r="K244" t="inlineStr">
        <is>
          <t xml:space="preserve"/>
        </is>
      </c>
    </row>
    <row r="245">
      <c r="A245" t="inlineStr">
        <is>
          <t xml:space="preserve">CAT</t>
        </is>
      </c>
      <c r="B245" t="inlineStr">
        <is>
          <t xml:space="preserve">Table 1 -- WACC</t>
        </is>
      </c>
      <c r="C245" t="inlineStr">
        <is>
          <t xml:space="preserve">WACC=12.5000%</t>
        </is>
      </c>
      <c r="D245" t="inlineStr">
        <is>
          <t xml:space="preserve">Enterprise Value</t>
        </is>
      </c>
      <c r="E245" s="6">
        <v>96881109417.82065</v>
      </c>
      <c r="F245" s="6">
        <v>96881109417.82065</v>
      </c>
      <c r="G245" s="11">
        <f>ABS(E245-F245)</f>
        <v>0.0</v>
      </c>
      <c r="H245" s="10">
        <f>IF(F245=0,"n/a (zero denom)",G245/ABS(F245))</f>
        <v>0.0</v>
      </c>
      <c r="I245" s="10">
        <f>'Tolerances'!$B$10</f>
        <v>0.002</v>
      </c>
      <c r="J245" s="15" t="str">
        <f>IF(F245=0,IF(G245&lt;=0.000001,"PASS","FAIL"),IF(H245&lt;=I245,"PASS","FAIL"))</f>
        <v>PASS</v>
      </c>
      <c r="K245" t="inlineStr">
        <is>
          <t xml:space="preserve"/>
        </is>
      </c>
    </row>
    <row r="246">
      <c r="A246" t="inlineStr">
        <is>
          <t xml:space="preserve">CAT</t>
        </is>
      </c>
      <c r="B246" t="inlineStr">
        <is>
          <t xml:space="preserve">Table 1 -- WACC</t>
        </is>
      </c>
      <c r="C246" t="inlineStr">
        <is>
          <t xml:space="preserve">WACC=12.5000%</t>
        </is>
      </c>
      <c r="D246" t="inlineStr">
        <is>
          <t xml:space="preserve">Equity Value</t>
        </is>
      </c>
      <c r="E246" s="6">
        <v>70651109417.82065</v>
      </c>
      <c r="F246" s="6">
        <v>70651109417.82065</v>
      </c>
      <c r="G246" s="11">
        <f>ABS(E246-F246)</f>
        <v>0.0</v>
      </c>
      <c r="H246" s="10">
        <f>IF(F246=0,"n/a (zero denom)",G246/ABS(F246))</f>
        <v>0.0</v>
      </c>
      <c r="I246" s="10">
        <f>'Tolerances'!$B$11</f>
        <v>0.002</v>
      </c>
      <c r="J246" s="15" t="str">
        <f>IF(F246=0,IF(G246&lt;=0.000001,"PASS","FAIL"),IF(H246&lt;=I246,"PASS","FAIL"))</f>
        <v>PASS</v>
      </c>
      <c r="K246" t="inlineStr">
        <is>
          <t xml:space="preserve"/>
        </is>
      </c>
    </row>
    <row r="247">
      <c r="A247" t="inlineStr">
        <is>
          <t xml:space="preserve">CAT</t>
        </is>
      </c>
      <c r="B247" t="inlineStr">
        <is>
          <t xml:space="preserve">Table 1 -- WACC</t>
        </is>
      </c>
      <c r="C247" t="inlineStr">
        <is>
          <t xml:space="preserve">WACC=12.5000%</t>
        </is>
      </c>
      <c r="D247" t="inlineStr">
        <is>
          <t xml:space="preserve">Intrinsic Value per Share</t>
        </is>
      </c>
      <c r="E247" s="7">
        <v>153.69799636329634</v>
      </c>
      <c r="F247" s="7">
        <v>153.69799636329634</v>
      </c>
      <c r="G247" s="12">
        <f>ABS(E247-F247)</f>
        <v>0.0</v>
      </c>
      <c r="H247" s="10">
        <f>IF(F247=0,"n/a (zero denom)",G247/ABS(F247))</f>
        <v>0.0</v>
      </c>
      <c r="I247" s="10">
        <f>'Tolerances'!$B$13</f>
        <v>0.005</v>
      </c>
      <c r="J247" s="15" t="str">
        <f>IF(F247=0,IF(G247&lt;=0.000001,"PASS","FAIL"),IF(H247&lt;=I247,"PASS","FAIL"))</f>
        <v>PASS</v>
      </c>
      <c r="K247" t="inlineStr">
        <is>
          <t xml:space="preserve"/>
        </is>
      </c>
    </row>
    <row r="248">
      <c r="A248" t="inlineStr">
        <is>
          <t xml:space="preserve">CAT</t>
        </is>
      </c>
      <c r="B248" t="inlineStr">
        <is>
          <t xml:space="preserve">Table 1 -- WACC</t>
        </is>
      </c>
      <c r="C248" t="inlineStr">
        <is>
          <t xml:space="preserve">WACC=15.0000%</t>
        </is>
      </c>
      <c r="D248" t="inlineStr">
        <is>
          <t xml:space="preserve">Terminal Value</t>
        </is>
      </c>
      <c r="E248" s="6">
        <v>90849769401.38972</v>
      </c>
      <c r="F248" s="6">
        <v>90849769401.38972</v>
      </c>
      <c r="G248" s="11">
        <f>ABS(E248-F248)</f>
        <v>0.0</v>
      </c>
      <c r="H248" s="10">
        <f>IF(F248=0,"n/a (zero denom)",G248/ABS(F248))</f>
        <v>0.0</v>
      </c>
      <c r="I248" s="10">
        <f>'Tolerances'!$B$7</f>
        <v>0.002</v>
      </c>
      <c r="J248" s="15" t="str">
        <f>IF(F248=0,IF(G248&lt;=0.000001,"PASS","FAIL"),IF(H248&lt;=I248,"PASS","FAIL"))</f>
        <v>PASS</v>
      </c>
      <c r="K248" t="inlineStr">
        <is>
          <t xml:space="preserve"/>
        </is>
      </c>
    </row>
    <row r="249">
      <c r="A249" t="inlineStr">
        <is>
          <t xml:space="preserve">CAT</t>
        </is>
      </c>
      <c r="B249" t="inlineStr">
        <is>
          <t xml:space="preserve">Table 1 -- WACC</t>
        </is>
      </c>
      <c r="C249" t="inlineStr">
        <is>
          <t xml:space="preserve">WACC=15.0000%</t>
        </is>
      </c>
      <c r="D249" t="inlineStr">
        <is>
          <t xml:space="preserve">Enterprise Value</t>
        </is>
      </c>
      <c r="E249" s="6">
        <v>76950920124.33046</v>
      </c>
      <c r="F249" s="6">
        <v>76950920124.33046</v>
      </c>
      <c r="G249" s="11">
        <f>ABS(E249-F249)</f>
        <v>0.0</v>
      </c>
      <c r="H249" s="10">
        <f>IF(F249=0,"n/a (zero denom)",G249/ABS(F249))</f>
        <v>0.0</v>
      </c>
      <c r="I249" s="10">
        <f>'Tolerances'!$B$10</f>
        <v>0.002</v>
      </c>
      <c r="J249" s="15" t="str">
        <f>IF(F249=0,IF(G249&lt;=0.000001,"PASS","FAIL"),IF(H249&lt;=I249,"PASS","FAIL"))</f>
        <v>PASS</v>
      </c>
      <c r="K249" t="inlineStr">
        <is>
          <t xml:space="preserve"/>
        </is>
      </c>
    </row>
    <row r="250">
      <c r="A250" t="inlineStr">
        <is>
          <t xml:space="preserve">CAT</t>
        </is>
      </c>
      <c r="B250" t="inlineStr">
        <is>
          <t xml:space="preserve">Table 1 -- WACC</t>
        </is>
      </c>
      <c r="C250" t="inlineStr">
        <is>
          <t xml:space="preserve">WACC=15.0000%</t>
        </is>
      </c>
      <c r="D250" t="inlineStr">
        <is>
          <t xml:space="preserve">Equity Value</t>
        </is>
      </c>
      <c r="E250" s="6">
        <v>50720920124.33046</v>
      </c>
      <c r="F250" s="6">
        <v>50720920124.33046</v>
      </c>
      <c r="G250" s="11">
        <f>ABS(E250-F250)</f>
        <v>0.0</v>
      </c>
      <c r="H250" s="10">
        <f>IF(F250=0,"n/a (zero denom)",G250/ABS(F250))</f>
        <v>0.0</v>
      </c>
      <c r="I250" s="10">
        <f>'Tolerances'!$B$11</f>
        <v>0.002</v>
      </c>
      <c r="J250" s="15" t="str">
        <f>IF(F250=0,IF(G250&lt;=0.000001,"PASS","FAIL"),IF(H250&lt;=I250,"PASS","FAIL"))</f>
        <v>PASS</v>
      </c>
      <c r="K250" t="inlineStr">
        <is>
          <t xml:space="preserve"/>
        </is>
      </c>
    </row>
    <row r="251">
      <c r="A251" t="inlineStr">
        <is>
          <t xml:space="preserve">CAT</t>
        </is>
      </c>
      <c r="B251" t="inlineStr">
        <is>
          <t xml:space="preserve">Table 1 -- WACC</t>
        </is>
      </c>
      <c r="C251" t="inlineStr">
        <is>
          <t xml:space="preserve">WACC=15.0000%</t>
        </is>
      </c>
      <c r="D251" t="inlineStr">
        <is>
          <t xml:space="preserve">Intrinsic Value per Share</t>
        </is>
      </c>
      <c r="E251" s="7">
        <v>110.34085467377022</v>
      </c>
      <c r="F251" s="7">
        <v>110.34085467377022</v>
      </c>
      <c r="G251" s="12">
        <f>ABS(E251-F251)</f>
        <v>0.0</v>
      </c>
      <c r="H251" s="10">
        <f>IF(F251=0,"n/a (zero denom)",G251/ABS(F251))</f>
        <v>0.0</v>
      </c>
      <c r="I251" s="10">
        <f>'Tolerances'!$B$13</f>
        <v>0.005</v>
      </c>
      <c r="J251" s="15" t="str">
        <f>IF(F251=0,IF(G251&lt;=0.000001,"PASS","FAIL"),IF(H251&lt;=I251,"PASS","FAIL"))</f>
        <v>PASS</v>
      </c>
      <c r="K251" t="inlineStr">
        <is>
          <t xml:space="preserve"/>
        </is>
      </c>
    </row>
    <row r="252">
      <c r="A252" t="inlineStr">
        <is>
          <t xml:space="preserve">CAT</t>
        </is>
      </c>
      <c r="B252" t="inlineStr">
        <is>
          <t xml:space="preserve">Table 1 -- WACC</t>
        </is>
      </c>
      <c r="C252" t="inlineStr">
        <is>
          <t xml:space="preserve">WACC=17.5000%</t>
        </is>
      </c>
      <c r="D252" t="inlineStr">
        <is>
          <t xml:space="preserve">Terminal Value</t>
        </is>
      </c>
      <c r="E252" s="6">
        <v>75708141167.82477</v>
      </c>
      <c r="F252" s="6">
        <v>75708141167.82477</v>
      </c>
      <c r="G252" s="11">
        <f>ABS(E252-F252)</f>
        <v>0.0</v>
      </c>
      <c r="H252" s="10">
        <f>IF(F252=0,"n/a (zero denom)",G252/ABS(F252))</f>
        <v>0.0</v>
      </c>
      <c r="I252" s="10">
        <f>'Tolerances'!$B$7</f>
        <v>0.002</v>
      </c>
      <c r="J252" s="15" t="str">
        <f>IF(F252=0,IF(G252&lt;=0.000001,"PASS","FAIL"),IF(H252&lt;=I252,"PASS","FAIL"))</f>
        <v>PASS</v>
      </c>
      <c r="K252" t="inlineStr">
        <is>
          <t xml:space="preserve"/>
        </is>
      </c>
    </row>
    <row r="253">
      <c r="A253" t="inlineStr">
        <is>
          <t xml:space="preserve">CAT</t>
        </is>
      </c>
      <c r="B253" t="inlineStr">
        <is>
          <t xml:space="preserve">Table 1 -- WACC</t>
        </is>
      </c>
      <c r="C253" t="inlineStr">
        <is>
          <t xml:space="preserve">WACC=17.5000%</t>
        </is>
      </c>
      <c r="D253" t="inlineStr">
        <is>
          <t xml:space="preserve">Enterprise Value</t>
        </is>
      </c>
      <c r="E253" s="6">
        <v>63701934830.514496</v>
      </c>
      <c r="F253" s="6">
        <v>63701934830.514496</v>
      </c>
      <c r="G253" s="11">
        <f>ABS(E253-F253)</f>
        <v>0.0</v>
      </c>
      <c r="H253" s="10">
        <f>IF(F253=0,"n/a (zero denom)",G253/ABS(F253))</f>
        <v>0.0</v>
      </c>
      <c r="I253" s="10">
        <f>'Tolerances'!$B$10</f>
        <v>0.002</v>
      </c>
      <c r="J253" s="15" t="str">
        <f>IF(F253=0,IF(G253&lt;=0.000001,"PASS","FAIL"),IF(H253&lt;=I253,"PASS","FAIL"))</f>
        <v>PASS</v>
      </c>
      <c r="K253" t="inlineStr">
        <is>
          <t xml:space="preserve"/>
        </is>
      </c>
    </row>
    <row r="254">
      <c r="A254" t="inlineStr">
        <is>
          <t xml:space="preserve">CAT</t>
        </is>
      </c>
      <c r="B254" t="inlineStr">
        <is>
          <t xml:space="preserve">Table 1 -- WACC</t>
        </is>
      </c>
      <c r="C254" t="inlineStr">
        <is>
          <t xml:space="preserve">WACC=17.5000%</t>
        </is>
      </c>
      <c r="D254" t="inlineStr">
        <is>
          <t xml:space="preserve">Equity Value</t>
        </is>
      </c>
      <c r="E254" s="6">
        <v>37471934830.514496</v>
      </c>
      <c r="F254" s="6">
        <v>37471934830.514496</v>
      </c>
      <c r="G254" s="11">
        <f>ABS(E254-F254)</f>
        <v>0.0</v>
      </c>
      <c r="H254" s="10">
        <f>IF(F254=0,"n/a (zero denom)",G254/ABS(F254))</f>
        <v>0.0</v>
      </c>
      <c r="I254" s="10">
        <f>'Tolerances'!$B$11</f>
        <v>0.002</v>
      </c>
      <c r="J254" s="15" t="str">
        <f>IF(F254=0,IF(G254&lt;=0.000001,"PASS","FAIL"),IF(H254&lt;=I254,"PASS","FAIL"))</f>
        <v>PASS</v>
      </c>
      <c r="K254" t="inlineStr">
        <is>
          <t xml:space="preserve"/>
        </is>
      </c>
    </row>
    <row r="255">
      <c r="A255" t="inlineStr">
        <is>
          <t xml:space="preserve">CAT</t>
        </is>
      </c>
      <c r="B255" t="inlineStr">
        <is>
          <t xml:space="preserve">Table 1 -- WACC</t>
        </is>
      </c>
      <c r="C255" t="inlineStr">
        <is>
          <t xml:space="preserve">WACC=17.5000%</t>
        </is>
      </c>
      <c r="D255" t="inlineStr">
        <is>
          <t xml:space="preserve">Intrinsic Value per Share</t>
        </is>
      </c>
      <c r="E255" s="7">
        <v>81.5183420439451</v>
      </c>
      <c r="F255" s="7">
        <v>81.5183420439451</v>
      </c>
      <c r="G255" s="12">
        <f>ABS(E255-F255)</f>
        <v>0.0</v>
      </c>
      <c r="H255" s="10">
        <f>IF(F255=0,"n/a (zero denom)",G255/ABS(F255))</f>
        <v>0.0</v>
      </c>
      <c r="I255" s="10">
        <f>'Tolerances'!$B$13</f>
        <v>0.005</v>
      </c>
      <c r="J255" s="15" t="str">
        <f>IF(F255=0,IF(G255&lt;=0.000001,"PASS","FAIL"),IF(H255&lt;=I255,"PASS","FAIL"))</f>
        <v>PASS</v>
      </c>
      <c r="K255" t="inlineStr">
        <is>
          <t xml:space="preserve"/>
        </is>
      </c>
    </row>
    <row r="256">
      <c r="A256" t="inlineStr">
        <is>
          <t xml:space="preserve">CAT</t>
        </is>
      </c>
      <c r="B256" t="inlineStr">
        <is>
          <t xml:space="preserve">Table 1 -- WACC</t>
        </is>
      </c>
      <c r="C256" t="inlineStr">
        <is>
          <t xml:space="preserve">WACC=20.0000%</t>
        </is>
      </c>
      <c r="D256" t="inlineStr">
        <is>
          <t xml:space="preserve">Terminal Value</t>
        </is>
      </c>
      <c r="E256" s="6">
        <v>64892692429.56408</v>
      </c>
      <c r="F256" s="6">
        <v>64892692429.56408</v>
      </c>
      <c r="G256" s="11">
        <f>ABS(E256-F256)</f>
        <v>0.0</v>
      </c>
      <c r="H256" s="10">
        <f>IF(F256=0,"n/a (zero denom)",G256/ABS(F256))</f>
        <v>0.0</v>
      </c>
      <c r="I256" s="10">
        <f>'Tolerances'!$B$7</f>
        <v>0.002</v>
      </c>
      <c r="J256" s="15" t="str">
        <f>IF(F256=0,IF(G256&lt;=0.000001,"PASS","FAIL"),IF(H256&lt;=I256,"PASS","FAIL"))</f>
        <v>PASS</v>
      </c>
      <c r="K256" t="inlineStr">
        <is>
          <t xml:space="preserve"/>
        </is>
      </c>
    </row>
    <row r="257">
      <c r="A257" t="inlineStr">
        <is>
          <t xml:space="preserve">CAT</t>
        </is>
      </c>
      <c r="B257" t="inlineStr">
        <is>
          <t xml:space="preserve">Table 1 -- WACC</t>
        </is>
      </c>
      <c r="C257" t="inlineStr">
        <is>
          <t xml:space="preserve">WACC=20.0000%</t>
        </is>
      </c>
      <c r="D257" t="inlineStr">
        <is>
          <t xml:space="preserve">Enterprise Value</t>
        </is>
      </c>
      <c r="E257" s="6">
        <v>54267359201.58143</v>
      </c>
      <c r="F257" s="6">
        <v>54267359201.58143</v>
      </c>
      <c r="G257" s="11">
        <f>ABS(E257-F257)</f>
        <v>0.0</v>
      </c>
      <c r="H257" s="10">
        <f>IF(F257=0,"n/a (zero denom)",G257/ABS(F257))</f>
        <v>0.0</v>
      </c>
      <c r="I257" s="10">
        <f>'Tolerances'!$B$10</f>
        <v>0.002</v>
      </c>
      <c r="J257" s="15" t="str">
        <f>IF(F257=0,IF(G257&lt;=0.000001,"PASS","FAIL"),IF(H257&lt;=I257,"PASS","FAIL"))</f>
        <v>PASS</v>
      </c>
      <c r="K257" t="inlineStr">
        <is>
          <t xml:space="preserve"/>
        </is>
      </c>
    </row>
    <row r="258">
      <c r="A258" t="inlineStr">
        <is>
          <t xml:space="preserve">CAT</t>
        </is>
      </c>
      <c r="B258" t="inlineStr">
        <is>
          <t xml:space="preserve">Table 1 -- WACC</t>
        </is>
      </c>
      <c r="C258" t="inlineStr">
        <is>
          <t xml:space="preserve">WACC=20.0000%</t>
        </is>
      </c>
      <c r="D258" t="inlineStr">
        <is>
          <t xml:space="preserve">Equity Value</t>
        </is>
      </c>
      <c r="E258" s="6">
        <v>28037359201.58143</v>
      </c>
      <c r="F258" s="6">
        <v>28037359201.58143</v>
      </c>
      <c r="G258" s="11">
        <f>ABS(E258-F258)</f>
        <v>0.0</v>
      </c>
      <c r="H258" s="10">
        <f>IF(F258=0,"n/a (zero denom)",G258/ABS(F258))</f>
        <v>0.0</v>
      </c>
      <c r="I258" s="10">
        <f>'Tolerances'!$B$11</f>
        <v>0.002</v>
      </c>
      <c r="J258" s="15" t="str">
        <f>IF(F258=0,IF(G258&lt;=0.000001,"PASS","FAIL"),IF(H258&lt;=I258,"PASS","FAIL"))</f>
        <v>PASS</v>
      </c>
      <c r="K258" t="inlineStr">
        <is>
          <t xml:space="preserve"/>
        </is>
      </c>
    </row>
    <row r="259">
      <c r="A259" t="inlineStr">
        <is>
          <t xml:space="preserve">CAT</t>
        </is>
      </c>
      <c r="B259" t="inlineStr">
        <is>
          <t xml:space="preserve">Table 1 -- WACC</t>
        </is>
      </c>
      <c r="C259" t="inlineStr">
        <is>
          <t xml:space="preserve">WACC=20.0000%</t>
        </is>
      </c>
      <c r="D259" t="inlineStr">
        <is>
          <t xml:space="preserve">Intrinsic Value per Share</t>
        </is>
      </c>
      <c r="E259" s="7">
        <v>60.99388909969678</v>
      </c>
      <c r="F259" s="7">
        <v>60.99388909969678</v>
      </c>
      <c r="G259" s="12">
        <f>ABS(E259-F259)</f>
        <v>0.0</v>
      </c>
      <c r="H259" s="10">
        <f>IF(F259=0,"n/a (zero denom)",G259/ABS(F259))</f>
        <v>0.0</v>
      </c>
      <c r="I259" s="10">
        <f>'Tolerances'!$B$13</f>
        <v>0.005</v>
      </c>
      <c r="J259" s="15" t="str">
        <f>IF(F259=0,IF(G259&lt;=0.000001,"PASS","FAIL"),IF(H259&lt;=I259,"PASS","FAIL"))</f>
        <v>PASS</v>
      </c>
      <c r="K259" t="inlineStr">
        <is>
          <t xml:space="preserve"/>
        </is>
      </c>
    </row>
    <row r="260">
      <c r="A260" t="inlineStr">
        <is>
          <t xml:space="preserve">CAT</t>
        </is>
      </c>
      <c r="B260" t="inlineStr">
        <is>
          <t xml:space="preserve">Table 2 -- Terminal growth</t>
        </is>
      </c>
      <c r="C260" t="inlineStr">
        <is>
          <t xml:space="preserve">g=0.0000%</t>
        </is>
      </c>
      <c r="D260" t="inlineStr">
        <is>
          <t xml:space="preserve">Terminal Value</t>
        </is>
      </c>
      <c r="E260" s="6">
        <v>91595192705.20818</v>
      </c>
      <c r="F260" s="6">
        <v>91595192705.20818</v>
      </c>
      <c r="G260" s="11">
        <f>ABS(E260-F260)</f>
        <v>0.0</v>
      </c>
      <c r="H260" s="10">
        <f>IF(F260=0,"n/a (zero denom)",G260/ABS(F260))</f>
        <v>0.0</v>
      </c>
      <c r="I260" s="10">
        <f>'Tolerances'!$B$7</f>
        <v>0.002</v>
      </c>
      <c r="J260" s="15" t="str">
        <f>IF(F260=0,IF(G260&lt;=0.000001,"PASS","FAIL"),IF(H260&lt;=I260,"PASS","FAIL"))</f>
        <v>PASS</v>
      </c>
      <c r="K260" t="inlineStr">
        <is>
          <t xml:space="preserve"/>
        </is>
      </c>
    </row>
    <row r="261">
      <c r="A261" t="inlineStr">
        <is>
          <t xml:space="preserve">CAT</t>
        </is>
      </c>
      <c r="B261" t="inlineStr">
        <is>
          <t xml:space="preserve">Table 2 -- Terminal growth</t>
        </is>
      </c>
      <c r="C261" t="inlineStr">
        <is>
          <t xml:space="preserve">g=0.0000%</t>
        </is>
      </c>
      <c r="D261" t="inlineStr">
        <is>
          <t xml:space="preserve">Enterprise Value</t>
        </is>
      </c>
      <c r="E261" s="6">
        <v>85970214136.86646</v>
      </c>
      <c r="F261" s="6">
        <v>85970214136.86646</v>
      </c>
      <c r="G261" s="11">
        <f>ABS(E261-F261)</f>
        <v>0.0</v>
      </c>
      <c r="H261" s="10">
        <f>IF(F261=0,"n/a (zero denom)",G261/ABS(F261))</f>
        <v>0.0</v>
      </c>
      <c r="I261" s="10">
        <f>'Tolerances'!$B$10</f>
        <v>0.002</v>
      </c>
      <c r="J261" s="15" t="str">
        <f>IF(F261=0,IF(G261&lt;=0.000001,"PASS","FAIL"),IF(H261&lt;=I261,"PASS","FAIL"))</f>
        <v>PASS</v>
      </c>
      <c r="K261" t="inlineStr">
        <is>
          <t xml:space="preserve"/>
        </is>
      </c>
    </row>
    <row r="262">
      <c r="A262" t="inlineStr">
        <is>
          <t xml:space="preserve">CAT</t>
        </is>
      </c>
      <c r="B262" t="inlineStr">
        <is>
          <t xml:space="preserve">Table 2 -- Terminal growth</t>
        </is>
      </c>
      <c r="C262" t="inlineStr">
        <is>
          <t xml:space="preserve">g=0.0000%</t>
        </is>
      </c>
      <c r="D262" t="inlineStr">
        <is>
          <t xml:space="preserve">Equity Value</t>
        </is>
      </c>
      <c r="E262" s="6">
        <v>59740214136.866455</v>
      </c>
      <c r="F262" s="6">
        <v>59740214136.866455</v>
      </c>
      <c r="G262" s="11">
        <f>ABS(E262-F262)</f>
        <v>0.0</v>
      </c>
      <c r="H262" s="10">
        <f>IF(F262=0,"n/a (zero denom)",G262/ABS(F262))</f>
        <v>0.0</v>
      </c>
      <c r="I262" s="10">
        <f>'Tolerances'!$B$11</f>
        <v>0.002</v>
      </c>
      <c r="J262" s="15" t="str">
        <f>IF(F262=0,IF(G262&lt;=0.000001,"PASS","FAIL"),IF(H262&lt;=I262,"PASS","FAIL"))</f>
        <v>PASS</v>
      </c>
      <c r="K262" t="inlineStr">
        <is>
          <t xml:space="preserve"/>
        </is>
      </c>
    </row>
    <row r="263">
      <c r="A263" t="inlineStr">
        <is>
          <t xml:space="preserve">CAT</t>
        </is>
      </c>
      <c r="B263" t="inlineStr">
        <is>
          <t xml:space="preserve">Table 2 -- Terminal growth</t>
        </is>
      </c>
      <c r="C263" t="inlineStr">
        <is>
          <t xml:space="preserve">g=0.0000%</t>
        </is>
      </c>
      <c r="D263" t="inlineStr">
        <is>
          <t xml:space="preserve">Intrinsic Value per Share</t>
        </is>
      </c>
      <c r="E263" s="7">
        <v>129.96188298827533</v>
      </c>
      <c r="F263" s="7">
        <v>129.96188298827533</v>
      </c>
      <c r="G263" s="12">
        <f>ABS(E263-F263)</f>
        <v>0.0</v>
      </c>
      <c r="H263" s="10">
        <f>IF(F263=0,"n/a (zero denom)",G263/ABS(F263))</f>
        <v>0.0</v>
      </c>
      <c r="I263" s="10">
        <f>'Tolerances'!$B$13</f>
        <v>0.005</v>
      </c>
      <c r="J263" s="15" t="str">
        <f>IF(F263=0,IF(G263&lt;=0.000001,"PASS","FAIL"),IF(H263&lt;=I263,"PASS","FAIL"))</f>
        <v>PASS</v>
      </c>
      <c r="K263" t="inlineStr">
        <is>
          <t xml:space="preserve"/>
        </is>
      </c>
    </row>
    <row r="264">
      <c r="A264" t="inlineStr">
        <is>
          <t xml:space="preserve">CAT</t>
        </is>
      </c>
      <c r="B264" t="inlineStr">
        <is>
          <t xml:space="preserve">Table 2 -- Terminal growth</t>
        </is>
      </c>
      <c r="C264" t="inlineStr">
        <is>
          <t xml:space="preserve">g=1.0000%</t>
        </is>
      </c>
      <c r="D264" t="inlineStr">
        <is>
          <t xml:space="preserve">Terminal Value</t>
        </is>
      </c>
      <c r="E264" s="6">
        <v>100848580230.5269</v>
      </c>
      <c r="F264" s="6">
        <v>100848580230.5269</v>
      </c>
      <c r="G264" s="11">
        <f>ABS(E264-F264)</f>
        <v>0.0</v>
      </c>
      <c r="H264" s="10">
        <f>IF(F264=0,"n/a (zero denom)",G264/ABS(F264))</f>
        <v>0.0</v>
      </c>
      <c r="I264" s="10">
        <f>'Tolerances'!$B$7</f>
        <v>0.002</v>
      </c>
      <c r="J264" s="15" t="str">
        <f>IF(F264=0,IF(G264&lt;=0.000001,"PASS","FAIL"),IF(H264&lt;=I264,"PASS","FAIL"))</f>
        <v>PASS</v>
      </c>
      <c r="K264" t="inlineStr">
        <is>
          <t xml:space="preserve"/>
        </is>
      </c>
    </row>
    <row r="265">
      <c r="A265" t="inlineStr">
        <is>
          <t xml:space="preserve">CAT</t>
        </is>
      </c>
      <c r="B265" t="inlineStr">
        <is>
          <t xml:space="preserve">Table 2 -- Terminal growth</t>
        </is>
      </c>
      <c r="C265" t="inlineStr">
        <is>
          <t xml:space="preserve">g=1.0000%</t>
        </is>
      </c>
      <c r="D265" t="inlineStr">
        <is>
          <t xml:space="preserve">Enterprise Value</t>
        </is>
      </c>
      <c r="E265" s="6">
        <v>91198418924.55928</v>
      </c>
      <c r="F265" s="6">
        <v>91198418924.55928</v>
      </c>
      <c r="G265" s="11">
        <f>ABS(E265-F265)</f>
        <v>0.0</v>
      </c>
      <c r="H265" s="10">
        <f>IF(F265=0,"n/a (zero denom)",G265/ABS(F265))</f>
        <v>0.0</v>
      </c>
      <c r="I265" s="10">
        <f>'Tolerances'!$B$10</f>
        <v>0.002</v>
      </c>
      <c r="J265" s="15" t="str">
        <f>IF(F265=0,IF(G265&lt;=0.000001,"PASS","FAIL"),IF(H265&lt;=I265,"PASS","FAIL"))</f>
        <v>PASS</v>
      </c>
      <c r="K265" t="inlineStr">
        <is>
          <t xml:space="preserve"/>
        </is>
      </c>
    </row>
    <row r="266">
      <c r="A266" t="inlineStr">
        <is>
          <t xml:space="preserve">CAT</t>
        </is>
      </c>
      <c r="B266" t="inlineStr">
        <is>
          <t xml:space="preserve">Table 2 -- Terminal growth</t>
        </is>
      </c>
      <c r="C266" t="inlineStr">
        <is>
          <t xml:space="preserve">g=1.0000%</t>
        </is>
      </c>
      <c r="D266" t="inlineStr">
        <is>
          <t xml:space="preserve">Equity Value</t>
        </is>
      </c>
      <c r="E266" s="6">
        <v>64968418924.55928</v>
      </c>
      <c r="F266" s="6">
        <v>64968418924.55928</v>
      </c>
      <c r="G266" s="11">
        <f>ABS(E266-F266)</f>
        <v>0.0</v>
      </c>
      <c r="H266" s="10">
        <f>IF(F266=0,"n/a (zero denom)",G266/ABS(F266))</f>
        <v>0.0</v>
      </c>
      <c r="I266" s="10">
        <f>'Tolerances'!$B$11</f>
        <v>0.002</v>
      </c>
      <c r="J266" s="15" t="str">
        <f>IF(F266=0,IF(G266&lt;=0.000001,"PASS","FAIL"),IF(H266&lt;=I266,"PASS","FAIL"))</f>
        <v>PASS</v>
      </c>
      <c r="K266" t="inlineStr">
        <is>
          <t xml:space="preserve"/>
        </is>
      </c>
    </row>
    <row r="267">
      <c r="A267" t="inlineStr">
        <is>
          <t xml:space="preserve">CAT</t>
        </is>
      </c>
      <c r="B267" t="inlineStr">
        <is>
          <t xml:space="preserve">Table 2 -- Terminal growth</t>
        </is>
      </c>
      <c r="C267" t="inlineStr">
        <is>
          <t xml:space="preserve">g=1.0000%</t>
        </is>
      </c>
      <c r="D267" t="inlineStr">
        <is>
          <t xml:space="preserve">Intrinsic Value per Share</t>
        </is>
      </c>
      <c r="E267" s="7">
        <v>141.33558408181673</v>
      </c>
      <c r="F267" s="7">
        <v>141.33558408181673</v>
      </c>
      <c r="G267" s="12">
        <f>ABS(E267-F267)</f>
        <v>0.0</v>
      </c>
      <c r="H267" s="10">
        <f>IF(F267=0,"n/a (zero denom)",G267/ABS(F267))</f>
        <v>0.0</v>
      </c>
      <c r="I267" s="10">
        <f>'Tolerances'!$B$13</f>
        <v>0.005</v>
      </c>
      <c r="J267" s="15" t="str">
        <f>IF(F267=0,IF(G267&lt;=0.000001,"PASS","FAIL"),IF(H267&lt;=I267,"PASS","FAIL"))</f>
        <v>PASS</v>
      </c>
      <c r="K267" t="inlineStr">
        <is>
          <t xml:space="preserve"/>
        </is>
      </c>
    </row>
    <row r="268">
      <c r="A268" t="inlineStr">
        <is>
          <t xml:space="preserve">CAT</t>
        </is>
      </c>
      <c r="B268" t="inlineStr">
        <is>
          <t xml:space="preserve">Table 2 -- Terminal growth</t>
        </is>
      </c>
      <c r="C268" t="inlineStr">
        <is>
          <t xml:space="preserve">g=2.0000%</t>
        </is>
      </c>
      <c r="D268" t="inlineStr">
        <is>
          <t xml:space="preserve">Terminal Value</t>
        </is>
      </c>
      <c r="E268" s="6">
        <v>111935070358.63087</v>
      </c>
      <c r="F268" s="6">
        <v>111935070358.63087</v>
      </c>
      <c r="G268" s="11">
        <f>ABS(E268-F268)</f>
        <v>0.0</v>
      </c>
      <c r="H268" s="10">
        <f>IF(F268=0,"n/a (zero denom)",G268/ABS(F268))</f>
        <v>0.0</v>
      </c>
      <c r="I268" s="10">
        <f>'Tolerances'!$B$7</f>
        <v>0.002</v>
      </c>
      <c r="J268" s="15" t="str">
        <f>IF(F268=0,IF(G268&lt;=0.000001,"PASS","FAIL"),IF(H268&lt;=I268,"PASS","FAIL"))</f>
        <v>PASS</v>
      </c>
      <c r="K268" t="inlineStr">
        <is>
          <t xml:space="preserve"/>
        </is>
      </c>
    </row>
    <row r="269">
      <c r="A269" t="inlineStr">
        <is>
          <t xml:space="preserve">CAT</t>
        </is>
      </c>
      <c r="B269" t="inlineStr">
        <is>
          <t xml:space="preserve">Table 2 -- Terminal growth</t>
        </is>
      </c>
      <c r="C269" t="inlineStr">
        <is>
          <t xml:space="preserve">g=2.0000%</t>
        </is>
      </c>
      <c r="D269" t="inlineStr">
        <is>
          <t xml:space="preserve">Enterprise Value</t>
        </is>
      </c>
      <c r="E269" s="6">
        <v>97462334772.44395</v>
      </c>
      <c r="F269" s="6">
        <v>97462334772.44395</v>
      </c>
      <c r="G269" s="11">
        <f>ABS(E269-F269)</f>
        <v>0.0</v>
      </c>
      <c r="H269" s="10">
        <f>IF(F269=0,"n/a (zero denom)",G269/ABS(F269))</f>
        <v>0.0</v>
      </c>
      <c r="I269" s="10">
        <f>'Tolerances'!$B$10</f>
        <v>0.002</v>
      </c>
      <c r="J269" s="15" t="str">
        <f>IF(F269=0,IF(G269&lt;=0.000001,"PASS","FAIL"),IF(H269&lt;=I269,"PASS","FAIL"))</f>
        <v>PASS</v>
      </c>
      <c r="K269" t="inlineStr">
        <is>
          <t xml:space="preserve"/>
        </is>
      </c>
    </row>
    <row r="270">
      <c r="A270" t="inlineStr">
        <is>
          <t xml:space="preserve">CAT</t>
        </is>
      </c>
      <c r="B270" t="inlineStr">
        <is>
          <t xml:space="preserve">Table 2 -- Terminal growth</t>
        </is>
      </c>
      <c r="C270" t="inlineStr">
        <is>
          <t xml:space="preserve">g=2.0000%</t>
        </is>
      </c>
      <c r="D270" t="inlineStr">
        <is>
          <t xml:space="preserve">Equity Value</t>
        </is>
      </c>
      <c r="E270" s="6">
        <v>71232334772.44395</v>
      </c>
      <c r="F270" s="6">
        <v>71232334772.44395</v>
      </c>
      <c r="G270" s="11">
        <f>ABS(E270-F270)</f>
        <v>0.0</v>
      </c>
      <c r="H270" s="10">
        <f>IF(F270=0,"n/a (zero denom)",G270/ABS(F270))</f>
        <v>0.0</v>
      </c>
      <c r="I270" s="10">
        <f>'Tolerances'!$B$11</f>
        <v>0.002</v>
      </c>
      <c r="J270" s="15" t="str">
        <f>IF(F270=0,IF(G270&lt;=0.000001,"PASS","FAIL"),IF(H270&lt;=I270,"PASS","FAIL"))</f>
        <v>PASS</v>
      </c>
      <c r="K270" t="inlineStr">
        <is>
          <t xml:space="preserve"/>
        </is>
      </c>
    </row>
    <row r="271">
      <c r="A271" t="inlineStr">
        <is>
          <t xml:space="preserve">CAT</t>
        </is>
      </c>
      <c r="B271" t="inlineStr">
        <is>
          <t xml:space="preserve">Table 2 -- Terminal growth</t>
        </is>
      </c>
      <c r="C271" t="inlineStr">
        <is>
          <t xml:space="preserve">g=2.0000%</t>
        </is>
      </c>
      <c r="D271" t="inlineStr">
        <is>
          <t xml:space="preserve">Intrinsic Value per Share</t>
        </is>
      </c>
      <c r="E271" s="7">
        <v>154.96242339320813</v>
      </c>
      <c r="F271" s="7">
        <v>154.96242339320813</v>
      </c>
      <c r="G271" s="12">
        <f>ABS(E271-F271)</f>
        <v>0.0</v>
      </c>
      <c r="H271" s="10">
        <f>IF(F271=0,"n/a (zero denom)",G271/ABS(F271))</f>
        <v>0.0</v>
      </c>
      <c r="I271" s="10">
        <f>'Tolerances'!$B$13</f>
        <v>0.005</v>
      </c>
      <c r="J271" s="15" t="str">
        <f>IF(F271=0,IF(G271&lt;=0.000001,"PASS","FAIL"),IF(H271&lt;=I271,"PASS","FAIL"))</f>
        <v>PASS</v>
      </c>
      <c r="K271" t="inlineStr">
        <is>
          <t xml:space="preserve"/>
        </is>
      </c>
    </row>
    <row r="272">
      <c r="A272" t="inlineStr">
        <is>
          <t xml:space="preserve">CAT</t>
        </is>
      </c>
      <c r="B272" t="inlineStr">
        <is>
          <t xml:space="preserve">Table 2 -- Terminal growth</t>
        </is>
      </c>
      <c r="C272" t="inlineStr">
        <is>
          <t xml:space="preserve">g=2.5000%</t>
        </is>
      </c>
      <c r="D272" t="inlineStr">
        <is>
          <t xml:space="preserve">Terminal Value</t>
        </is>
      </c>
      <c r="E272" s="6">
        <v>118344819774.72891</v>
      </c>
      <c r="F272" s="6">
        <v>118344819774.72891</v>
      </c>
      <c r="G272" s="11">
        <f>ABS(E272-F272)</f>
        <v>0.0</v>
      </c>
      <c r="H272" s="10">
        <f>IF(F272=0,"n/a (zero denom)",G272/ABS(F272))</f>
        <v>0.0</v>
      </c>
      <c r="I272" s="10">
        <f>'Tolerances'!$B$7</f>
        <v>0.002</v>
      </c>
      <c r="J272" s="15" t="str">
        <f>IF(F272=0,IF(G272&lt;=0.000001,"PASS","FAIL"),IF(H272&lt;=I272,"PASS","FAIL"))</f>
        <v>PASS</v>
      </c>
      <c r="K272" t="inlineStr">
        <is>
          <t xml:space="preserve"/>
        </is>
      </c>
    </row>
    <row r="273">
      <c r="A273" t="inlineStr">
        <is>
          <t xml:space="preserve">CAT</t>
        </is>
      </c>
      <c r="B273" t="inlineStr">
        <is>
          <t xml:space="preserve">Table 2 -- Terminal growth</t>
        </is>
      </c>
      <c r="C273" t="inlineStr">
        <is>
          <t xml:space="preserve">g=2.5000%</t>
        </is>
      </c>
      <c r="D273" t="inlineStr">
        <is>
          <t xml:space="preserve">Enterprise Value</t>
        </is>
      </c>
      <c r="E273" s="6">
        <v>101083871479.2405</v>
      </c>
      <c r="F273" s="6">
        <v>101083871479.2405</v>
      </c>
      <c r="G273" s="11">
        <f>ABS(E273-F273)</f>
        <v>0.0</v>
      </c>
      <c r="H273" s="10">
        <f>IF(F273=0,"n/a (zero denom)",G273/ABS(F273))</f>
        <v>0.0</v>
      </c>
      <c r="I273" s="10">
        <f>'Tolerances'!$B$10</f>
        <v>0.002</v>
      </c>
      <c r="J273" s="15" t="str">
        <f>IF(F273=0,IF(G273&lt;=0.000001,"PASS","FAIL"),IF(H273&lt;=I273,"PASS","FAIL"))</f>
        <v>PASS</v>
      </c>
      <c r="K273" t="inlineStr">
        <is>
          <t xml:space="preserve"/>
        </is>
      </c>
    </row>
    <row r="274">
      <c r="A274" t="inlineStr">
        <is>
          <t xml:space="preserve">CAT</t>
        </is>
      </c>
      <c r="B274" t="inlineStr">
        <is>
          <t xml:space="preserve">Table 2 -- Terminal growth</t>
        </is>
      </c>
      <c r="C274" t="inlineStr">
        <is>
          <t xml:space="preserve">g=2.5000%</t>
        </is>
      </c>
      <c r="D274" t="inlineStr">
        <is>
          <t xml:space="preserve">Equity Value</t>
        </is>
      </c>
      <c r="E274" s="6">
        <v>74853871479.2405</v>
      </c>
      <c r="F274" s="6">
        <v>74853871479.2405</v>
      </c>
      <c r="G274" s="11">
        <f>ABS(E274-F274)</f>
        <v>0.0</v>
      </c>
      <c r="H274" s="10">
        <f>IF(F274=0,"n/a (zero denom)",G274/ABS(F274))</f>
        <v>0.0</v>
      </c>
      <c r="I274" s="10">
        <f>'Tolerances'!$B$11</f>
        <v>0.002</v>
      </c>
      <c r="J274" s="15" t="str">
        <f>IF(F274=0,IF(G274&lt;=0.000001,"PASS","FAIL"),IF(H274&lt;=I274,"PASS","FAIL"))</f>
        <v>PASS</v>
      </c>
      <c r="K274" t="inlineStr">
        <is>
          <t xml:space="preserve"/>
        </is>
      </c>
    </row>
    <row r="275">
      <c r="A275" t="inlineStr">
        <is>
          <t xml:space="preserve">CAT</t>
        </is>
      </c>
      <c r="B275" t="inlineStr">
        <is>
          <t xml:space="preserve">Table 2 -- Terminal growth</t>
        </is>
      </c>
      <c r="C275" t="inlineStr">
        <is>
          <t xml:space="preserve">g=2.5000%</t>
        </is>
      </c>
      <c r="D275" t="inlineStr">
        <is>
          <t xml:space="preserve">Intrinsic Value per Share</t>
        </is>
      </c>
      <c r="E275" s="7">
        <v>162.84089749188038</v>
      </c>
      <c r="F275" s="7">
        <v>162.84089749188038</v>
      </c>
      <c r="G275" s="12">
        <f>ABS(E275-F275)</f>
        <v>0.0</v>
      </c>
      <c r="H275" s="10">
        <f>IF(F275=0,"n/a (zero denom)",G275/ABS(F275))</f>
        <v>0.0</v>
      </c>
      <c r="I275" s="10">
        <f>'Tolerances'!$B$13</f>
        <v>0.005</v>
      </c>
      <c r="J275" s="15" t="str">
        <f>IF(F275=0,IF(G275&lt;=0.000001,"PASS","FAIL"),IF(H275&lt;=I275,"PASS","FAIL"))</f>
        <v>PASS</v>
      </c>
      <c r="K275" t="inlineStr">
        <is>
          <t xml:space="preserve"/>
        </is>
      </c>
    </row>
    <row r="276">
      <c r="A276" t="inlineStr">
        <is>
          <t xml:space="preserve">CAT</t>
        </is>
      </c>
      <c r="B276" t="inlineStr">
        <is>
          <t xml:space="preserve">Table 2 -- Terminal growth</t>
        </is>
      </c>
      <c r="C276" t="inlineStr">
        <is>
          <t xml:space="preserve">g=3.0000%</t>
        </is>
      </c>
      <c r="D276" t="inlineStr">
        <is>
          <t xml:space="preserve">Terminal Value</t>
        </is>
      </c>
      <c r="E276" s="6">
        <v>125459256677.91766</v>
      </c>
      <c r="F276" s="6">
        <v>125459256677.91766</v>
      </c>
      <c r="G276" s="11">
        <f>ABS(E276-F276)</f>
        <v>0.0</v>
      </c>
      <c r="H276" s="10">
        <f>IF(F276=0,"n/a (zero denom)",G276/ABS(F276))</f>
        <v>0.0</v>
      </c>
      <c r="I276" s="10">
        <f>'Tolerances'!$B$7</f>
        <v>0.002</v>
      </c>
      <c r="J276" s="15" t="str">
        <f>IF(F276=0,IF(G276&lt;=0.000001,"PASS","FAIL"),IF(H276&lt;=I276,"PASS","FAIL"))</f>
        <v>PASS</v>
      </c>
      <c r="K276" t="inlineStr">
        <is>
          <t xml:space="preserve"/>
        </is>
      </c>
    </row>
    <row r="277">
      <c r="A277" t="inlineStr">
        <is>
          <t xml:space="preserve">CAT</t>
        </is>
      </c>
      <c r="B277" t="inlineStr">
        <is>
          <t xml:space="preserve">Table 2 -- Terminal growth</t>
        </is>
      </c>
      <c r="C277" t="inlineStr">
        <is>
          <t xml:space="preserve">g=3.0000%</t>
        </is>
      </c>
      <c r="D277" t="inlineStr">
        <is>
          <t xml:space="preserve">Enterprise Value</t>
        </is>
      </c>
      <c r="E277" s="6">
        <v>105103559726.08162</v>
      </c>
      <c r="F277" s="6">
        <v>105103559726.08162</v>
      </c>
      <c r="G277" s="11">
        <f>ABS(E277-F277)</f>
        <v>0.0</v>
      </c>
      <c r="H277" s="10">
        <f>IF(F277=0,"n/a (zero denom)",G277/ABS(F277))</f>
        <v>0.0</v>
      </c>
      <c r="I277" s="10">
        <f>'Tolerances'!$B$10</f>
        <v>0.002</v>
      </c>
      <c r="J277" s="15" t="str">
        <f>IF(F277=0,IF(G277&lt;=0.000001,"PASS","FAIL"),IF(H277&lt;=I277,"PASS","FAIL"))</f>
        <v>PASS</v>
      </c>
      <c r="K277" t="inlineStr">
        <is>
          <t xml:space="preserve"/>
        </is>
      </c>
    </row>
    <row r="278">
      <c r="A278" t="inlineStr">
        <is>
          <t xml:space="preserve">CAT</t>
        </is>
      </c>
      <c r="B278" t="inlineStr">
        <is>
          <t xml:space="preserve">Table 2 -- Terminal growth</t>
        </is>
      </c>
      <c r="C278" t="inlineStr">
        <is>
          <t xml:space="preserve">g=3.0000%</t>
        </is>
      </c>
      <c r="D278" t="inlineStr">
        <is>
          <t xml:space="preserve">Equity Value</t>
        </is>
      </c>
      <c r="E278" s="6">
        <v>78873559726.08162</v>
      </c>
      <c r="F278" s="6">
        <v>78873559726.08162</v>
      </c>
      <c r="G278" s="11">
        <f>ABS(E278-F278)</f>
        <v>0.0</v>
      </c>
      <c r="H278" s="10">
        <f>IF(F278=0,"n/a (zero denom)",G278/ABS(F278))</f>
        <v>0.0</v>
      </c>
      <c r="I278" s="10">
        <f>'Tolerances'!$B$11</f>
        <v>0.002</v>
      </c>
      <c r="J278" s="15" t="str">
        <f>IF(F278=0,IF(G278&lt;=0.000001,"PASS","FAIL"),IF(H278&lt;=I278,"PASS","FAIL"))</f>
        <v>PASS</v>
      </c>
      <c r="K278" t="inlineStr">
        <is>
          <t xml:space="preserve"/>
        </is>
      </c>
    </row>
    <row r="279">
      <c r="A279" t="inlineStr">
        <is>
          <t xml:space="preserve">CAT</t>
        </is>
      </c>
      <c r="B279" t="inlineStr">
        <is>
          <t xml:space="preserve">Table 2 -- Terminal growth</t>
        </is>
      </c>
      <c r="C279" t="inlineStr">
        <is>
          <t xml:space="preserve">g=3.0000%</t>
        </is>
      </c>
      <c r="D279" t="inlineStr">
        <is>
          <t xml:space="preserve">Intrinsic Value per Share</t>
        </is>
      </c>
      <c r="E279" s="7">
        <v>171.5855305859042</v>
      </c>
      <c r="F279" s="7">
        <v>171.5855305859042</v>
      </c>
      <c r="G279" s="12">
        <f>ABS(E279-F279)</f>
        <v>0.0</v>
      </c>
      <c r="H279" s="10">
        <f>IF(F279=0,"n/a (zero denom)",G279/ABS(F279))</f>
        <v>0.0</v>
      </c>
      <c r="I279" s="10">
        <f>'Tolerances'!$B$13</f>
        <v>0.005</v>
      </c>
      <c r="J279" s="15" t="str">
        <f>IF(F279=0,IF(G279&lt;=0.000001,"PASS","FAIL"),IF(H279&lt;=I279,"PASS","FAIL"))</f>
        <v>PASS</v>
      </c>
      <c r="K279" t="inlineStr">
        <is>
          <t xml:space="preserve"/>
        </is>
      </c>
    </row>
    <row r="280">
      <c r="A280" t="inlineStr">
        <is>
          <t xml:space="preserve">CAT</t>
        </is>
      </c>
      <c r="B280" t="inlineStr">
        <is>
          <t xml:space="preserve">Table 2 -- Terminal growth</t>
        </is>
      </c>
      <c r="C280" t="inlineStr">
        <is>
          <t xml:space="preserve">g=4.0000%</t>
        </is>
      </c>
      <c r="D280" t="inlineStr">
        <is>
          <t xml:space="preserve">Terminal Value</t>
        </is>
      </c>
      <c r="E280" s="6">
        <v>142324449629.8679</v>
      </c>
      <c r="F280" s="6">
        <v>142324449629.8679</v>
      </c>
      <c r="G280" s="11">
        <f>ABS(E280-F280)</f>
        <v>0.0</v>
      </c>
      <c r="H280" s="10">
        <f>IF(F280=0,"n/a (zero denom)",G280/ABS(F280))</f>
        <v>0.0</v>
      </c>
      <c r="I280" s="10">
        <f>'Tolerances'!$B$7</f>
        <v>0.002</v>
      </c>
      <c r="J280" s="15" t="str">
        <f>IF(F280=0,IF(G280&lt;=0.000001,"PASS","FAIL"),IF(H280&lt;=I280,"PASS","FAIL"))</f>
        <v>PASS</v>
      </c>
      <c r="K280" t="inlineStr">
        <is>
          <t xml:space="preserve"/>
        </is>
      </c>
    </row>
    <row r="281">
      <c r="A281" t="inlineStr">
        <is>
          <t xml:space="preserve">CAT</t>
        </is>
      </c>
      <c r="B281" t="inlineStr">
        <is>
          <t xml:space="preserve">Table 2 -- Terminal growth</t>
        </is>
      </c>
      <c r="C281" t="inlineStr">
        <is>
          <t xml:space="preserve">g=4.0000%</t>
        </is>
      </c>
      <c r="D281" t="inlineStr">
        <is>
          <t xml:space="preserve">Enterprise Value</t>
        </is>
      </c>
      <c r="E281" s="6">
        <v>114632468171.285</v>
      </c>
      <c r="F281" s="6">
        <v>114632468171.285</v>
      </c>
      <c r="G281" s="11">
        <f>ABS(E281-F281)</f>
        <v>0.0</v>
      </c>
      <c r="H281" s="10">
        <f>IF(F281=0,"n/a (zero denom)",G281/ABS(F281))</f>
        <v>0.0</v>
      </c>
      <c r="I281" s="10">
        <f>'Tolerances'!$B$10</f>
        <v>0.002</v>
      </c>
      <c r="J281" s="15" t="str">
        <f>IF(F281=0,IF(G281&lt;=0.000001,"PASS","FAIL"),IF(H281&lt;=I281,"PASS","FAIL"))</f>
        <v>PASS</v>
      </c>
      <c r="K281" t="inlineStr">
        <is>
          <t xml:space="preserve"/>
        </is>
      </c>
    </row>
    <row r="282">
      <c r="A282" t="inlineStr">
        <is>
          <t xml:space="preserve">CAT</t>
        </is>
      </c>
      <c r="B282" t="inlineStr">
        <is>
          <t xml:space="preserve">Table 2 -- Terminal growth</t>
        </is>
      </c>
      <c r="C282" t="inlineStr">
        <is>
          <t xml:space="preserve">g=4.0000%</t>
        </is>
      </c>
      <c r="D282" t="inlineStr">
        <is>
          <t xml:space="preserve">Equity Value</t>
        </is>
      </c>
      <c r="E282" s="6">
        <v>88402468171.285</v>
      </c>
      <c r="F282" s="6">
        <v>88402468171.285</v>
      </c>
      <c r="G282" s="11">
        <f>ABS(E282-F282)</f>
        <v>0.0</v>
      </c>
      <c r="H282" s="10">
        <f>IF(F282=0,"n/a (zero denom)",G282/ABS(F282))</f>
        <v>0.0</v>
      </c>
      <c r="I282" s="10">
        <f>'Tolerances'!$B$11</f>
        <v>0.002</v>
      </c>
      <c r="J282" s="15" t="str">
        <f>IF(F282=0,IF(G282&lt;=0.000001,"PASS","FAIL"),IF(H282&lt;=I282,"PASS","FAIL"))</f>
        <v>PASS</v>
      </c>
      <c r="K282" t="inlineStr">
        <is>
          <t xml:space="preserve"/>
        </is>
      </c>
    </row>
    <row r="283">
      <c r="A283" t="inlineStr">
        <is>
          <t xml:space="preserve">CAT</t>
        </is>
      </c>
      <c r="B283" t="inlineStr">
        <is>
          <t xml:space="preserve">Table 2 -- Terminal growth</t>
        </is>
      </c>
      <c r="C283" t="inlineStr">
        <is>
          <t xml:space="preserve">g=4.0000%</t>
        </is>
      </c>
      <c r="D283" t="inlineStr">
        <is>
          <t xml:space="preserve">Intrinsic Value per Share</t>
        </is>
      </c>
      <c r="E283" s="7">
        <v>192.31519990922325</v>
      </c>
      <c r="F283" s="7">
        <v>192.31519990922325</v>
      </c>
      <c r="G283" s="12">
        <f>ABS(E283-F283)</f>
        <v>0.0</v>
      </c>
      <c r="H283" s="10">
        <f>IF(F283=0,"n/a (zero denom)",G283/ABS(F283))</f>
        <v>0.0</v>
      </c>
      <c r="I283" s="10">
        <f>'Tolerances'!$B$13</f>
        <v>0.005</v>
      </c>
      <c r="J283" s="15" t="str">
        <f>IF(F283=0,IF(G283&lt;=0.000001,"PASS","FAIL"),IF(H283&lt;=I283,"PASS","FAIL"))</f>
        <v>PASS</v>
      </c>
      <c r="K283" t="inlineStr">
        <is>
          <t xml:space="preserve"/>
        </is>
      </c>
    </row>
    <row r="284">
      <c r="A284" t="inlineStr">
        <is>
          <t xml:space="preserve">CAT</t>
        </is>
      </c>
      <c r="B284" t="inlineStr">
        <is>
          <t xml:space="preserve">Table 2 -- Terminal growth</t>
        </is>
      </c>
      <c r="C284" t="inlineStr">
        <is>
          <t xml:space="preserve">g=5.0000%</t>
        </is>
      </c>
      <c r="D284" t="inlineStr">
        <is>
          <t xml:space="preserve">Terminal Value</t>
        </is>
      </c>
      <c r="E284" s="6">
        <v>163943162774.61942</v>
      </c>
      <c r="F284" s="6">
        <v>163943162774.61942</v>
      </c>
      <c r="G284" s="11">
        <f>ABS(E284-F284)</f>
        <v>0.0</v>
      </c>
      <c r="H284" s="10">
        <f>IF(F284=0,"n/a (zero denom)",G284/ABS(F284))</f>
        <v>0.0</v>
      </c>
      <c r="I284" s="10">
        <f>'Tolerances'!$B$7</f>
        <v>0.002</v>
      </c>
      <c r="J284" s="15" t="str">
        <f>IF(F284=0,IF(G284&lt;=0.000001,"PASS","FAIL"),IF(H284&lt;=I284,"PASS","FAIL"))</f>
        <v>PASS</v>
      </c>
      <c r="K284" t="inlineStr">
        <is>
          <t xml:space="preserve"/>
        </is>
      </c>
    </row>
    <row r="285">
      <c r="A285" t="inlineStr">
        <is>
          <t xml:space="preserve">CAT</t>
        </is>
      </c>
      <c r="B285" t="inlineStr">
        <is>
          <t xml:space="preserve">Table 2 -- Terminal growth</t>
        </is>
      </c>
      <c r="C285" t="inlineStr">
        <is>
          <t xml:space="preserve">g=5.0000%</t>
        </is>
      </c>
      <c r="D285" t="inlineStr">
        <is>
          <t xml:space="preserve">Enterprise Value</t>
        </is>
      </c>
      <c r="E285" s="6">
        <v>126847136503.05948</v>
      </c>
      <c r="F285" s="6">
        <v>126847136503.05948</v>
      </c>
      <c r="G285" s="11">
        <f>ABS(E285-F285)</f>
        <v>0.0</v>
      </c>
      <c r="H285" s="10">
        <f>IF(F285=0,"n/a (zero denom)",G285/ABS(F285))</f>
        <v>0.0</v>
      </c>
      <c r="I285" s="10">
        <f>'Tolerances'!$B$10</f>
        <v>0.002</v>
      </c>
      <c r="J285" s="15" t="str">
        <f>IF(F285=0,IF(G285&lt;=0.000001,"PASS","FAIL"),IF(H285&lt;=I285,"PASS","FAIL"))</f>
        <v>PASS</v>
      </c>
      <c r="K285" t="inlineStr">
        <is>
          <t xml:space="preserve"/>
        </is>
      </c>
    </row>
    <row r="286">
      <c r="A286" t="inlineStr">
        <is>
          <t xml:space="preserve">CAT</t>
        </is>
      </c>
      <c r="B286" t="inlineStr">
        <is>
          <t xml:space="preserve">Table 2 -- Terminal growth</t>
        </is>
      </c>
      <c r="C286" t="inlineStr">
        <is>
          <t xml:space="preserve">g=5.0000%</t>
        </is>
      </c>
      <c r="D286" t="inlineStr">
        <is>
          <t xml:space="preserve">Equity Value</t>
        </is>
      </c>
      <c r="E286" s="6">
        <v>100617136503.05948</v>
      </c>
      <c r="F286" s="6">
        <v>100617136503.05948</v>
      </c>
      <c r="G286" s="11">
        <f>ABS(E286-F286)</f>
        <v>0.0</v>
      </c>
      <c r="H286" s="10">
        <f>IF(F286=0,"n/a (zero denom)",G286/ABS(F286))</f>
        <v>0.0</v>
      </c>
      <c r="I286" s="10">
        <f>'Tolerances'!$B$11</f>
        <v>0.002</v>
      </c>
      <c r="J286" s="15" t="str">
        <f>IF(F286=0,IF(G286&lt;=0.000001,"PASS","FAIL"),IF(H286&lt;=I286,"PASS","FAIL"))</f>
        <v>PASS</v>
      </c>
      <c r="K286" t="inlineStr">
        <is>
          <t xml:space="preserve"/>
        </is>
      </c>
    </row>
    <row r="287">
      <c r="A287" t="inlineStr">
        <is>
          <t xml:space="preserve">CAT</t>
        </is>
      </c>
      <c r="B287" t="inlineStr">
        <is>
          <t xml:space="preserve">Table 2 -- Terminal growth</t>
        </is>
      </c>
      <c r="C287" t="inlineStr">
        <is>
          <t xml:space="preserve">g=5.0000%</t>
        </is>
      </c>
      <c r="D287" t="inlineStr">
        <is>
          <t xml:space="preserve">Intrinsic Value per Share</t>
        </is>
      </c>
      <c r="E287" s="7">
        <v>218.88760711281637</v>
      </c>
      <c r="F287" s="7">
        <v>218.88760711281637</v>
      </c>
      <c r="G287" s="12">
        <f>ABS(E287-F287)</f>
        <v>0.0</v>
      </c>
      <c r="H287" s="10">
        <f>IF(F287=0,"n/a (zero denom)",G287/ABS(F287))</f>
        <v>0.0</v>
      </c>
      <c r="I287" s="10">
        <f>'Tolerances'!$B$13</f>
        <v>0.005</v>
      </c>
      <c r="J287" s="15" t="str">
        <f>IF(F287=0,IF(G287&lt;=0.000001,"PASS","FAIL"),IF(H287&lt;=I287,"PASS","FAIL"))</f>
        <v>PASS</v>
      </c>
      <c r="K287" t="inlineStr">
        <is>
          <t xml:space="preserve"/>
        </is>
      </c>
    </row>
    <row r="288">
      <c r="A288" t="inlineStr">
        <is>
          <t xml:space="preserve">CAT</t>
        </is>
      </c>
      <c r="B288" t="inlineStr">
        <is>
          <t xml:space="preserve">Table 3 -- Revenue growth</t>
        </is>
      </c>
      <c r="C288" t="inlineStr">
        <is>
          <t xml:space="preserve">RevGrowth=-10.0000%</t>
        </is>
      </c>
      <c r="D288" t="inlineStr">
        <is>
          <t xml:space="preserve">FCF Year 1</t>
        </is>
      </c>
      <c r="E288" s="6">
        <v>7116496635.469978</v>
      </c>
      <c r="F288" s="6">
        <v>7116496635.469978</v>
      </c>
      <c r="G288" s="11">
        <f>ABS(E288-F288)</f>
        <v>0.0</v>
      </c>
      <c r="H288" s="10">
        <f>IF(F288=0,"n/a (zero denom)",G288/ABS(F288))</f>
        <v>0.0</v>
      </c>
      <c r="I288" s="10">
        <f>'Tolerances'!$B$6</f>
        <v>0.001</v>
      </c>
      <c r="J288" s="15" t="str">
        <f>IF(F288=0,IF(G288&lt;=0.000001,"PASS","FAIL"),IF(H288&lt;=I288,"PASS","FAIL"))</f>
        <v>PASS</v>
      </c>
      <c r="K288" t="inlineStr">
        <is>
          <t xml:space="preserve"/>
        </is>
      </c>
    </row>
    <row r="289">
      <c r="A289" t="inlineStr">
        <is>
          <t xml:space="preserve">CAT</t>
        </is>
      </c>
      <c r="B289" t="inlineStr">
        <is>
          <t xml:space="preserve">Table 3 -- Revenue growth</t>
        </is>
      </c>
      <c r="C289" t="inlineStr">
        <is>
          <t xml:space="preserve">RevGrowth=-10.0000%</t>
        </is>
      </c>
      <c r="D289" t="inlineStr">
        <is>
          <t xml:space="preserve">FCF Year 2</t>
        </is>
      </c>
      <c r="E289" s="6">
        <v>6404846971.922979</v>
      </c>
      <c r="F289" s="6">
        <v>6404846971.922979</v>
      </c>
      <c r="G289" s="11">
        <f>ABS(E289-F289)</f>
        <v>0.0</v>
      </c>
      <c r="H289" s="10">
        <f>IF(F289=0,"n/a (zero denom)",G289/ABS(F289))</f>
        <v>0.0</v>
      </c>
      <c r="I289" s="10">
        <f>'Tolerances'!$B$6</f>
        <v>0.001</v>
      </c>
      <c r="J289" s="15" t="str">
        <f>IF(F289=0,IF(G289&lt;=0.000001,"PASS","FAIL"),IF(H289&lt;=I289,"PASS","FAIL"))</f>
        <v>PASS</v>
      </c>
      <c r="K289" t="inlineStr">
        <is>
          <t xml:space="preserve"/>
        </is>
      </c>
    </row>
    <row r="290">
      <c r="A290" t="inlineStr">
        <is>
          <t xml:space="preserve">CAT</t>
        </is>
      </c>
      <c r="B290" t="inlineStr">
        <is>
          <t xml:space="preserve">Table 3 -- Revenue growth</t>
        </is>
      </c>
      <c r="C290" t="inlineStr">
        <is>
          <t xml:space="preserve">RevGrowth=-10.0000%</t>
        </is>
      </c>
      <c r="D290" t="inlineStr">
        <is>
          <t xml:space="preserve">FCF Year 3</t>
        </is>
      </c>
      <c r="E290" s="6">
        <v>5764362274.730681</v>
      </c>
      <c r="F290" s="6">
        <v>5764362274.730681</v>
      </c>
      <c r="G290" s="11">
        <f>ABS(E290-F290)</f>
        <v>0.0</v>
      </c>
      <c r="H290" s="10">
        <f>IF(F290=0,"n/a (zero denom)",G290/ABS(F290))</f>
        <v>0.0</v>
      </c>
      <c r="I290" s="10">
        <f>'Tolerances'!$B$6</f>
        <v>0.001</v>
      </c>
      <c r="J290" s="15" t="str">
        <f>IF(F290=0,IF(G290&lt;=0.000001,"PASS","FAIL"),IF(H290&lt;=I290,"PASS","FAIL"))</f>
        <v>PASS</v>
      </c>
      <c r="K290" t="inlineStr">
        <is>
          <t xml:space="preserve"/>
        </is>
      </c>
    </row>
    <row r="291">
      <c r="A291" t="inlineStr">
        <is>
          <t xml:space="preserve">CAT</t>
        </is>
      </c>
      <c r="B291" t="inlineStr">
        <is>
          <t xml:space="preserve">Table 3 -- Revenue growth</t>
        </is>
      </c>
      <c r="C291" t="inlineStr">
        <is>
          <t xml:space="preserve">RevGrowth=-10.0000%</t>
        </is>
      </c>
      <c r="D291" t="inlineStr">
        <is>
          <t xml:space="preserve">FCF Year 4</t>
        </is>
      </c>
      <c r="E291" s="6">
        <v>5187926047.257613</v>
      </c>
      <c r="F291" s="6">
        <v>5187926047.257613</v>
      </c>
      <c r="G291" s="11">
        <f>ABS(E291-F291)</f>
        <v>0.0</v>
      </c>
      <c r="H291" s="10">
        <f>IF(F291=0,"n/a (zero denom)",G291/ABS(F291))</f>
        <v>0.0</v>
      </c>
      <c r="I291" s="10">
        <f>'Tolerances'!$B$6</f>
        <v>0.001</v>
      </c>
      <c r="J291" s="15" t="str">
        <f>IF(F291=0,IF(G291&lt;=0.000001,"PASS","FAIL"),IF(H291&lt;=I291,"PASS","FAIL"))</f>
        <v>PASS</v>
      </c>
      <c r="K291" t="inlineStr">
        <is>
          <t xml:space="preserve"/>
        </is>
      </c>
    </row>
    <row r="292">
      <c r="A292" t="inlineStr">
        <is>
          <t xml:space="preserve">CAT</t>
        </is>
      </c>
      <c r="B292" t="inlineStr">
        <is>
          <t xml:space="preserve">Table 3 -- Revenue growth</t>
        </is>
      </c>
      <c r="C292" t="inlineStr">
        <is>
          <t xml:space="preserve">RevGrowth=-10.0000%</t>
        </is>
      </c>
      <c r="D292" t="inlineStr">
        <is>
          <t xml:space="preserve">FCF Year 5</t>
        </is>
      </c>
      <c r="E292" s="6">
        <v>4669133442.531851</v>
      </c>
      <c r="F292" s="6">
        <v>4669133442.531851</v>
      </c>
      <c r="G292" s="11">
        <f>ABS(E292-F292)</f>
        <v>0.0</v>
      </c>
      <c r="H292" s="10">
        <f>IF(F292=0,"n/a (zero denom)",G292/ABS(F292))</f>
        <v>0.0</v>
      </c>
      <c r="I292" s="10">
        <f>'Tolerances'!$B$6</f>
        <v>0.001</v>
      </c>
      <c r="J292" s="15" t="str">
        <f>IF(F292=0,IF(G292&lt;=0.000001,"PASS","FAIL"),IF(H292&lt;=I292,"PASS","FAIL"))</f>
        <v>PASS</v>
      </c>
      <c r="K292" t="inlineStr">
        <is>
          <t xml:space="preserve"/>
        </is>
      </c>
    </row>
    <row r="293">
      <c r="A293" t="inlineStr">
        <is>
          <t xml:space="preserve">CAT</t>
        </is>
      </c>
      <c r="B293" t="inlineStr">
        <is>
          <t xml:space="preserve">Table 3 -- Revenue growth</t>
        </is>
      </c>
      <c r="C293" t="inlineStr">
        <is>
          <t xml:space="preserve">RevGrowth=-10.0000%</t>
        </is>
      </c>
      <c r="D293" t="inlineStr">
        <is>
          <t xml:space="preserve">Terminal Value</t>
        </is>
      </c>
      <c r="E293" s="6">
        <v>49874156281.21054</v>
      </c>
      <c r="F293" s="6">
        <v>49874156281.21054</v>
      </c>
      <c r="G293" s="11">
        <f>ABS(E293-F293)</f>
        <v>0.0</v>
      </c>
      <c r="H293" s="10">
        <f>IF(F293=0,"n/a (zero denom)",G293/ABS(F293))</f>
        <v>0.0</v>
      </c>
      <c r="I293" s="10">
        <f>'Tolerances'!$B$7</f>
        <v>0.002</v>
      </c>
      <c r="J293" s="15" t="str">
        <f>IF(F293=0,IF(G293&lt;=0.000001,"PASS","FAIL"),IF(H293&lt;=I293,"PASS","FAIL"))</f>
        <v>PASS</v>
      </c>
      <c r="K293" t="inlineStr">
        <is>
          <t xml:space="preserve"/>
        </is>
      </c>
    </row>
    <row r="294">
      <c r="A294" t="inlineStr">
        <is>
          <t xml:space="preserve">CAT</t>
        </is>
      </c>
      <c r="B294" t="inlineStr">
        <is>
          <t xml:space="preserve">Table 3 -- Revenue growth</t>
        </is>
      </c>
      <c r="C294" t="inlineStr">
        <is>
          <t xml:space="preserve">RevGrowth=-10.0000%</t>
        </is>
      </c>
      <c r="D294" t="inlineStr">
        <is>
          <t xml:space="preserve">Enterprise Value</t>
        </is>
      </c>
      <c r="E294" s="6">
        <v>49641150106.10931</v>
      </c>
      <c r="F294" s="6">
        <v>49641150106.10931</v>
      </c>
      <c r="G294" s="11">
        <f>ABS(E294-F294)</f>
        <v>0.0</v>
      </c>
      <c r="H294" s="10">
        <f>IF(F294=0,"n/a (zero denom)",G294/ABS(F294))</f>
        <v>0.0</v>
      </c>
      <c r="I294" s="10">
        <f>'Tolerances'!$B$10</f>
        <v>0.002</v>
      </c>
      <c r="J294" s="15" t="str">
        <f>IF(F294=0,IF(G294&lt;=0.000001,"PASS","FAIL"),IF(H294&lt;=I294,"PASS","FAIL"))</f>
        <v>PASS</v>
      </c>
      <c r="K294" t="inlineStr">
        <is>
          <t xml:space="preserve"/>
        </is>
      </c>
    </row>
    <row r="295">
      <c r="A295" t="inlineStr">
        <is>
          <t xml:space="preserve">CAT</t>
        </is>
      </c>
      <c r="B295" t="inlineStr">
        <is>
          <t xml:space="preserve">Table 3 -- Revenue growth</t>
        </is>
      </c>
      <c r="C295" t="inlineStr">
        <is>
          <t xml:space="preserve">RevGrowth=-10.0000%</t>
        </is>
      </c>
      <c r="D295" t="inlineStr">
        <is>
          <t xml:space="preserve">Equity Value</t>
        </is>
      </c>
      <c r="E295" s="6">
        <v>23411150106.109306</v>
      </c>
      <c r="F295" s="6">
        <v>23411150106.109306</v>
      </c>
      <c r="G295" s="11">
        <f>ABS(E295-F295)</f>
        <v>0.0</v>
      </c>
      <c r="H295" s="10">
        <f>IF(F295=0,"n/a (zero denom)",G295/ABS(F295))</f>
        <v>0.0</v>
      </c>
      <c r="I295" s="10">
        <f>'Tolerances'!$B$11</f>
        <v>0.002</v>
      </c>
      <c r="J295" s="15" t="str">
        <f>IF(F295=0,IF(G295&lt;=0.000001,"PASS","FAIL"),IF(H295&lt;=I295,"PASS","FAIL"))</f>
        <v>PASS</v>
      </c>
      <c r="K295" t="inlineStr">
        <is>
          <t xml:space="preserve"/>
        </is>
      </c>
    </row>
    <row r="296">
      <c r="A296" t="inlineStr">
        <is>
          <t xml:space="preserve">CAT</t>
        </is>
      </c>
      <c r="B296" t="inlineStr">
        <is>
          <t xml:space="preserve">Table 3 -- Revenue growth</t>
        </is>
      </c>
      <c r="C296" t="inlineStr">
        <is>
          <t xml:space="preserve">RevGrowth=-10.0000%</t>
        </is>
      </c>
      <c r="D296" t="inlineStr">
        <is>
          <t xml:space="preserve">Intrinsic Value per Share</t>
        </is>
      </c>
      <c r="E296" s="7">
        <v>50.929799878864614</v>
      </c>
      <c r="F296" s="7">
        <v>50.929799878864614</v>
      </c>
      <c r="G296" s="12">
        <f>ABS(E296-F296)</f>
        <v>0.0</v>
      </c>
      <c r="H296" s="10">
        <f>IF(F296=0,"n/a (zero denom)",G296/ABS(F296))</f>
        <v>0.0</v>
      </c>
      <c r="I296" s="10">
        <f>'Tolerances'!$B$13</f>
        <v>0.005</v>
      </c>
      <c r="J296" s="15" t="str">
        <f>IF(F296=0,IF(G296&lt;=0.000001,"PASS","FAIL"),IF(H296&lt;=I296,"PASS","FAIL"))</f>
        <v>PASS</v>
      </c>
      <c r="K296" t="inlineStr">
        <is>
          <t xml:space="preserve"/>
        </is>
      </c>
    </row>
    <row r="297">
      <c r="A297" t="inlineStr">
        <is>
          <t xml:space="preserve">CAT</t>
        </is>
      </c>
      <c r="B297" t="inlineStr">
        <is>
          <t xml:space="preserve">Table 3 -- Revenue growth</t>
        </is>
      </c>
      <c r="C297" t="inlineStr">
        <is>
          <t xml:space="preserve">RevGrowth=-5.0000%</t>
        </is>
      </c>
      <c r="D297" t="inlineStr">
        <is>
          <t xml:space="preserve">FCF Year 1</t>
        </is>
      </c>
      <c r="E297" s="6">
        <v>7474308115.2183075</v>
      </c>
      <c r="F297" s="6">
        <v>7474308115.2183075</v>
      </c>
      <c r="G297" s="11">
        <f>ABS(E297-F297)</f>
        <v>0.0</v>
      </c>
      <c r="H297" s="10">
        <f>IF(F297=0,"n/a (zero denom)",G297/ABS(F297))</f>
        <v>0.0</v>
      </c>
      <c r="I297" s="10">
        <f>'Tolerances'!$B$6</f>
        <v>0.001</v>
      </c>
      <c r="J297" s="15" t="str">
        <f>IF(F297=0,IF(G297&lt;=0.000001,"PASS","FAIL"),IF(H297&lt;=I297,"PASS","FAIL"))</f>
        <v>PASS</v>
      </c>
      <c r="K297" t="inlineStr">
        <is>
          <t xml:space="preserve"/>
        </is>
      </c>
    </row>
    <row r="298">
      <c r="A298" t="inlineStr">
        <is>
          <t xml:space="preserve">CAT</t>
        </is>
      </c>
      <c r="B298" t="inlineStr">
        <is>
          <t xml:space="preserve">Table 3 -- Revenue growth</t>
        </is>
      </c>
      <c r="C298" t="inlineStr">
        <is>
          <t xml:space="preserve">RevGrowth=-5.0000%</t>
        </is>
      </c>
      <c r="D298" t="inlineStr">
        <is>
          <t xml:space="preserve">FCF Year 2</t>
        </is>
      </c>
      <c r="E298" s="6">
        <v>7100592709.457394</v>
      </c>
      <c r="F298" s="6">
        <v>7100592709.457394</v>
      </c>
      <c r="G298" s="11">
        <f>ABS(E298-F298)</f>
        <v>0.0</v>
      </c>
      <c r="H298" s="10">
        <f>IF(F298=0,"n/a (zero denom)",G298/ABS(F298))</f>
        <v>0.0</v>
      </c>
      <c r="I298" s="10">
        <f>'Tolerances'!$B$6</f>
        <v>0.001</v>
      </c>
      <c r="J298" s="15" t="str">
        <f>IF(F298=0,IF(G298&lt;=0.000001,"PASS","FAIL"),IF(H298&lt;=I298,"PASS","FAIL"))</f>
        <v>PASS</v>
      </c>
      <c r="K298" t="inlineStr">
        <is>
          <t xml:space="preserve"/>
        </is>
      </c>
    </row>
    <row r="299">
      <c r="A299" t="inlineStr">
        <is>
          <t xml:space="preserve">CAT</t>
        </is>
      </c>
      <c r="B299" t="inlineStr">
        <is>
          <t xml:space="preserve">Table 3 -- Revenue growth</t>
        </is>
      </c>
      <c r="C299" t="inlineStr">
        <is>
          <t xml:space="preserve">RevGrowth=-5.0000%</t>
        </is>
      </c>
      <c r="D299" t="inlineStr">
        <is>
          <t xml:space="preserve">FCF Year 3</t>
        </is>
      </c>
      <c r="E299" s="6">
        <v>6745563073.984524</v>
      </c>
      <c r="F299" s="6">
        <v>6745563073.984524</v>
      </c>
      <c r="G299" s="11">
        <f>ABS(E299-F299)</f>
        <v>0.0</v>
      </c>
      <c r="H299" s="10">
        <f>IF(F299=0,"n/a (zero denom)",G299/ABS(F299))</f>
        <v>0.0</v>
      </c>
      <c r="I299" s="10">
        <f>'Tolerances'!$B$6</f>
        <v>0.001</v>
      </c>
      <c r="J299" s="15" t="str">
        <f>IF(F299=0,IF(G299&lt;=0.000001,"PASS","FAIL"),IF(H299&lt;=I299,"PASS","FAIL"))</f>
        <v>PASS</v>
      </c>
      <c r="K299" t="inlineStr">
        <is>
          <t xml:space="preserve"/>
        </is>
      </c>
    </row>
    <row r="300">
      <c r="A300" t="inlineStr">
        <is>
          <t xml:space="preserve">CAT</t>
        </is>
      </c>
      <c r="B300" t="inlineStr">
        <is>
          <t xml:space="preserve">Table 3 -- Revenue growth</t>
        </is>
      </c>
      <c r="C300" t="inlineStr">
        <is>
          <t xml:space="preserve">RevGrowth=-5.0000%</t>
        </is>
      </c>
      <c r="D300" t="inlineStr">
        <is>
          <t xml:space="preserve">FCF Year 4</t>
        </is>
      </c>
      <c r="E300" s="6">
        <v>6408284920.285297</v>
      </c>
      <c r="F300" s="6">
        <v>6408284920.285297</v>
      </c>
      <c r="G300" s="11">
        <f>ABS(E300-F300)</f>
        <v>0.0</v>
      </c>
      <c r="H300" s="10">
        <f>IF(F300=0,"n/a (zero denom)",G300/ABS(F300))</f>
        <v>0.0</v>
      </c>
      <c r="I300" s="10">
        <f>'Tolerances'!$B$6</f>
        <v>0.001</v>
      </c>
      <c r="J300" s="15" t="str">
        <f>IF(F300=0,IF(G300&lt;=0.000001,"PASS","FAIL"),IF(H300&lt;=I300,"PASS","FAIL"))</f>
        <v>PASS</v>
      </c>
      <c r="K300" t="inlineStr">
        <is>
          <t xml:space="preserve"/>
        </is>
      </c>
    </row>
    <row r="301">
      <c r="A301" t="inlineStr">
        <is>
          <t xml:space="preserve">CAT</t>
        </is>
      </c>
      <c r="B301" t="inlineStr">
        <is>
          <t xml:space="preserve">Table 3 -- Revenue growth</t>
        </is>
      </c>
      <c r="C301" t="inlineStr">
        <is>
          <t xml:space="preserve">RevGrowth=-5.0000%</t>
        </is>
      </c>
      <c r="D301" t="inlineStr">
        <is>
          <t xml:space="preserve">FCF Year 5</t>
        </is>
      </c>
      <c r="E301" s="6">
        <v>6087870674.271032</v>
      </c>
      <c r="F301" s="6">
        <v>6087870674.271032</v>
      </c>
      <c r="G301" s="11">
        <f>ABS(E301-F301)</f>
        <v>0.0</v>
      </c>
      <c r="H301" s="10">
        <f>IF(F301=0,"n/a (zero denom)",G301/ABS(F301))</f>
        <v>0.0</v>
      </c>
      <c r="I301" s="10">
        <f>'Tolerances'!$B$6</f>
        <v>0.001</v>
      </c>
      <c r="J301" s="15" t="str">
        <f>IF(F301=0,IF(G301&lt;=0.000001,"PASS","FAIL"),IF(H301&lt;=I301,"PASS","FAIL"))</f>
        <v>PASS</v>
      </c>
      <c r="K301" t="inlineStr">
        <is>
          <t xml:space="preserve"/>
        </is>
      </c>
    </row>
    <row r="302">
      <c r="A302" t="inlineStr">
        <is>
          <t xml:space="preserve">CAT</t>
        </is>
      </c>
      <c r="B302" t="inlineStr">
        <is>
          <t xml:space="preserve">Table 3 -- Revenue growth</t>
        </is>
      </c>
      <c r="C302" t="inlineStr">
        <is>
          <t xml:space="preserve">RevGrowth=-5.0000%</t>
        </is>
      </c>
      <c r="D302" t="inlineStr">
        <is>
          <t xml:space="preserve">Terminal Value</t>
        </is>
      </c>
      <c r="E302" s="6">
        <v>65028643358.65911</v>
      </c>
      <c r="F302" s="6">
        <v>65028643358.65911</v>
      </c>
      <c r="G302" s="11">
        <f>ABS(E302-F302)</f>
        <v>0.0</v>
      </c>
      <c r="H302" s="10">
        <f>IF(F302=0,"n/a (zero denom)",G302/ABS(F302))</f>
        <v>0.0</v>
      </c>
      <c r="I302" s="10">
        <f>'Tolerances'!$B$7</f>
        <v>0.002</v>
      </c>
      <c r="J302" s="15" t="str">
        <f>IF(F302=0,IF(G302&lt;=0.000001,"PASS","FAIL"),IF(H302&lt;=I302,"PASS","FAIL"))</f>
        <v>PASS</v>
      </c>
      <c r="K302" t="inlineStr">
        <is>
          <t xml:space="preserve"/>
        </is>
      </c>
    </row>
    <row r="303">
      <c r="A303" t="inlineStr">
        <is>
          <t xml:space="preserve">CAT</t>
        </is>
      </c>
      <c r="B303" t="inlineStr">
        <is>
          <t xml:space="preserve">Table 3 -- Revenue growth</t>
        </is>
      </c>
      <c r="C303" t="inlineStr">
        <is>
          <t xml:space="preserve">RevGrowth=-5.0000%</t>
        </is>
      </c>
      <c r="D303" t="inlineStr">
        <is>
          <t xml:space="preserve">Enterprise Value</t>
        </is>
      </c>
      <c r="E303" s="6">
        <v>61347511206.96634</v>
      </c>
      <c r="F303" s="6">
        <v>61347511206.96634</v>
      </c>
      <c r="G303" s="11">
        <f>ABS(E303-F303)</f>
        <v>0.0</v>
      </c>
      <c r="H303" s="10">
        <f>IF(F303=0,"n/a (zero denom)",G303/ABS(F303))</f>
        <v>0.0</v>
      </c>
      <c r="I303" s="10">
        <f>'Tolerances'!$B$10</f>
        <v>0.002</v>
      </c>
      <c r="J303" s="15" t="str">
        <f>IF(F303=0,IF(G303&lt;=0.000001,"PASS","FAIL"),IF(H303&lt;=I303,"PASS","FAIL"))</f>
        <v>PASS</v>
      </c>
      <c r="K303" t="inlineStr">
        <is>
          <t xml:space="preserve"/>
        </is>
      </c>
    </row>
    <row r="304">
      <c r="A304" t="inlineStr">
        <is>
          <t xml:space="preserve">CAT</t>
        </is>
      </c>
      <c r="B304" t="inlineStr">
        <is>
          <t xml:space="preserve">Table 3 -- Revenue growth</t>
        </is>
      </c>
      <c r="C304" t="inlineStr">
        <is>
          <t xml:space="preserve">RevGrowth=-5.0000%</t>
        </is>
      </c>
      <c r="D304" t="inlineStr">
        <is>
          <t xml:space="preserve">Equity Value</t>
        </is>
      </c>
      <c r="E304" s="6">
        <v>35117511206.96634</v>
      </c>
      <c r="F304" s="6">
        <v>35117511206.96634</v>
      </c>
      <c r="G304" s="11">
        <f>ABS(E304-F304)</f>
        <v>0.0</v>
      </c>
      <c r="H304" s="10">
        <f>IF(F304=0,"n/a (zero denom)",G304/ABS(F304))</f>
        <v>0.0</v>
      </c>
      <c r="I304" s="10">
        <f>'Tolerances'!$B$11</f>
        <v>0.002</v>
      </c>
      <c r="J304" s="15" t="str">
        <f>IF(F304=0,IF(G304&lt;=0.000001,"PASS","FAIL"),IF(H304&lt;=I304,"PASS","FAIL"))</f>
        <v>PASS</v>
      </c>
      <c r="K304" t="inlineStr">
        <is>
          <t xml:space="preserve"/>
        </is>
      </c>
    </row>
    <row r="305">
      <c r="A305" t="inlineStr">
        <is>
          <t xml:space="preserve">CAT</t>
        </is>
      </c>
      <c r="B305" t="inlineStr">
        <is>
          <t xml:space="preserve">Table 3 -- Revenue growth</t>
        </is>
      </c>
      <c r="C305" t="inlineStr">
        <is>
          <t xml:space="preserve">RevGrowth=-5.0000%</t>
        </is>
      </c>
      <c r="D305" t="inlineStr">
        <is>
          <t xml:space="preserve">Intrinsic Value per Share</t>
        </is>
      </c>
      <c r="E305" s="7">
        <v>76.39640982643787</v>
      </c>
      <c r="F305" s="7">
        <v>76.39640982643787</v>
      </c>
      <c r="G305" s="12">
        <f>ABS(E305-F305)</f>
        <v>0.0</v>
      </c>
      <c r="H305" s="10">
        <f>IF(F305=0,"n/a (zero denom)",G305/ABS(F305))</f>
        <v>0.0</v>
      </c>
      <c r="I305" s="10">
        <f>'Tolerances'!$B$13</f>
        <v>0.005</v>
      </c>
      <c r="J305" s="15" t="str">
        <f>IF(F305=0,IF(G305&lt;=0.000001,"PASS","FAIL"),IF(H305&lt;=I305,"PASS","FAIL"))</f>
        <v>PASS</v>
      </c>
      <c r="K305" t="inlineStr">
        <is>
          <t xml:space="preserve"/>
        </is>
      </c>
    </row>
    <row r="306">
      <c r="A306" t="inlineStr">
        <is>
          <t xml:space="preserve">CAT</t>
        </is>
      </c>
      <c r="B306" t="inlineStr">
        <is>
          <t xml:space="preserve">Table 3 -- Revenue growth</t>
        </is>
      </c>
      <c r="C306" t="inlineStr">
        <is>
          <t xml:space="preserve">RevGrowth=0.0000%</t>
        </is>
      </c>
      <c r="D306" t="inlineStr">
        <is>
          <t xml:space="preserve">FCF Year 1</t>
        </is>
      </c>
      <c r="E306" s="6">
        <v>7832119594.96664</v>
      </c>
      <c r="F306" s="6">
        <v>7832119594.96664</v>
      </c>
      <c r="G306" s="11">
        <f>ABS(E306-F306)</f>
        <v>0.0</v>
      </c>
      <c r="H306" s="10">
        <f>IF(F306=0,"n/a (zero denom)",G306/ABS(F306))</f>
        <v>0.0</v>
      </c>
      <c r="I306" s="10">
        <f>'Tolerances'!$B$6</f>
        <v>0.001</v>
      </c>
      <c r="J306" s="15" t="str">
        <f>IF(F306=0,IF(G306&lt;=0.000001,"PASS","FAIL"),IF(H306&lt;=I306,"PASS","FAIL"))</f>
        <v>PASS</v>
      </c>
      <c r="K306" t="inlineStr">
        <is>
          <t xml:space="preserve"/>
        </is>
      </c>
    </row>
    <row r="307">
      <c r="A307" t="inlineStr">
        <is>
          <t xml:space="preserve">CAT</t>
        </is>
      </c>
      <c r="B307" t="inlineStr">
        <is>
          <t xml:space="preserve">Table 3 -- Revenue growth</t>
        </is>
      </c>
      <c r="C307" t="inlineStr">
        <is>
          <t xml:space="preserve">RevGrowth=0.0000%</t>
        </is>
      </c>
      <c r="D307" t="inlineStr">
        <is>
          <t xml:space="preserve">FCF Year 2</t>
        </is>
      </c>
      <c r="E307" s="6">
        <v>7832119594.96664</v>
      </c>
      <c r="F307" s="6">
        <v>7832119594.96664</v>
      </c>
      <c r="G307" s="11">
        <f>ABS(E307-F307)</f>
        <v>0.0</v>
      </c>
      <c r="H307" s="10">
        <f>IF(F307=0,"n/a (zero denom)",G307/ABS(F307))</f>
        <v>0.0</v>
      </c>
      <c r="I307" s="10">
        <f>'Tolerances'!$B$6</f>
        <v>0.001</v>
      </c>
      <c r="J307" s="15" t="str">
        <f>IF(F307=0,IF(G307&lt;=0.000001,"PASS","FAIL"),IF(H307&lt;=I307,"PASS","FAIL"))</f>
        <v>PASS</v>
      </c>
      <c r="K307" t="inlineStr">
        <is>
          <t xml:space="preserve"/>
        </is>
      </c>
    </row>
    <row r="308">
      <c r="A308" t="inlineStr">
        <is>
          <t xml:space="preserve">CAT</t>
        </is>
      </c>
      <c r="B308" t="inlineStr">
        <is>
          <t xml:space="preserve">Table 3 -- Revenue growth</t>
        </is>
      </c>
      <c r="C308" t="inlineStr">
        <is>
          <t xml:space="preserve">RevGrowth=0.0000%</t>
        </is>
      </c>
      <c r="D308" t="inlineStr">
        <is>
          <t xml:space="preserve">FCF Year 3</t>
        </is>
      </c>
      <c r="E308" s="6">
        <v>7832119594.96664</v>
      </c>
      <c r="F308" s="6">
        <v>7832119594.96664</v>
      </c>
      <c r="G308" s="11">
        <f>ABS(E308-F308)</f>
        <v>0.0</v>
      </c>
      <c r="H308" s="10">
        <f>IF(F308=0,"n/a (zero denom)",G308/ABS(F308))</f>
        <v>0.0</v>
      </c>
      <c r="I308" s="10">
        <f>'Tolerances'!$B$6</f>
        <v>0.001</v>
      </c>
      <c r="J308" s="15" t="str">
        <f>IF(F308=0,IF(G308&lt;=0.000001,"PASS","FAIL"),IF(H308&lt;=I308,"PASS","FAIL"))</f>
        <v>PASS</v>
      </c>
      <c r="K308" t="inlineStr">
        <is>
          <t xml:space="preserve"/>
        </is>
      </c>
    </row>
    <row r="309">
      <c r="A309" t="inlineStr">
        <is>
          <t xml:space="preserve">CAT</t>
        </is>
      </c>
      <c r="B309" t="inlineStr">
        <is>
          <t xml:space="preserve">Table 3 -- Revenue growth</t>
        </is>
      </c>
      <c r="C309" t="inlineStr">
        <is>
          <t xml:space="preserve">RevGrowth=0.0000%</t>
        </is>
      </c>
      <c r="D309" t="inlineStr">
        <is>
          <t xml:space="preserve">FCF Year 4</t>
        </is>
      </c>
      <c r="E309" s="6">
        <v>7832119594.96664</v>
      </c>
      <c r="F309" s="6">
        <v>7832119594.96664</v>
      </c>
      <c r="G309" s="11">
        <f>ABS(E309-F309)</f>
        <v>0.0</v>
      </c>
      <c r="H309" s="10">
        <f>IF(F309=0,"n/a (zero denom)",G309/ABS(F309))</f>
        <v>0.0</v>
      </c>
      <c r="I309" s="10">
        <f>'Tolerances'!$B$6</f>
        <v>0.001</v>
      </c>
      <c r="J309" s="15" t="str">
        <f>IF(F309=0,IF(G309&lt;=0.000001,"PASS","FAIL"),IF(H309&lt;=I309,"PASS","FAIL"))</f>
        <v>PASS</v>
      </c>
      <c r="K309" t="inlineStr">
        <is>
          <t xml:space="preserve"/>
        </is>
      </c>
    </row>
    <row r="310">
      <c r="A310" t="inlineStr">
        <is>
          <t xml:space="preserve">CAT</t>
        </is>
      </c>
      <c r="B310" t="inlineStr">
        <is>
          <t xml:space="preserve">Table 3 -- Revenue growth</t>
        </is>
      </c>
      <c r="C310" t="inlineStr">
        <is>
          <t xml:space="preserve">RevGrowth=0.0000%</t>
        </is>
      </c>
      <c r="D310" t="inlineStr">
        <is>
          <t xml:space="preserve">FCF Year 5</t>
        </is>
      </c>
      <c r="E310" s="6">
        <v>7832119594.96664</v>
      </c>
      <c r="F310" s="6">
        <v>7832119594.96664</v>
      </c>
      <c r="G310" s="11">
        <f>ABS(E310-F310)</f>
        <v>0.0</v>
      </c>
      <c r="H310" s="10">
        <f>IF(F310=0,"n/a (zero denom)",G310/ABS(F310))</f>
        <v>0.0</v>
      </c>
      <c r="I310" s="10">
        <f>'Tolerances'!$B$6</f>
        <v>0.001</v>
      </c>
      <c r="J310" s="15" t="str">
        <f>IF(F310=0,IF(G310&lt;=0.000001,"PASS","FAIL"),IF(H310&lt;=I310,"PASS","FAIL"))</f>
        <v>PASS</v>
      </c>
      <c r="K310" t="inlineStr">
        <is>
          <t xml:space="preserve"/>
        </is>
      </c>
    </row>
    <row r="311">
      <c r="A311" t="inlineStr">
        <is>
          <t xml:space="preserve">CAT</t>
        </is>
      </c>
      <c r="B311" t="inlineStr">
        <is>
          <t xml:space="preserve">Table 3 -- Revenue growth</t>
        </is>
      </c>
      <c r="C311" t="inlineStr">
        <is>
          <t xml:space="preserve">RevGrowth=0.0000%</t>
        </is>
      </c>
      <c r="D311" t="inlineStr">
        <is>
          <t xml:space="preserve">Terminal Value</t>
        </is>
      </c>
      <c r="E311" s="6">
        <v>83660139831.1466</v>
      </c>
      <c r="F311" s="6">
        <v>83660139831.1466</v>
      </c>
      <c r="G311" s="11">
        <f>ABS(E311-F311)</f>
        <v>0.0</v>
      </c>
      <c r="H311" s="10">
        <f>IF(F311=0,"n/a (zero denom)",G311/ABS(F311))</f>
        <v>0.0</v>
      </c>
      <c r="I311" s="10">
        <f>'Tolerances'!$B$7</f>
        <v>0.002</v>
      </c>
      <c r="J311" s="15" t="str">
        <f>IF(F311=0,IF(G311&lt;=0.000001,"PASS","FAIL"),IF(H311&lt;=I311,"PASS","FAIL"))</f>
        <v>PASS</v>
      </c>
      <c r="K311" t="inlineStr">
        <is>
          <t xml:space="preserve"/>
        </is>
      </c>
    </row>
    <row r="312">
      <c r="A312" t="inlineStr">
        <is>
          <t xml:space="preserve">CAT</t>
        </is>
      </c>
      <c r="B312" t="inlineStr">
        <is>
          <t xml:space="preserve">Table 3 -- Revenue growth</t>
        </is>
      </c>
      <c r="C312" t="inlineStr">
        <is>
          <t xml:space="preserve">RevGrowth=0.0000%</t>
        </is>
      </c>
      <c r="D312" t="inlineStr">
        <is>
          <t xml:space="preserve">Enterprise Value</t>
        </is>
      </c>
      <c r="E312" s="6">
        <v>75434457825.82443</v>
      </c>
      <c r="F312" s="6">
        <v>75434457825.82443</v>
      </c>
      <c r="G312" s="11">
        <f>ABS(E312-F312)</f>
        <v>0.0</v>
      </c>
      <c r="H312" s="10">
        <f>IF(F312=0,"n/a (zero denom)",G312/ABS(F312))</f>
        <v>0.0</v>
      </c>
      <c r="I312" s="10">
        <f>'Tolerances'!$B$10</f>
        <v>0.002</v>
      </c>
      <c r="J312" s="15" t="str">
        <f>IF(F312=0,IF(G312&lt;=0.000001,"PASS","FAIL"),IF(H312&lt;=I312,"PASS","FAIL"))</f>
        <v>PASS</v>
      </c>
      <c r="K312" t="inlineStr">
        <is>
          <t xml:space="preserve"/>
        </is>
      </c>
    </row>
    <row r="313">
      <c r="A313" t="inlineStr">
        <is>
          <t xml:space="preserve">CAT</t>
        </is>
      </c>
      <c r="B313" t="inlineStr">
        <is>
          <t xml:space="preserve">Table 3 -- Revenue growth</t>
        </is>
      </c>
      <c r="C313" t="inlineStr">
        <is>
          <t xml:space="preserve">RevGrowth=0.0000%</t>
        </is>
      </c>
      <c r="D313" t="inlineStr">
        <is>
          <t xml:space="preserve">Equity Value</t>
        </is>
      </c>
      <c r="E313" s="6">
        <v>49204457825.82443</v>
      </c>
      <c r="F313" s="6">
        <v>49204457825.82443</v>
      </c>
      <c r="G313" s="11">
        <f>ABS(E313-F313)</f>
        <v>0.0</v>
      </c>
      <c r="H313" s="10">
        <f>IF(F313=0,"n/a (zero denom)",G313/ABS(F313))</f>
        <v>0.0</v>
      </c>
      <c r="I313" s="10">
        <f>'Tolerances'!$B$11</f>
        <v>0.002</v>
      </c>
      <c r="J313" s="15" t="str">
        <f>IF(F313=0,IF(G313&lt;=0.000001,"PASS","FAIL"),IF(H313&lt;=I313,"PASS","FAIL"))</f>
        <v>PASS</v>
      </c>
      <c r="K313" t="inlineStr">
        <is>
          <t xml:space="preserve"/>
        </is>
      </c>
    </row>
    <row r="314">
      <c r="A314" t="inlineStr">
        <is>
          <t xml:space="preserve">CAT</t>
        </is>
      </c>
      <c r="B314" t="inlineStr">
        <is>
          <t xml:space="preserve">Table 3 -- Revenue growth</t>
        </is>
      </c>
      <c r="C314" t="inlineStr">
        <is>
          <t xml:space="preserve">RevGrowth=0.0000%</t>
        </is>
      </c>
      <c r="D314" t="inlineStr">
        <is>
          <t xml:space="preserve">Intrinsic Value per Share</t>
        </is>
      </c>
      <c r="E314" s="7">
        <v>107.04186589975863</v>
      </c>
      <c r="F314" s="7">
        <v>107.04186589975863</v>
      </c>
      <c r="G314" s="12">
        <f>ABS(E314-F314)</f>
        <v>0.0</v>
      </c>
      <c r="H314" s="10">
        <f>IF(F314=0,"n/a (zero denom)",G314/ABS(F314))</f>
        <v>0.0</v>
      </c>
      <c r="I314" s="10">
        <f>'Tolerances'!$B$13</f>
        <v>0.005</v>
      </c>
      <c r="J314" s="15" t="str">
        <f>IF(F314=0,IF(G314&lt;=0.000001,"PASS","FAIL"),IF(H314&lt;=I314,"PASS","FAIL"))</f>
        <v>PASS</v>
      </c>
      <c r="K314" t="inlineStr">
        <is>
          <t xml:space="preserve"/>
        </is>
      </c>
    </row>
    <row r="315">
      <c r="A315" t="inlineStr">
        <is>
          <t xml:space="preserve">CAT</t>
        </is>
      </c>
      <c r="B315" t="inlineStr">
        <is>
          <t xml:space="preserve">Table 3 -- Revenue growth</t>
        </is>
      </c>
      <c r="C315" t="inlineStr">
        <is>
          <t xml:space="preserve">RevGrowth=5.0000%</t>
        </is>
      </c>
      <c r="D315" t="inlineStr">
        <is>
          <t xml:space="preserve">FCF Year 1</t>
        </is>
      </c>
      <c r="E315" s="6">
        <v>8189931074.714973</v>
      </c>
      <c r="F315" s="6">
        <v>8189931074.714973</v>
      </c>
      <c r="G315" s="11">
        <f>ABS(E315-F315)</f>
        <v>0.0</v>
      </c>
      <c r="H315" s="10">
        <f>IF(F315=0,"n/a (zero denom)",G315/ABS(F315))</f>
        <v>0.0</v>
      </c>
      <c r="I315" s="10">
        <f>'Tolerances'!$B$6</f>
        <v>0.001</v>
      </c>
      <c r="J315" s="15" t="str">
        <f>IF(F315=0,IF(G315&lt;=0.000001,"PASS","FAIL"),IF(H315&lt;=I315,"PASS","FAIL"))</f>
        <v>PASS</v>
      </c>
      <c r="K315" t="inlineStr">
        <is>
          <t xml:space="preserve"/>
        </is>
      </c>
    </row>
    <row r="316">
      <c r="A316" t="inlineStr">
        <is>
          <t xml:space="preserve">CAT</t>
        </is>
      </c>
      <c r="B316" t="inlineStr">
        <is>
          <t xml:space="preserve">Table 3 -- Revenue growth</t>
        </is>
      </c>
      <c r="C316" t="inlineStr">
        <is>
          <t xml:space="preserve">RevGrowth=5.0000%</t>
        </is>
      </c>
      <c r="D316" t="inlineStr">
        <is>
          <t xml:space="preserve">FCF Year 2</t>
        </is>
      </c>
      <c r="E316" s="6">
        <v>8599427628.450722</v>
      </c>
      <c r="F316" s="6">
        <v>8599427628.450722</v>
      </c>
      <c r="G316" s="11">
        <f>ABS(E316-F316)</f>
        <v>0.0</v>
      </c>
      <c r="H316" s="10">
        <f>IF(F316=0,"n/a (zero denom)",G316/ABS(F316))</f>
        <v>0.0</v>
      </c>
      <c r="I316" s="10">
        <f>'Tolerances'!$B$6</f>
        <v>0.001</v>
      </c>
      <c r="J316" s="15" t="str">
        <f>IF(F316=0,IF(G316&lt;=0.000001,"PASS","FAIL"),IF(H316&lt;=I316,"PASS","FAIL"))</f>
        <v>PASS</v>
      </c>
      <c r="K316" t="inlineStr">
        <is>
          <t xml:space="preserve"/>
        </is>
      </c>
    </row>
    <row r="317">
      <c r="A317" t="inlineStr">
        <is>
          <t xml:space="preserve">CAT</t>
        </is>
      </c>
      <c r="B317" t="inlineStr">
        <is>
          <t xml:space="preserve">Table 3 -- Revenue growth</t>
        </is>
      </c>
      <c r="C317" t="inlineStr">
        <is>
          <t xml:space="preserve">RevGrowth=5.0000%</t>
        </is>
      </c>
      <c r="D317" t="inlineStr">
        <is>
          <t xml:space="preserve">FCF Year 3</t>
        </is>
      </c>
      <c r="E317" s="6">
        <v>9029399009.873259</v>
      </c>
      <c r="F317" s="6">
        <v>9029399009.873259</v>
      </c>
      <c r="G317" s="11">
        <f>ABS(E317-F317)</f>
        <v>0.0</v>
      </c>
      <c r="H317" s="10">
        <f>IF(F317=0,"n/a (zero denom)",G317/ABS(F317))</f>
        <v>0.0</v>
      </c>
      <c r="I317" s="10">
        <f>'Tolerances'!$B$6</f>
        <v>0.001</v>
      </c>
      <c r="J317" s="15" t="str">
        <f>IF(F317=0,IF(G317&lt;=0.000001,"PASS","FAIL"),IF(H317&lt;=I317,"PASS","FAIL"))</f>
        <v>PASS</v>
      </c>
      <c r="K317" t="inlineStr">
        <is>
          <t xml:space="preserve"/>
        </is>
      </c>
    </row>
    <row r="318">
      <c r="A318" t="inlineStr">
        <is>
          <t xml:space="preserve">CAT</t>
        </is>
      </c>
      <c r="B318" t="inlineStr">
        <is>
          <t xml:space="preserve">Table 3 -- Revenue growth</t>
        </is>
      </c>
      <c r="C318" t="inlineStr">
        <is>
          <t xml:space="preserve">RevGrowth=5.0000%</t>
        </is>
      </c>
      <c r="D318" t="inlineStr">
        <is>
          <t xml:space="preserve">FCF Year 4</t>
        </is>
      </c>
      <c r="E318" s="6">
        <v>9480868960.36692</v>
      </c>
      <c r="F318" s="6">
        <v>9480868960.36692</v>
      </c>
      <c r="G318" s="11">
        <f>ABS(E318-F318)</f>
        <v>0.0</v>
      </c>
      <c r="H318" s="10">
        <f>IF(F318=0,"n/a (zero denom)",G318/ABS(F318))</f>
        <v>0.0</v>
      </c>
      <c r="I318" s="10">
        <f>'Tolerances'!$B$6</f>
        <v>0.001</v>
      </c>
      <c r="J318" s="15" t="str">
        <f>IF(F318=0,IF(G318&lt;=0.000001,"PASS","FAIL"),IF(H318&lt;=I318,"PASS","FAIL"))</f>
        <v>PASS</v>
      </c>
      <c r="K318" t="inlineStr">
        <is>
          <t xml:space="preserve"/>
        </is>
      </c>
    </row>
    <row r="319">
      <c r="A319" t="inlineStr">
        <is>
          <t xml:space="preserve">CAT</t>
        </is>
      </c>
      <c r="B319" t="inlineStr">
        <is>
          <t xml:space="preserve">Table 3 -- Revenue growth</t>
        </is>
      </c>
      <c r="C319" t="inlineStr">
        <is>
          <t xml:space="preserve">RevGrowth=5.0000%</t>
        </is>
      </c>
      <c r="D319" t="inlineStr">
        <is>
          <t xml:space="preserve">FCF Year 5</t>
        </is>
      </c>
      <c r="E319" s="6">
        <v>9954912408.385265</v>
      </c>
      <c r="F319" s="6">
        <v>9954912408.385265</v>
      </c>
      <c r="G319" s="11">
        <f>ABS(E319-F319)</f>
        <v>0.0</v>
      </c>
      <c r="H319" s="10">
        <f>IF(F319=0,"n/a (zero denom)",G319/ABS(F319))</f>
        <v>0.0</v>
      </c>
      <c r="I319" s="10">
        <f>'Tolerances'!$B$6</f>
        <v>0.001</v>
      </c>
      <c r="J319" s="15" t="str">
        <f>IF(F319=0,IF(G319&lt;=0.000001,"PASS","FAIL"),IF(H319&lt;=I319,"PASS","FAIL"))</f>
        <v>PASS</v>
      </c>
      <c r="K319" t="inlineStr">
        <is>
          <t xml:space="preserve"/>
        </is>
      </c>
    </row>
    <row r="320">
      <c r="A320" t="inlineStr">
        <is>
          <t xml:space="preserve">CAT</t>
        </is>
      </c>
      <c r="B320" t="inlineStr">
        <is>
          <t xml:space="preserve">Table 3 -- Revenue growth</t>
        </is>
      </c>
      <c r="C320" t="inlineStr">
        <is>
          <t xml:space="preserve">RevGrowth=5.0000%</t>
        </is>
      </c>
      <c r="D320" t="inlineStr">
        <is>
          <t xml:space="preserve">Terminal Value</t>
        </is>
      </c>
      <c r="E320" s="6">
        <v>106335118353.85541</v>
      </c>
      <c r="F320" s="6">
        <v>106335118353.85541</v>
      </c>
      <c r="G320" s="11">
        <f>ABS(E320-F320)</f>
        <v>0.0</v>
      </c>
      <c r="H320" s="10">
        <f>IF(F320=0,"n/a (zero denom)",G320/ABS(F320))</f>
        <v>0.0</v>
      </c>
      <c r="I320" s="10">
        <f>'Tolerances'!$B$7</f>
        <v>0.002</v>
      </c>
      <c r="J320" s="15" t="str">
        <f>IF(F320=0,IF(G320&lt;=0.000001,"PASS","FAIL"),IF(H320&lt;=I320,"PASS","FAIL"))</f>
        <v>PASS</v>
      </c>
      <c r="K320" t="inlineStr">
        <is>
          <t xml:space="preserve"/>
        </is>
      </c>
    </row>
    <row r="321">
      <c r="A321" t="inlineStr">
        <is>
          <t xml:space="preserve">CAT</t>
        </is>
      </c>
      <c r="B321" t="inlineStr">
        <is>
          <t xml:space="preserve">Table 3 -- Revenue growth</t>
        </is>
      </c>
      <c r="C321" t="inlineStr">
        <is>
          <t xml:space="preserve">RevGrowth=5.0000%</t>
        </is>
      </c>
      <c r="D321" t="inlineStr">
        <is>
          <t xml:space="preserve">Enterprise Value</t>
        </is>
      </c>
      <c r="E321" s="6">
        <v>92269401643.50897</v>
      </c>
      <c r="F321" s="6">
        <v>92269401643.50897</v>
      </c>
      <c r="G321" s="11">
        <f>ABS(E321-F321)</f>
        <v>0.0</v>
      </c>
      <c r="H321" s="10">
        <f>IF(F321=0,"n/a (zero denom)",G321/ABS(F321))</f>
        <v>0.0</v>
      </c>
      <c r="I321" s="10">
        <f>'Tolerances'!$B$10</f>
        <v>0.002</v>
      </c>
      <c r="J321" s="15" t="str">
        <f>IF(F321=0,IF(G321&lt;=0.000001,"PASS","FAIL"),IF(H321&lt;=I321,"PASS","FAIL"))</f>
        <v>PASS</v>
      </c>
      <c r="K321" t="inlineStr">
        <is>
          <t xml:space="preserve"/>
        </is>
      </c>
    </row>
    <row r="322">
      <c r="A322" t="inlineStr">
        <is>
          <t xml:space="preserve">CAT</t>
        </is>
      </c>
      <c r="B322" t="inlineStr">
        <is>
          <t xml:space="preserve">Table 3 -- Revenue growth</t>
        </is>
      </c>
      <c r="C322" t="inlineStr">
        <is>
          <t xml:space="preserve">RevGrowth=5.0000%</t>
        </is>
      </c>
      <c r="D322" t="inlineStr">
        <is>
          <t xml:space="preserve">Equity Value</t>
        </is>
      </c>
      <c r="E322" s="6">
        <v>66039401643.50897</v>
      </c>
      <c r="F322" s="6">
        <v>66039401643.50897</v>
      </c>
      <c r="G322" s="11">
        <f>ABS(E322-F322)</f>
        <v>0.0</v>
      </c>
      <c r="H322" s="10">
        <f>IF(F322=0,"n/a (zero denom)",G322/ABS(F322))</f>
        <v>0.0</v>
      </c>
      <c r="I322" s="10">
        <f>'Tolerances'!$B$11</f>
        <v>0.002</v>
      </c>
      <c r="J322" s="15" t="str">
        <f>IF(F322=0,IF(G322&lt;=0.000001,"PASS","FAIL"),IF(H322&lt;=I322,"PASS","FAIL"))</f>
        <v>PASS</v>
      </c>
      <c r="K322" t="inlineStr">
        <is>
          <t xml:space="preserve"/>
        </is>
      </c>
    </row>
    <row r="323">
      <c r="A323" t="inlineStr">
        <is>
          <t xml:space="preserve">CAT</t>
        </is>
      </c>
      <c r="B323" t="inlineStr">
        <is>
          <t xml:space="preserve">Table 3 -- Revenue growth</t>
        </is>
      </c>
      <c r="C323" t="inlineStr">
        <is>
          <t xml:space="preserve">RevGrowth=5.0000%</t>
        </is>
      </c>
      <c r="D323" t="inlineStr">
        <is>
          <t xml:space="preserve">Intrinsic Value per Share</t>
        </is>
      </c>
      <c r="E323" s="7">
        <v>143.66545404987082</v>
      </c>
      <c r="F323" s="7">
        <v>143.66545404987082</v>
      </c>
      <c r="G323" s="12">
        <f>ABS(E323-F323)</f>
        <v>0.0</v>
      </c>
      <c r="H323" s="10">
        <f>IF(F323=0,"n/a (zero denom)",G323/ABS(F323))</f>
        <v>0.0</v>
      </c>
      <c r="I323" s="10">
        <f>'Tolerances'!$B$13</f>
        <v>0.005</v>
      </c>
      <c r="J323" s="15" t="str">
        <f>IF(F323=0,IF(G323&lt;=0.000001,"PASS","FAIL"),IF(H323&lt;=I323,"PASS","FAIL"))</f>
        <v>PASS</v>
      </c>
      <c r="K323" t="inlineStr">
        <is>
          <t xml:space="preserve"/>
        </is>
      </c>
    </row>
    <row r="324">
      <c r="A324" t="inlineStr">
        <is>
          <t xml:space="preserve">CAT</t>
        </is>
      </c>
      <c r="B324" t="inlineStr">
        <is>
          <t xml:space="preserve">Table 3 -- Revenue growth</t>
        </is>
      </c>
      <c r="C324" t="inlineStr">
        <is>
          <t xml:space="preserve">RevGrowth=10.0000%</t>
        </is>
      </c>
      <c r="D324" t="inlineStr">
        <is>
          <t xml:space="preserve">FCF Year 1</t>
        </is>
      </c>
      <c r="E324" s="6">
        <v>8547742554.4633045</v>
      </c>
      <c r="F324" s="6">
        <v>8547742554.4633045</v>
      </c>
      <c r="G324" s="11">
        <f>ABS(E324-F324)</f>
        <v>0.0</v>
      </c>
      <c r="H324" s="10">
        <f>IF(F324=0,"n/a (zero denom)",G324/ABS(F324))</f>
        <v>0.0</v>
      </c>
      <c r="I324" s="10">
        <f>'Tolerances'!$B$6</f>
        <v>0.001</v>
      </c>
      <c r="J324" s="15" t="str">
        <f>IF(F324=0,IF(G324&lt;=0.000001,"PASS","FAIL"),IF(H324&lt;=I324,"PASS","FAIL"))</f>
        <v>PASS</v>
      </c>
      <c r="K324" t="inlineStr">
        <is>
          <t xml:space="preserve"/>
        </is>
      </c>
    </row>
    <row r="325">
      <c r="A325" t="inlineStr">
        <is>
          <t xml:space="preserve">CAT</t>
        </is>
      </c>
      <c r="B325" t="inlineStr">
        <is>
          <t xml:space="preserve">Table 3 -- Revenue growth</t>
        </is>
      </c>
      <c r="C325" t="inlineStr">
        <is>
          <t xml:space="preserve">RevGrowth=10.0000%</t>
        </is>
      </c>
      <c r="D325" t="inlineStr">
        <is>
          <t xml:space="preserve">FCF Year 2</t>
        </is>
      </c>
      <c r="E325" s="6">
        <v>9402516809.909636</v>
      </c>
      <c r="F325" s="6">
        <v>9402516809.909636</v>
      </c>
      <c r="G325" s="11">
        <f>ABS(E325-F325)</f>
        <v>0.0</v>
      </c>
      <c r="H325" s="10">
        <f>IF(F325=0,"n/a (zero denom)",G325/ABS(F325))</f>
        <v>0.0</v>
      </c>
      <c r="I325" s="10">
        <f>'Tolerances'!$B$6</f>
        <v>0.001</v>
      </c>
      <c r="J325" s="15" t="str">
        <f>IF(F325=0,IF(G325&lt;=0.000001,"PASS","FAIL"),IF(H325&lt;=I325,"PASS","FAIL"))</f>
        <v>PASS</v>
      </c>
      <c r="K325" t="inlineStr">
        <is>
          <t xml:space="preserve"/>
        </is>
      </c>
    </row>
    <row r="326">
      <c r="A326" t="inlineStr">
        <is>
          <t xml:space="preserve">CAT</t>
        </is>
      </c>
      <c r="B326" t="inlineStr">
        <is>
          <t xml:space="preserve">Table 3 -- Revenue growth</t>
        </is>
      </c>
      <c r="C326" t="inlineStr">
        <is>
          <t xml:space="preserve">RevGrowth=10.0000%</t>
        </is>
      </c>
      <c r="D326" t="inlineStr">
        <is>
          <t xml:space="preserve">FCF Year 3</t>
        </is>
      </c>
      <c r="E326" s="6">
        <v>10342768490.9006</v>
      </c>
      <c r="F326" s="6">
        <v>10342768490.9006</v>
      </c>
      <c r="G326" s="11">
        <f>ABS(E326-F326)</f>
        <v>0.0</v>
      </c>
      <c r="H326" s="10">
        <f>IF(F326=0,"n/a (zero denom)",G326/ABS(F326))</f>
        <v>0.0</v>
      </c>
      <c r="I326" s="10">
        <f>'Tolerances'!$B$6</f>
        <v>0.001</v>
      </c>
      <c r="J326" s="15" t="str">
        <f>IF(F326=0,IF(G326&lt;=0.000001,"PASS","FAIL"),IF(H326&lt;=I326,"PASS","FAIL"))</f>
        <v>PASS</v>
      </c>
      <c r="K326" t="inlineStr">
        <is>
          <t xml:space="preserve"/>
        </is>
      </c>
    </row>
    <row r="327">
      <c r="A327" t="inlineStr">
        <is>
          <t xml:space="preserve">CAT</t>
        </is>
      </c>
      <c r="B327" t="inlineStr">
        <is>
          <t xml:space="preserve">Table 3 -- Revenue growth</t>
        </is>
      </c>
      <c r="C327" t="inlineStr">
        <is>
          <t xml:space="preserve">RevGrowth=10.0000%</t>
        </is>
      </c>
      <c r="D327" t="inlineStr">
        <is>
          <t xml:space="preserve">FCF Year 4</t>
        </is>
      </c>
      <c r="E327" s="6">
        <v>11377045339.990662</v>
      </c>
      <c r="F327" s="6">
        <v>11377045339.990662</v>
      </c>
      <c r="G327" s="11">
        <f>ABS(E327-F327)</f>
        <v>0.0</v>
      </c>
      <c r="H327" s="10">
        <f>IF(F327=0,"n/a (zero denom)",G327/ABS(F327))</f>
        <v>0.0</v>
      </c>
      <c r="I327" s="10">
        <f>'Tolerances'!$B$6</f>
        <v>0.001</v>
      </c>
      <c r="J327" s="15" t="str">
        <f>IF(F327=0,IF(G327&lt;=0.000001,"PASS","FAIL"),IF(H327&lt;=I327,"PASS","FAIL"))</f>
        <v>PASS</v>
      </c>
      <c r="K327" t="inlineStr">
        <is>
          <t xml:space="preserve"/>
        </is>
      </c>
    </row>
    <row r="328">
      <c r="A328" t="inlineStr">
        <is>
          <t xml:space="preserve">CAT</t>
        </is>
      </c>
      <c r="B328" t="inlineStr">
        <is>
          <t xml:space="preserve">Table 3 -- Revenue growth</t>
        </is>
      </c>
      <c r="C328" t="inlineStr">
        <is>
          <t xml:space="preserve">RevGrowth=10.0000%</t>
        </is>
      </c>
      <c r="D328" t="inlineStr">
        <is>
          <t xml:space="preserve">FCF Year 5</t>
        </is>
      </c>
      <c r="E328" s="6">
        <v>12514749873.989729</v>
      </c>
      <c r="F328" s="6">
        <v>12514749873.989729</v>
      </c>
      <c r="G328" s="11">
        <f>ABS(E328-F328)</f>
        <v>0.0</v>
      </c>
      <c r="H328" s="10">
        <f>IF(F328=0,"n/a (zero denom)",G328/ABS(F328))</f>
        <v>0.0</v>
      </c>
      <c r="I328" s="10">
        <f>'Tolerances'!$B$6</f>
        <v>0.001</v>
      </c>
      <c r="J328" s="15" t="str">
        <f>IF(F328=0,IF(G328&lt;=0.000001,"PASS","FAIL"),IF(H328&lt;=I328,"PASS","FAIL"))</f>
        <v>PASS</v>
      </c>
      <c r="K328" t="inlineStr">
        <is>
          <t xml:space="preserve"/>
        </is>
      </c>
    </row>
    <row r="329">
      <c r="A329" t="inlineStr">
        <is>
          <t xml:space="preserve">CAT</t>
        </is>
      </c>
      <c r="B329" t="inlineStr">
        <is>
          <t xml:space="preserve">Table 3 -- Revenue growth</t>
        </is>
      </c>
      <c r="C329" t="inlineStr">
        <is>
          <t xml:space="preserve">RevGrowth=10.0000%</t>
        </is>
      </c>
      <c r="D329" t="inlineStr">
        <is>
          <t xml:space="preserve">Terminal Value</t>
        </is>
      </c>
      <c r="E329" s="6">
        <v>133678464905.29294</v>
      </c>
      <c r="F329" s="6">
        <v>133678464905.29294</v>
      </c>
      <c r="G329" s="11">
        <f>ABS(E329-F329)</f>
        <v>0.0</v>
      </c>
      <c r="H329" s="10">
        <f>IF(F329=0,"n/a (zero denom)",G329/ABS(F329))</f>
        <v>0.0</v>
      </c>
      <c r="I329" s="10">
        <f>'Tolerances'!$B$7</f>
        <v>0.002</v>
      </c>
      <c r="J329" s="15" t="str">
        <f>IF(F329=0,IF(G329&lt;=0.000001,"PASS","FAIL"),IF(H329&lt;=I329,"PASS","FAIL"))</f>
        <v>PASS</v>
      </c>
      <c r="K329" t="inlineStr">
        <is>
          <t xml:space="preserve"/>
        </is>
      </c>
    </row>
    <row r="330">
      <c r="A330" t="inlineStr">
        <is>
          <t xml:space="preserve">CAT</t>
        </is>
      </c>
      <c r="B330" t="inlineStr">
        <is>
          <t xml:space="preserve">Table 3 -- Revenue growth</t>
        </is>
      </c>
      <c r="C330" t="inlineStr">
        <is>
          <t xml:space="preserve">RevGrowth=10.0000%</t>
        </is>
      </c>
      <c r="D330" t="inlineStr">
        <is>
          <t xml:space="preserve">Enterprise Value</t>
        </is>
      </c>
      <c r="E330" s="6">
        <v>112256527740.50494</v>
      </c>
      <c r="F330" s="6">
        <v>112256527740.50494</v>
      </c>
      <c r="G330" s="11">
        <f>ABS(E330-F330)</f>
        <v>0.0</v>
      </c>
      <c r="H330" s="10">
        <f>IF(F330=0,"n/a (zero denom)",G330/ABS(F330))</f>
        <v>0.0</v>
      </c>
      <c r="I330" s="10">
        <f>'Tolerances'!$B$10</f>
        <v>0.002</v>
      </c>
      <c r="J330" s="15" t="str">
        <f>IF(F330=0,IF(G330&lt;=0.000001,"PASS","FAIL"),IF(H330&lt;=I330,"PASS","FAIL"))</f>
        <v>PASS</v>
      </c>
      <c r="K330" t="inlineStr">
        <is>
          <t xml:space="preserve"/>
        </is>
      </c>
    </row>
    <row r="331">
      <c r="A331" t="inlineStr">
        <is>
          <t xml:space="preserve">CAT</t>
        </is>
      </c>
      <c r="B331" t="inlineStr">
        <is>
          <t xml:space="preserve">Table 3 -- Revenue growth</t>
        </is>
      </c>
      <c r="C331" t="inlineStr">
        <is>
          <t xml:space="preserve">RevGrowth=10.0000%</t>
        </is>
      </c>
      <c r="D331" t="inlineStr">
        <is>
          <t xml:space="preserve">Equity Value</t>
        </is>
      </c>
      <c r="E331" s="6">
        <v>86026527740.50494</v>
      </c>
      <c r="F331" s="6">
        <v>86026527740.50494</v>
      </c>
      <c r="G331" s="11">
        <f>ABS(E331-F331)</f>
        <v>0.0</v>
      </c>
      <c r="H331" s="10">
        <f>IF(F331=0,"n/a (zero denom)",G331/ABS(F331))</f>
        <v>0.0</v>
      </c>
      <c r="I331" s="10">
        <f>'Tolerances'!$B$11</f>
        <v>0.002</v>
      </c>
      <c r="J331" s="15" t="str">
        <f>IF(F331=0,IF(G331&lt;=0.000001,"PASS","FAIL"),IF(H331&lt;=I331,"PASS","FAIL"))</f>
        <v>PASS</v>
      </c>
      <c r="K331" t="inlineStr">
        <is>
          <t xml:space="preserve"/>
        </is>
      </c>
    </row>
    <row r="332">
      <c r="A332" t="inlineStr">
        <is>
          <t xml:space="preserve">CAT</t>
        </is>
      </c>
      <c r="B332" t="inlineStr">
        <is>
          <t xml:space="preserve">Table 3 -- Revenue growth</t>
        </is>
      </c>
      <c r="C332" t="inlineStr">
        <is>
          <t xml:space="preserve">RevGrowth=10.0000%</t>
        </is>
      </c>
      <c r="D332" t="inlineStr">
        <is>
          <t xml:space="preserve">Intrinsic Value per Share</t>
        </is>
      </c>
      <c r="E332" s="7">
        <v>187.14645894112556</v>
      </c>
      <c r="F332" s="7">
        <v>187.14645894112556</v>
      </c>
      <c r="G332" s="12">
        <f>ABS(E332-F332)</f>
        <v>0.0</v>
      </c>
      <c r="H332" s="10">
        <f>IF(F332=0,"n/a (zero denom)",G332/ABS(F332))</f>
        <v>0.0</v>
      </c>
      <c r="I332" s="10">
        <f>'Tolerances'!$B$13</f>
        <v>0.005</v>
      </c>
      <c r="J332" s="15" t="str">
        <f>IF(F332=0,IF(G332&lt;=0.000001,"PASS","FAIL"),IF(H332&lt;=I332,"PASS","FAIL"))</f>
        <v>PASS</v>
      </c>
      <c r="K332" t="inlineStr">
        <is>
          <t xml:space="preserve"/>
        </is>
      </c>
    </row>
    <row r="333">
      <c r="A333" t="inlineStr">
        <is>
          <t xml:space="preserve">CAT</t>
        </is>
      </c>
      <c r="B333" t="inlineStr">
        <is>
          <t xml:space="preserve">Table 3 -- Revenue growth</t>
        </is>
      </c>
      <c r="C333" t="inlineStr">
        <is>
          <t xml:space="preserve">RevGrowth=20.0000%</t>
        </is>
      </c>
      <c r="D333" t="inlineStr">
        <is>
          <t xml:space="preserve">FCF Year 1</t>
        </is>
      </c>
      <c r="E333" s="6">
        <v>9263365513.95997</v>
      </c>
      <c r="F333" s="6">
        <v>9263365513.95997</v>
      </c>
      <c r="G333" s="11">
        <f>ABS(E333-F333)</f>
        <v>0.0</v>
      </c>
      <c r="H333" s="10">
        <f>IF(F333=0,"n/a (zero denom)",G333/ABS(F333))</f>
        <v>0.0</v>
      </c>
      <c r="I333" s="10">
        <f>'Tolerances'!$B$6</f>
        <v>0.001</v>
      </c>
      <c r="J333" s="15" t="str">
        <f>IF(F333=0,IF(G333&lt;=0.000001,"PASS","FAIL"),IF(H333&lt;=I333,"PASS","FAIL"))</f>
        <v>PASS</v>
      </c>
      <c r="K333" t="inlineStr">
        <is>
          <t xml:space="preserve"/>
        </is>
      </c>
    </row>
    <row r="334">
      <c r="A334" t="inlineStr">
        <is>
          <t xml:space="preserve">CAT</t>
        </is>
      </c>
      <c r="B334" t="inlineStr">
        <is>
          <t xml:space="preserve">Table 3 -- Revenue growth</t>
        </is>
      </c>
      <c r="C334" t="inlineStr">
        <is>
          <t xml:space="preserve">RevGrowth=20.0000%</t>
        </is>
      </c>
      <c r="D334" t="inlineStr">
        <is>
          <t xml:space="preserve">FCF Year 2</t>
        </is>
      </c>
      <c r="E334" s="6">
        <v>11116038616.751965</v>
      </c>
      <c r="F334" s="6">
        <v>11116038616.751965</v>
      </c>
      <c r="G334" s="11">
        <f>ABS(E334-F334)</f>
        <v>0.0</v>
      </c>
      <c r="H334" s="10">
        <f>IF(F334=0,"n/a (zero denom)",G334/ABS(F334))</f>
        <v>0.0</v>
      </c>
      <c r="I334" s="10">
        <f>'Tolerances'!$B$6</f>
        <v>0.001</v>
      </c>
      <c r="J334" s="15" t="str">
        <f>IF(F334=0,IF(G334&lt;=0.000001,"PASS","FAIL"),IF(H334&lt;=I334,"PASS","FAIL"))</f>
        <v>PASS</v>
      </c>
      <c r="K334" t="inlineStr">
        <is>
          <t xml:space="preserve"/>
        </is>
      </c>
    </row>
    <row r="335">
      <c r="A335" t="inlineStr">
        <is>
          <t xml:space="preserve">CAT</t>
        </is>
      </c>
      <c r="B335" t="inlineStr">
        <is>
          <t xml:space="preserve">Table 3 -- Revenue growth</t>
        </is>
      </c>
      <c r="C335" t="inlineStr">
        <is>
          <t xml:space="preserve">RevGrowth=20.0000%</t>
        </is>
      </c>
      <c r="D335" t="inlineStr">
        <is>
          <t xml:space="preserve">FCF Year 3</t>
        </is>
      </c>
      <c r="E335" s="6">
        <v>13339246340.102356</v>
      </c>
      <c r="F335" s="6">
        <v>13339246340.102356</v>
      </c>
      <c r="G335" s="11">
        <f>ABS(E335-F335)</f>
        <v>0.0</v>
      </c>
      <c r="H335" s="10">
        <f>IF(F335=0,"n/a (zero denom)",G335/ABS(F335))</f>
        <v>0.0</v>
      </c>
      <c r="I335" s="10">
        <f>'Tolerances'!$B$6</f>
        <v>0.001</v>
      </c>
      <c r="J335" s="15" t="str">
        <f>IF(F335=0,IF(G335&lt;=0.000001,"PASS","FAIL"),IF(H335&lt;=I335,"PASS","FAIL"))</f>
        <v>PASS</v>
      </c>
      <c r="K335" t="inlineStr">
        <is>
          <t xml:space="preserve"/>
        </is>
      </c>
    </row>
    <row r="336">
      <c r="A336" t="inlineStr">
        <is>
          <t xml:space="preserve">CAT</t>
        </is>
      </c>
      <c r="B336" t="inlineStr">
        <is>
          <t xml:space="preserve">Table 3 -- Revenue growth</t>
        </is>
      </c>
      <c r="C336" t="inlineStr">
        <is>
          <t xml:space="preserve">RevGrowth=20.0000%</t>
        </is>
      </c>
      <c r="D336" t="inlineStr">
        <is>
          <t xml:space="preserve">FCF Year 4</t>
        </is>
      </c>
      <c r="E336" s="6">
        <v>16007095608.122826</v>
      </c>
      <c r="F336" s="6">
        <v>16007095608.122826</v>
      </c>
      <c r="G336" s="11">
        <f>ABS(E336-F336)</f>
        <v>0.0</v>
      </c>
      <c r="H336" s="10">
        <f>IF(F336=0,"n/a (zero denom)",G336/ABS(F336))</f>
        <v>0.0</v>
      </c>
      <c r="I336" s="10">
        <f>'Tolerances'!$B$6</f>
        <v>0.001</v>
      </c>
      <c r="J336" s="15" t="str">
        <f>IF(F336=0,IF(G336&lt;=0.000001,"PASS","FAIL"),IF(H336&lt;=I336,"PASS","FAIL"))</f>
        <v>PASS</v>
      </c>
      <c r="K336" t="inlineStr">
        <is>
          <t xml:space="preserve"/>
        </is>
      </c>
    </row>
    <row r="337">
      <c r="A337" t="inlineStr">
        <is>
          <t xml:space="preserve">CAT</t>
        </is>
      </c>
      <c r="B337" t="inlineStr">
        <is>
          <t xml:space="preserve">Table 3 -- Revenue growth</t>
        </is>
      </c>
      <c r="C337" t="inlineStr">
        <is>
          <t xml:space="preserve">RevGrowth=20.0000%</t>
        </is>
      </c>
      <c r="D337" t="inlineStr">
        <is>
          <t xml:space="preserve">FCF Year 5</t>
        </is>
      </c>
      <c r="E337" s="6">
        <v>19208514729.74739</v>
      </c>
      <c r="F337" s="6">
        <v>19208514729.74739</v>
      </c>
      <c r="G337" s="11">
        <f>ABS(E337-F337)</f>
        <v>0.0</v>
      </c>
      <c r="H337" s="10">
        <f>IF(F337=0,"n/a (zero denom)",G337/ABS(F337))</f>
        <v>0.0</v>
      </c>
      <c r="I337" s="10">
        <f>'Tolerances'!$B$6</f>
        <v>0.001</v>
      </c>
      <c r="J337" s="15" t="str">
        <f>IF(F337=0,IF(G337&lt;=0.000001,"PASS","FAIL"),IF(H337&lt;=I337,"PASS","FAIL"))</f>
        <v>PASS</v>
      </c>
      <c r="K337" t="inlineStr">
        <is>
          <t xml:space="preserve"/>
        </is>
      </c>
    </row>
    <row r="338">
      <c r="A338" t="inlineStr">
        <is>
          <t xml:space="preserve">CAT</t>
        </is>
      </c>
      <c r="B338" t="inlineStr">
        <is>
          <t xml:space="preserve">Table 3 -- Revenue growth</t>
        </is>
      </c>
      <c r="C338" t="inlineStr">
        <is>
          <t xml:space="preserve">RevGrowth=20.0000%</t>
        </is>
      </c>
      <c r="D338" t="inlineStr">
        <is>
          <t xml:space="preserve">Terminal Value</t>
        </is>
      </c>
      <c r="E338" s="6">
        <v>205179071738.38943</v>
      </c>
      <c r="F338" s="6">
        <v>205179071738.38943</v>
      </c>
      <c r="G338" s="11">
        <f>ABS(E338-F338)</f>
        <v>0.0</v>
      </c>
      <c r="H338" s="10">
        <f>IF(F338=0,"n/a (zero denom)",G338/ABS(F338))</f>
        <v>0.0</v>
      </c>
      <c r="I338" s="10">
        <f>'Tolerances'!$B$7</f>
        <v>0.002</v>
      </c>
      <c r="J338" s="15" t="str">
        <f>IF(F338=0,IF(G338&lt;=0.000001,"PASS","FAIL"),IF(H338&lt;=I338,"PASS","FAIL"))</f>
        <v>PASS</v>
      </c>
      <c r="K338" t="inlineStr">
        <is>
          <t xml:space="preserve"/>
        </is>
      </c>
    </row>
    <row r="339">
      <c r="A339" t="inlineStr">
        <is>
          <t xml:space="preserve">CAT</t>
        </is>
      </c>
      <c r="B339" t="inlineStr">
        <is>
          <t xml:space="preserve">Table 3 -- Revenue growth</t>
        </is>
      </c>
      <c r="C339" t="inlineStr">
        <is>
          <t xml:space="preserve">RevGrowth=20.0000%</t>
        </is>
      </c>
      <c r="D339" t="inlineStr">
        <is>
          <t xml:space="preserve">Enterprise Value</t>
        </is>
      </c>
      <c r="E339" s="6">
        <v>163498561410.42242</v>
      </c>
      <c r="F339" s="6">
        <v>163498561410.42242</v>
      </c>
      <c r="G339" s="11">
        <f>ABS(E339-F339)</f>
        <v>0.0</v>
      </c>
      <c r="H339" s="10">
        <f>IF(F339=0,"n/a (zero denom)",G339/ABS(F339))</f>
        <v>0.0</v>
      </c>
      <c r="I339" s="10">
        <f>'Tolerances'!$B$10</f>
        <v>0.002</v>
      </c>
      <c r="J339" s="15" t="str">
        <f>IF(F339=0,IF(G339&lt;=0.000001,"PASS","FAIL"),IF(H339&lt;=I339,"PASS","FAIL"))</f>
        <v>PASS</v>
      </c>
      <c r="K339" t="inlineStr">
        <is>
          <t xml:space="preserve"/>
        </is>
      </c>
    </row>
    <row r="340">
      <c r="A340" t="inlineStr">
        <is>
          <t xml:space="preserve">CAT</t>
        </is>
      </c>
      <c r="B340" t="inlineStr">
        <is>
          <t xml:space="preserve">Table 3 -- Revenue growth</t>
        </is>
      </c>
      <c r="C340" t="inlineStr">
        <is>
          <t xml:space="preserve">RevGrowth=20.0000%</t>
        </is>
      </c>
      <c r="D340" t="inlineStr">
        <is>
          <t xml:space="preserve">Equity Value</t>
        </is>
      </c>
      <c r="E340" s="6">
        <v>137268561410.42242</v>
      </c>
      <c r="F340" s="6">
        <v>137268561410.42242</v>
      </c>
      <c r="G340" s="11">
        <f>ABS(E340-F340)</f>
        <v>0.0</v>
      </c>
      <c r="H340" s="10">
        <f>IF(F340=0,"n/a (zero denom)",G340/ABS(F340))</f>
        <v>0.0</v>
      </c>
      <c r="I340" s="10">
        <f>'Tolerances'!$B$11</f>
        <v>0.002</v>
      </c>
      <c r="J340" s="15" t="str">
        <f>IF(F340=0,IF(G340&lt;=0.000001,"PASS","FAIL"),IF(H340&lt;=I340,"PASS","FAIL"))</f>
        <v>PASS</v>
      </c>
      <c r="K340" t="inlineStr">
        <is>
          <t xml:space="preserve"/>
        </is>
      </c>
    </row>
    <row r="341">
      <c r="A341" t="inlineStr">
        <is>
          <t xml:space="preserve">CAT</t>
        </is>
      </c>
      <c r="B341" t="inlineStr">
        <is>
          <t xml:space="preserve">Table 3 -- Revenue growth</t>
        </is>
      </c>
      <c r="C341" t="inlineStr">
        <is>
          <t xml:space="preserve">RevGrowth=20.0000%</t>
        </is>
      </c>
      <c r="D341" t="inlineStr">
        <is>
          <t xml:space="preserve">Intrinsic Value per Share</t>
        </is>
      </c>
      <c r="E341" s="7">
        <v>298.62097037548295</v>
      </c>
      <c r="F341" s="7">
        <v>298.62097037548295</v>
      </c>
      <c r="G341" s="12">
        <f>ABS(E341-F341)</f>
        <v>0.0</v>
      </c>
      <c r="H341" s="10">
        <f>IF(F341=0,"n/a (zero denom)",G341/ABS(F341))</f>
        <v>0.0</v>
      </c>
      <c r="I341" s="10">
        <f>'Tolerances'!$B$13</f>
        <v>0.005</v>
      </c>
      <c r="J341" s="15" t="str">
        <f>IF(F341=0,IF(G341&lt;=0.000001,"PASS","FAIL"),IF(H341&lt;=I341,"PASS","FAIL"))</f>
        <v>PASS</v>
      </c>
      <c r="K341" t="inlineStr">
        <is>
          <t xml:space="preserve"/>
        </is>
      </c>
    </row>
    <row r="342">
      <c r="A342" t="inlineStr">
        <is>
          <t xml:space="preserve">CAT</t>
        </is>
      </c>
      <c r="B342" t="inlineStr">
        <is>
          <t xml:space="preserve">Table 3 -- Revenue growth</t>
        </is>
      </c>
      <c r="C342" t="inlineStr">
        <is>
          <t xml:space="preserve">RevGrowth=30.0000%</t>
        </is>
      </c>
      <c r="D342" t="inlineStr">
        <is>
          <t xml:space="preserve">FCF Year 1</t>
        </is>
      </c>
      <c r="E342" s="6">
        <v>9978988473.456635</v>
      </c>
      <c r="F342" s="6">
        <v>9978988473.456635</v>
      </c>
      <c r="G342" s="11">
        <f>ABS(E342-F342)</f>
        <v>0.0</v>
      </c>
      <c r="H342" s="10">
        <f>IF(F342=0,"n/a (zero denom)",G342/ABS(F342))</f>
        <v>0.0</v>
      </c>
      <c r="I342" s="10">
        <f>'Tolerances'!$B$6</f>
        <v>0.001</v>
      </c>
      <c r="J342" s="15" t="str">
        <f>IF(F342=0,IF(G342&lt;=0.000001,"PASS","FAIL"),IF(H342&lt;=I342,"PASS","FAIL"))</f>
        <v>PASS</v>
      </c>
      <c r="K342" t="inlineStr">
        <is>
          <t xml:space="preserve"/>
        </is>
      </c>
    </row>
    <row r="343">
      <c r="A343" t="inlineStr">
        <is>
          <t xml:space="preserve">CAT</t>
        </is>
      </c>
      <c r="B343" t="inlineStr">
        <is>
          <t xml:space="preserve">Table 3 -- Revenue growth</t>
        </is>
      </c>
      <c r="C343" t="inlineStr">
        <is>
          <t xml:space="preserve">RevGrowth=30.0000%</t>
        </is>
      </c>
      <c r="D343" t="inlineStr">
        <is>
          <t xml:space="preserve">FCF Year 2</t>
        </is>
      </c>
      <c r="E343" s="6">
        <v>12972685015.493622</v>
      </c>
      <c r="F343" s="6">
        <v>12972685015.493622</v>
      </c>
      <c r="G343" s="11">
        <f>ABS(E343-F343)</f>
        <v>0.0</v>
      </c>
      <c r="H343" s="10">
        <f>IF(F343=0,"n/a (zero denom)",G343/ABS(F343))</f>
        <v>0.0</v>
      </c>
      <c r="I343" s="10">
        <f>'Tolerances'!$B$6</f>
        <v>0.001</v>
      </c>
      <c r="J343" s="15" t="str">
        <f>IF(F343=0,IF(G343&lt;=0.000001,"PASS","FAIL"),IF(H343&lt;=I343,"PASS","FAIL"))</f>
        <v>PASS</v>
      </c>
      <c r="K343" t="inlineStr">
        <is>
          <t xml:space="preserve"/>
        </is>
      </c>
    </row>
    <row r="344">
      <c r="A344" t="inlineStr">
        <is>
          <t xml:space="preserve">CAT</t>
        </is>
      </c>
      <c r="B344" t="inlineStr">
        <is>
          <t xml:space="preserve">Table 3 -- Revenue growth</t>
        </is>
      </c>
      <c r="C344" t="inlineStr">
        <is>
          <t xml:space="preserve">RevGrowth=30.0000%</t>
        </is>
      </c>
      <c r="D344" t="inlineStr">
        <is>
          <t xml:space="preserve">FCF Year 3</t>
        </is>
      </c>
      <c r="E344" s="6">
        <v>16864490520.141712</v>
      </c>
      <c r="F344" s="6">
        <v>16864490520.141712</v>
      </c>
      <c r="G344" s="11">
        <f>ABS(E344-F344)</f>
        <v>0.0</v>
      </c>
      <c r="H344" s="10">
        <f>IF(F344=0,"n/a (zero denom)",G344/ABS(F344))</f>
        <v>0.0</v>
      </c>
      <c r="I344" s="10">
        <f>'Tolerances'!$B$6</f>
        <v>0.001</v>
      </c>
      <c r="J344" s="15" t="str">
        <f>IF(F344=0,IF(G344&lt;=0.000001,"PASS","FAIL"),IF(H344&lt;=I344,"PASS","FAIL"))</f>
        <v>PASS</v>
      </c>
      <c r="K344" t="inlineStr">
        <is>
          <t xml:space="preserve"/>
        </is>
      </c>
    </row>
    <row r="345">
      <c r="A345" t="inlineStr">
        <is>
          <t xml:space="preserve">CAT</t>
        </is>
      </c>
      <c r="B345" t="inlineStr">
        <is>
          <t xml:space="preserve">Table 3 -- Revenue growth</t>
        </is>
      </c>
      <c r="C345" t="inlineStr">
        <is>
          <t xml:space="preserve">RevGrowth=30.0000%</t>
        </is>
      </c>
      <c r="D345" t="inlineStr">
        <is>
          <t xml:space="preserve">FCF Year 4</t>
        </is>
      </c>
      <c r="E345" s="6">
        <v>21923837676.184223</v>
      </c>
      <c r="F345" s="6">
        <v>21923837676.184223</v>
      </c>
      <c r="G345" s="11">
        <f>ABS(E345-F345)</f>
        <v>0.0</v>
      </c>
      <c r="H345" s="10">
        <f>IF(F345=0,"n/a (zero denom)",G345/ABS(F345))</f>
        <v>0.0</v>
      </c>
      <c r="I345" s="10">
        <f>'Tolerances'!$B$6</f>
        <v>0.001</v>
      </c>
      <c r="J345" s="15" t="str">
        <f>IF(F345=0,IF(G345&lt;=0.000001,"PASS","FAIL"),IF(H345&lt;=I345,"PASS","FAIL"))</f>
        <v>PASS</v>
      </c>
      <c r="K345" t="inlineStr">
        <is>
          <t xml:space="preserve"/>
        </is>
      </c>
    </row>
    <row r="346">
      <c r="A346" t="inlineStr">
        <is>
          <t xml:space="preserve">CAT</t>
        </is>
      </c>
      <c r="B346" t="inlineStr">
        <is>
          <t xml:space="preserve">Table 3 -- Revenue growth</t>
        </is>
      </c>
      <c r="C346" t="inlineStr">
        <is>
          <t xml:space="preserve">RevGrowth=30.0000%</t>
        </is>
      </c>
      <c r="D346" t="inlineStr">
        <is>
          <t xml:space="preserve">FCF Year 5</t>
        </is>
      </c>
      <c r="E346" s="6">
        <v>28500988979.039486</v>
      </c>
      <c r="F346" s="6">
        <v>28500988979.039486</v>
      </c>
      <c r="G346" s="11">
        <f>ABS(E346-F346)</f>
        <v>0.0</v>
      </c>
      <c r="H346" s="10">
        <f>IF(F346=0,"n/a (zero denom)",G346/ABS(F346))</f>
        <v>0.0</v>
      </c>
      <c r="I346" s="10">
        <f>'Tolerances'!$B$6</f>
        <v>0.001</v>
      </c>
      <c r="J346" s="15" t="str">
        <f>IF(F346=0,IF(G346&lt;=0.000001,"PASS","FAIL"),IF(H346&lt;=I346,"PASS","FAIL"))</f>
        <v>PASS</v>
      </c>
      <c r="K346" t="inlineStr">
        <is>
          <t xml:space="preserve"/>
        </is>
      </c>
    </row>
    <row r="347">
      <c r="A347" t="inlineStr">
        <is>
          <t xml:space="preserve">CAT</t>
        </is>
      </c>
      <c r="B347" t="inlineStr">
        <is>
          <t xml:space="preserve">Table 3 -- Revenue growth</t>
        </is>
      </c>
      <c r="C347" t="inlineStr">
        <is>
          <t xml:space="preserve">RevGrowth=30.0000%</t>
        </is>
      </c>
      <c r="D347" t="inlineStr">
        <is>
          <t xml:space="preserve">Terminal Value</t>
        </is>
      </c>
      <c r="E347" s="6">
        <v>304438242343.0765</v>
      </c>
      <c r="F347" s="6">
        <v>304438242343.0765</v>
      </c>
      <c r="G347" s="11">
        <f>ABS(E347-F347)</f>
        <v>0.0</v>
      </c>
      <c r="H347" s="10">
        <f>IF(F347=0,"n/a (zero denom)",G347/ABS(F347))</f>
        <v>0.0</v>
      </c>
      <c r="I347" s="10">
        <f>'Tolerances'!$B$7</f>
        <v>0.002</v>
      </c>
      <c r="J347" s="15" t="str">
        <f>IF(F347=0,IF(G347&lt;=0.000001,"PASS","FAIL"),IF(H347&lt;=I347,"PASS","FAIL"))</f>
        <v>PASS</v>
      </c>
      <c r="K347" t="inlineStr">
        <is>
          <t xml:space="preserve"/>
        </is>
      </c>
    </row>
    <row r="348">
      <c r="A348" t="inlineStr">
        <is>
          <t xml:space="preserve">CAT</t>
        </is>
      </c>
      <c r="B348" t="inlineStr">
        <is>
          <t xml:space="preserve">Table 3 -- Revenue growth</t>
        </is>
      </c>
      <c r="C348" t="inlineStr">
        <is>
          <t xml:space="preserve">RevGrowth=30.0000%</t>
        </is>
      </c>
      <c r="D348" t="inlineStr">
        <is>
          <t xml:space="preserve">Enterprise Value</t>
        </is>
      </c>
      <c r="E348" s="6">
        <v>233196813818.42462</v>
      </c>
      <c r="F348" s="6">
        <v>233196813818.4246</v>
      </c>
      <c r="G348" s="11">
        <f>ABS(E348-F348)</f>
        <v>3.0517578125e-05</v>
      </c>
      <c r="H348" s="10">
        <f>IF(F348=0,"n/a (zero denom)",G348/ABS(F348))</f>
        <v>1.3086618820084773e-16</v>
      </c>
      <c r="I348" s="10">
        <f>'Tolerances'!$B$10</f>
        <v>0.002</v>
      </c>
      <c r="J348" s="15" t="str">
        <f>IF(F348=0,IF(G348&lt;=0.000001,"PASS","FAIL"),IF(H348&lt;=I348,"PASS","FAIL"))</f>
        <v>PASS</v>
      </c>
      <c r="K348" t="inlineStr">
        <is>
          <t xml:space="preserve"/>
        </is>
      </c>
    </row>
    <row r="349">
      <c r="A349" t="inlineStr">
        <is>
          <t xml:space="preserve">CAT</t>
        </is>
      </c>
      <c r="B349" t="inlineStr">
        <is>
          <t xml:space="preserve">Table 3 -- Revenue growth</t>
        </is>
      </c>
      <c r="C349" t="inlineStr">
        <is>
          <t xml:space="preserve">RevGrowth=30.0000%</t>
        </is>
      </c>
      <c r="D349" t="inlineStr">
        <is>
          <t xml:space="preserve">Equity Value</t>
        </is>
      </c>
      <c r="E349" s="6">
        <v>206966813818.42462</v>
      </c>
      <c r="F349" s="6">
        <v>206966813818.4246</v>
      </c>
      <c r="G349" s="11">
        <f>ABS(E349-F349)</f>
        <v>3.0517578125e-05</v>
      </c>
      <c r="H349" s="10">
        <f>IF(F349=0,"n/a (zero denom)",G349/ABS(F349))</f>
        <v>1.4745155303870877e-16</v>
      </c>
      <c r="I349" s="10">
        <f>'Tolerances'!$B$11</f>
        <v>0.002</v>
      </c>
      <c r="J349" s="15" t="str">
        <f>IF(F349=0,IF(G349&lt;=0.000001,"PASS","FAIL"),IF(H349&lt;=I349,"PASS","FAIL"))</f>
        <v>PASS</v>
      </c>
      <c r="K349" t="inlineStr">
        <is>
          <t xml:space="preserve"/>
        </is>
      </c>
    </row>
    <row r="350">
      <c r="A350" t="inlineStr">
        <is>
          <t xml:space="preserve">CAT</t>
        </is>
      </c>
      <c r="B350" t="inlineStr">
        <is>
          <t xml:space="preserve">Table 3 -- Revenue growth</t>
        </is>
      </c>
      <c r="C350" t="inlineStr">
        <is>
          <t xml:space="preserve">RevGrowth=30.0000%</t>
        </is>
      </c>
      <c r="D350" t="inlineStr">
        <is>
          <t xml:space="preserve">Intrinsic Value per Share</t>
        </is>
      </c>
      <c r="E350" s="7">
        <v>450.246073412169</v>
      </c>
      <c r="F350" s="7">
        <v>450.2460734121689</v>
      </c>
      <c r="G350" s="12">
        <f>ABS(E350-F350)</f>
        <v>5.684341886080802e-14</v>
      </c>
      <c r="H350" s="10">
        <f>IF(F350=0,"n/a (zero denom)",G350/ABS(F350))</f>
        <v>1.2624967149635045e-16</v>
      </c>
      <c r="I350" s="10">
        <f>'Tolerances'!$B$13</f>
        <v>0.005</v>
      </c>
      <c r="J350" s="15" t="str">
        <f>IF(F350=0,IF(G350&lt;=0.000001,"PASS","FAIL"),IF(H350&lt;=I350,"PASS","FAIL"))</f>
        <v>PASS</v>
      </c>
      <c r="K350" t="inlineStr">
        <is>
          <t xml:space="preserve"/>
        </is>
      </c>
    </row>
    <row r="351">
      <c r="A351" t="inlineStr">
        <is>
          <t xml:space="preserve">CAT</t>
        </is>
      </c>
      <c r="B351" t="inlineStr">
        <is>
          <t xml:space="preserve">Table 3 -- Revenue growth</t>
        </is>
      </c>
      <c r="C351" t="inlineStr">
        <is>
          <t xml:space="preserve">RevGrowth=40.0000%</t>
        </is>
      </c>
      <c r="D351" t="inlineStr">
        <is>
          <t xml:space="preserve">FCF Year 1</t>
        </is>
      </c>
      <c r="E351" s="6">
        <v>10694611432.953297</v>
      </c>
      <c r="F351" s="6">
        <v>10694611432.953297</v>
      </c>
      <c r="G351" s="11">
        <f>ABS(E351-F351)</f>
        <v>0.0</v>
      </c>
      <c r="H351" s="10">
        <f>IF(F351=0,"n/a (zero denom)",G351/ABS(F351))</f>
        <v>0.0</v>
      </c>
      <c r="I351" s="10">
        <f>'Tolerances'!$B$6</f>
        <v>0.001</v>
      </c>
      <c r="J351" s="15" t="str">
        <f>IF(F351=0,IF(G351&lt;=0.000001,"PASS","FAIL"),IF(H351&lt;=I351,"PASS","FAIL"))</f>
        <v>PASS</v>
      </c>
      <c r="K351" t="inlineStr">
        <is>
          <t xml:space="preserve"/>
        </is>
      </c>
    </row>
    <row r="352">
      <c r="A352" t="inlineStr">
        <is>
          <t xml:space="preserve">CAT</t>
        </is>
      </c>
      <c r="B352" t="inlineStr">
        <is>
          <t xml:space="preserve">Table 3 -- Revenue growth</t>
        </is>
      </c>
      <c r="C352" t="inlineStr">
        <is>
          <t xml:space="preserve">RevGrowth=40.0000%</t>
        </is>
      </c>
      <c r="D352" t="inlineStr">
        <is>
          <t xml:space="preserve">FCF Year 2</t>
        </is>
      </c>
      <c r="E352" s="6">
        <v>14972456006.134613</v>
      </c>
      <c r="F352" s="6">
        <v>14972456006.134613</v>
      </c>
      <c r="G352" s="11">
        <f>ABS(E352-F352)</f>
        <v>0.0</v>
      </c>
      <c r="H352" s="10">
        <f>IF(F352=0,"n/a (zero denom)",G352/ABS(F352))</f>
        <v>0.0</v>
      </c>
      <c r="I352" s="10">
        <f>'Tolerances'!$B$6</f>
        <v>0.001</v>
      </c>
      <c r="J352" s="15" t="str">
        <f>IF(F352=0,IF(G352&lt;=0.000001,"PASS","FAIL"),IF(H352&lt;=I352,"PASS","FAIL"))</f>
        <v>PASS</v>
      </c>
      <c r="K352" t="inlineStr">
        <is>
          <t xml:space="preserve"/>
        </is>
      </c>
    </row>
    <row r="353">
      <c r="A353" t="inlineStr">
        <is>
          <t xml:space="preserve">CAT</t>
        </is>
      </c>
      <c r="B353" t="inlineStr">
        <is>
          <t xml:space="preserve">Table 3 -- Revenue growth</t>
        </is>
      </c>
      <c r="C353" t="inlineStr">
        <is>
          <t xml:space="preserve">RevGrowth=40.0000%</t>
        </is>
      </c>
      <c r="D353" t="inlineStr">
        <is>
          <t xml:space="preserve">FCF Year 3</t>
        </is>
      </c>
      <c r="E353" s="6">
        <v>20961438408.58846</v>
      </c>
      <c r="F353" s="6">
        <v>20961438408.58846</v>
      </c>
      <c r="G353" s="11">
        <f>ABS(E353-F353)</f>
        <v>0.0</v>
      </c>
      <c r="H353" s="10">
        <f>IF(F353=0,"n/a (zero denom)",G353/ABS(F353))</f>
        <v>0.0</v>
      </c>
      <c r="I353" s="10">
        <f>'Tolerances'!$B$6</f>
        <v>0.001</v>
      </c>
      <c r="J353" s="15" t="str">
        <f>IF(F353=0,IF(G353&lt;=0.000001,"PASS","FAIL"),IF(H353&lt;=I353,"PASS","FAIL"))</f>
        <v>PASS</v>
      </c>
      <c r="K353" t="inlineStr">
        <is>
          <t xml:space="preserve"/>
        </is>
      </c>
    </row>
    <row r="354">
      <c r="A354" t="inlineStr">
        <is>
          <t xml:space="preserve">CAT</t>
        </is>
      </c>
      <c r="B354" t="inlineStr">
        <is>
          <t xml:space="preserve">Table 3 -- Revenue growth</t>
        </is>
      </c>
      <c r="C354" t="inlineStr">
        <is>
          <t xml:space="preserve">RevGrowth=40.0000%</t>
        </is>
      </c>
      <c r="D354" t="inlineStr">
        <is>
          <t xml:space="preserve">FCF Year 4</t>
        </is>
      </c>
      <c r="E354" s="6">
        <v>29346013772.02384</v>
      </c>
      <c r="F354" s="6">
        <v>29346013772.02384</v>
      </c>
      <c r="G354" s="11">
        <f>ABS(E354-F354)</f>
        <v>0.0</v>
      </c>
      <c r="H354" s="10">
        <f>IF(F354=0,"n/a (zero denom)",G354/ABS(F354))</f>
        <v>0.0</v>
      </c>
      <c r="I354" s="10">
        <f>'Tolerances'!$B$6</f>
        <v>0.001</v>
      </c>
      <c r="J354" s="15" t="str">
        <f>IF(F354=0,IF(G354&lt;=0.000001,"PASS","FAIL"),IF(H354&lt;=I354,"PASS","FAIL"))</f>
        <v>PASS</v>
      </c>
      <c r="K354" t="inlineStr">
        <is>
          <t xml:space="preserve"/>
        </is>
      </c>
    </row>
    <row r="355">
      <c r="A355" t="inlineStr">
        <is>
          <t xml:space="preserve">CAT</t>
        </is>
      </c>
      <c r="B355" t="inlineStr">
        <is>
          <t xml:space="preserve">Table 3 -- Revenue growth</t>
        </is>
      </c>
      <c r="C355" t="inlineStr">
        <is>
          <t xml:space="preserve">RevGrowth=40.0000%</t>
        </is>
      </c>
      <c r="D355" t="inlineStr">
        <is>
          <t xml:space="preserve">FCF Year 5</t>
        </is>
      </c>
      <c r="E355" s="6">
        <v>41084419280.833374</v>
      </c>
      <c r="F355" s="6">
        <v>41084419280.833374</v>
      </c>
      <c r="G355" s="11">
        <f>ABS(E355-F355)</f>
        <v>0.0</v>
      </c>
      <c r="H355" s="10">
        <f>IF(F355=0,"n/a (zero denom)",G355/ABS(F355))</f>
        <v>0.0</v>
      </c>
      <c r="I355" s="10">
        <f>'Tolerances'!$B$6</f>
        <v>0.001</v>
      </c>
      <c r="J355" s="15" t="str">
        <f>IF(F355=0,IF(G355&lt;=0.000001,"PASS","FAIL"),IF(H355&lt;=I355,"PASS","FAIL"))</f>
        <v>PASS</v>
      </c>
      <c r="K355" t="inlineStr">
        <is>
          <t xml:space="preserve"/>
        </is>
      </c>
    </row>
    <row r="356">
      <c r="A356" t="inlineStr">
        <is>
          <t xml:space="preserve">CAT</t>
        </is>
      </c>
      <c r="B356" t="inlineStr">
        <is>
          <t xml:space="preserve">Table 3 -- Revenue growth</t>
        </is>
      </c>
      <c r="C356" t="inlineStr">
        <is>
          <t xml:space="preserve">RevGrowth=40.0000%</t>
        </is>
      </c>
      <c r="D356" t="inlineStr">
        <is>
          <t xml:space="preserve">Terminal Value</t>
        </is>
      </c>
      <c r="E356" s="6">
        <v>438850329114.5946</v>
      </c>
      <c r="F356" s="6">
        <v>438850329114.5946</v>
      </c>
      <c r="G356" s="11">
        <f>ABS(E356-F356)</f>
        <v>0.0</v>
      </c>
      <c r="H356" s="10">
        <f>IF(F356=0,"n/a (zero denom)",G356/ABS(F356))</f>
        <v>0.0</v>
      </c>
      <c r="I356" s="10">
        <f>'Tolerances'!$B$7</f>
        <v>0.002</v>
      </c>
      <c r="J356" s="15" t="str">
        <f>IF(F356=0,IF(G356&lt;=0.000001,"PASS","FAIL"),IF(H356&lt;=I356,"PASS","FAIL"))</f>
        <v>PASS</v>
      </c>
      <c r="K356" t="inlineStr">
        <is>
          <t xml:space="preserve"/>
        </is>
      </c>
    </row>
    <row r="357">
      <c r="A357" t="inlineStr">
        <is>
          <t xml:space="preserve">CAT</t>
        </is>
      </c>
      <c r="B357" t="inlineStr">
        <is>
          <t xml:space="preserve">Table 3 -- Revenue growth</t>
        </is>
      </c>
      <c r="C357" t="inlineStr">
        <is>
          <t xml:space="preserve">RevGrowth=40.0000%</t>
        </is>
      </c>
      <c r="D357" t="inlineStr">
        <is>
          <t xml:space="preserve">Enterprise Value</t>
        </is>
      </c>
      <c r="E357" s="6">
        <v>326089272397.9581</v>
      </c>
      <c r="F357" s="6">
        <v>326089272397.95807</v>
      </c>
      <c r="G357" s="11">
        <f>ABS(E357-F357)</f>
        <v>6.103515625e-05</v>
      </c>
      <c r="H357" s="10">
        <f>IF(F357=0,"n/a (zero denom)",G357/ABS(F357))</f>
        <v>1.8717314985913714e-16</v>
      </c>
      <c r="I357" s="10">
        <f>'Tolerances'!$B$10</f>
        <v>0.002</v>
      </c>
      <c r="J357" s="15" t="str">
        <f>IF(F357=0,IF(G357&lt;=0.000001,"PASS","FAIL"),IF(H357&lt;=I357,"PASS","FAIL"))</f>
        <v>PASS</v>
      </c>
      <c r="K357" t="inlineStr">
        <is>
          <t xml:space="preserve"/>
        </is>
      </c>
    </row>
    <row r="358">
      <c r="A358" t="inlineStr">
        <is>
          <t xml:space="preserve">CAT</t>
        </is>
      </c>
      <c r="B358" t="inlineStr">
        <is>
          <t xml:space="preserve">Table 3 -- Revenue growth</t>
        </is>
      </c>
      <c r="C358" t="inlineStr">
        <is>
          <t xml:space="preserve">RevGrowth=40.0000%</t>
        </is>
      </c>
      <c r="D358" t="inlineStr">
        <is>
          <t xml:space="preserve">Equity Value</t>
        </is>
      </c>
      <c r="E358" s="6">
        <v>299859272397.9581</v>
      </c>
      <c r="F358" s="6">
        <v>299859272397.95807</v>
      </c>
      <c r="G358" s="11">
        <f>ABS(E358-F358)</f>
        <v>6.103515625e-05</v>
      </c>
      <c r="H358" s="10">
        <f>IF(F358=0,"n/a (zero denom)",G358/ABS(F358))</f>
        <v>2.0354600263618737e-16</v>
      </c>
      <c r="I358" s="10">
        <f>'Tolerances'!$B$11</f>
        <v>0.002</v>
      </c>
      <c r="J358" s="15" t="str">
        <f>IF(F358=0,IF(G358&lt;=0.000001,"PASS","FAIL"),IF(H358&lt;=I358,"PASS","FAIL"))</f>
        <v>PASS</v>
      </c>
      <c r="K358" t="inlineStr">
        <is>
          <t xml:space="preserve"/>
        </is>
      </c>
    </row>
    <row r="359">
      <c r="A359" t="inlineStr">
        <is>
          <t xml:space="preserve">CAT</t>
        </is>
      </c>
      <c r="B359" t="inlineStr">
        <is>
          <t xml:space="preserve">Table 3 -- Revenue growth</t>
        </is>
      </c>
      <c r="C359" t="inlineStr">
        <is>
          <t xml:space="preserve">RevGrowth=40.0000%</t>
        </is>
      </c>
      <c r="D359" t="inlineStr">
        <is>
          <t xml:space="preserve">Intrinsic Value per Share</t>
        </is>
      </c>
      <c r="E359" s="7">
        <v>652.3290255212486</v>
      </c>
      <c r="F359" s="7">
        <v>652.3290255212485</v>
      </c>
      <c r="G359" s="12">
        <f>ABS(E359-F359)</f>
        <v>1.1368683772161603e-13</v>
      </c>
      <c r="H359" s="10">
        <f>IF(F359=0,"n/a (zero denom)",G359/ABS(F359))</f>
        <v>1.742783676240279e-16</v>
      </c>
      <c r="I359" s="10">
        <f>'Tolerances'!$B$13</f>
        <v>0.005</v>
      </c>
      <c r="J359" s="15" t="str">
        <f>IF(F359=0,IF(G359&lt;=0.000001,"PASS","FAIL"),IF(H359&lt;=I359,"PASS","FAIL"))</f>
        <v>PASS</v>
      </c>
      <c r="K359" t="inlineStr">
        <is>
          <t xml:space="preserve"/>
        </is>
      </c>
    </row>
    <row r="360">
      <c r="A360" t="inlineStr">
        <is>
          <t xml:space="preserve">CAT</t>
        </is>
      </c>
      <c r="B360" t="inlineStr">
        <is>
          <t xml:space="preserve">Table 4 -- Operating margin</t>
        </is>
      </c>
      <c r="C360" t="inlineStr">
        <is>
          <t xml:space="preserve">Margin=0.0000%</t>
        </is>
      </c>
      <c r="D360" t="inlineStr">
        <is>
          <t xml:space="preserve">FCF Year 1</t>
        </is>
      </c>
      <c r="E360" s="6">
        <v>-774698510.76011</v>
      </c>
      <c r="F360" s="6">
        <v>-774698510.76011</v>
      </c>
      <c r="G360" s="11">
        <f>ABS(E360-F360)</f>
        <v>0.0</v>
      </c>
      <c r="H360" s="10">
        <f>IF(F360=0,"n/a (zero denom)",G360/ABS(F360))</f>
        <v>0.0</v>
      </c>
      <c r="I360" s="10">
        <f>'Tolerances'!$B$6</f>
        <v>0.001</v>
      </c>
      <c r="J360" s="15" t="str">
        <f>IF(F360=0,IF(G360&lt;=0.000001,"PASS","FAIL"),IF(H360&lt;=I360,"PASS","FAIL"))</f>
        <v>PASS</v>
      </c>
      <c r="K360" t="inlineStr">
        <is>
          <t xml:space="preserve"/>
        </is>
      </c>
    </row>
    <row r="361">
      <c r="A361" t="inlineStr">
        <is>
          <t xml:space="preserve">CAT</t>
        </is>
      </c>
      <c r="B361" t="inlineStr">
        <is>
          <t xml:space="preserve">Table 4 -- Operating margin</t>
        </is>
      </c>
      <c r="C361" t="inlineStr">
        <is>
          <t xml:space="preserve">Margin=0.0000%</t>
        </is>
      </c>
      <c r="D361" t="inlineStr">
        <is>
          <t xml:space="preserve">FCF Year 2</t>
        </is>
      </c>
      <c r="E361" s="6">
        <v>-831325185.3197883</v>
      </c>
      <c r="F361" s="6">
        <v>-831325185.3197883</v>
      </c>
      <c r="G361" s="11">
        <f>ABS(E361-F361)</f>
        <v>0.0</v>
      </c>
      <c r="H361" s="10">
        <f>IF(F361=0,"n/a (zero denom)",G361/ABS(F361))</f>
        <v>0.0</v>
      </c>
      <c r="I361" s="10">
        <f>'Tolerances'!$B$6</f>
        <v>0.001</v>
      </c>
      <c r="J361" s="15" t="str">
        <f>IF(F361=0,IF(G361&lt;=0.000001,"PASS","FAIL"),IF(H361&lt;=I361,"PASS","FAIL"))</f>
        <v>PASS</v>
      </c>
      <c r="K361" t="inlineStr">
        <is>
          <t xml:space="preserve"/>
        </is>
      </c>
    </row>
    <row r="362">
      <c r="A362" t="inlineStr">
        <is>
          <t xml:space="preserve">CAT</t>
        </is>
      </c>
      <c r="B362" t="inlineStr">
        <is>
          <t xml:space="preserve">Table 4 -- Operating margin</t>
        </is>
      </c>
      <c r="C362" t="inlineStr">
        <is>
          <t xml:space="preserve">Margin=0.0000%</t>
        </is>
      </c>
      <c r="D362" t="inlineStr">
        <is>
          <t xml:space="preserve">FCF Year 3</t>
        </is>
      </c>
      <c r="E362" s="6">
        <v>-892090993.009517</v>
      </c>
      <c r="F362" s="6">
        <v>-892090993.009517</v>
      </c>
      <c r="G362" s="11">
        <f>ABS(E362-F362)</f>
        <v>0.0</v>
      </c>
      <c r="H362" s="10">
        <f>IF(F362=0,"n/a (zero denom)",G362/ABS(F362))</f>
        <v>0.0</v>
      </c>
      <c r="I362" s="10">
        <f>'Tolerances'!$B$6</f>
        <v>0.001</v>
      </c>
      <c r="J362" s="15" t="str">
        <f>IF(F362=0,IF(G362&lt;=0.000001,"PASS","FAIL"),IF(H362&lt;=I362,"PASS","FAIL"))</f>
        <v>PASS</v>
      </c>
      <c r="K362" t="inlineStr">
        <is>
          <t xml:space="preserve"/>
        </is>
      </c>
    </row>
    <row r="363">
      <c r="A363" t="inlineStr">
        <is>
          <t xml:space="preserve">CAT</t>
        </is>
      </c>
      <c r="B363" t="inlineStr">
        <is>
          <t xml:space="preserve">Table 4 -- Operating margin</t>
        </is>
      </c>
      <c r="C363" t="inlineStr">
        <is>
          <t xml:space="preserve">Margin=0.0000%</t>
        </is>
      </c>
      <c r="D363" t="inlineStr">
        <is>
          <t xml:space="preserve">FCF Year 4</t>
        </is>
      </c>
      <c r="E363" s="6">
        <v>-957298484.2298177</v>
      </c>
      <c r="F363" s="6">
        <v>-957298484.2298177</v>
      </c>
      <c r="G363" s="11">
        <f>ABS(E363-F363)</f>
        <v>0.0</v>
      </c>
      <c r="H363" s="10">
        <f>IF(F363=0,"n/a (zero denom)",G363/ABS(F363))</f>
        <v>0.0</v>
      </c>
      <c r="I363" s="10">
        <f>'Tolerances'!$B$6</f>
        <v>0.001</v>
      </c>
      <c r="J363" s="15" t="str">
        <f>IF(F363=0,IF(G363&lt;=0.000001,"PASS","FAIL"),IF(H363&lt;=I363,"PASS","FAIL"))</f>
        <v>PASS</v>
      </c>
      <c r="K363" t="inlineStr">
        <is>
          <t xml:space="preserve"/>
        </is>
      </c>
    </row>
    <row r="364">
      <c r="A364" t="inlineStr">
        <is>
          <t xml:space="preserve">CAT</t>
        </is>
      </c>
      <c r="B364" t="inlineStr">
        <is>
          <t xml:space="preserve">Table 4 -- Operating margin</t>
        </is>
      </c>
      <c r="C364" t="inlineStr">
        <is>
          <t xml:space="preserve">Margin=0.0000%</t>
        </is>
      </c>
      <c r="D364" t="inlineStr">
        <is>
          <t xml:space="preserve">FCF Year 5</t>
        </is>
      </c>
      <c r="E364" s="6">
        <v>-1027272324.3366833</v>
      </c>
      <c r="F364" s="6">
        <v>-1027272324.3366833</v>
      </c>
      <c r="G364" s="11">
        <f>ABS(E364-F364)</f>
        <v>0.0</v>
      </c>
      <c r="H364" s="10">
        <f>IF(F364=0,"n/a (zero denom)",G364/ABS(F364))</f>
        <v>0.0</v>
      </c>
      <c r="I364" s="10">
        <f>'Tolerances'!$B$6</f>
        <v>0.001</v>
      </c>
      <c r="J364" s="15" t="str">
        <f>IF(F364=0,IF(G364&lt;=0.000001,"PASS","FAIL"),IF(H364&lt;=I364,"PASS","FAIL"))</f>
        <v>PASS</v>
      </c>
      <c r="K364" t="inlineStr">
        <is>
          <t xml:space="preserve"/>
        </is>
      </c>
    </row>
    <row r="365">
      <c r="A365" t="inlineStr">
        <is>
          <t xml:space="preserve">CAT</t>
        </is>
      </c>
      <c r="B365" t="inlineStr">
        <is>
          <t xml:space="preserve">Table 4 -- Operating margin</t>
        </is>
      </c>
      <c r="C365" t="inlineStr">
        <is>
          <t xml:space="preserve">Margin=0.0000%</t>
        </is>
      </c>
      <c r="D365" t="inlineStr">
        <is>
          <t xml:space="preserve">Terminal Value</t>
        </is>
      </c>
      <c r="E365" s="6">
        <v>-10972986974.548359</v>
      </c>
      <c r="F365" s="6">
        <v>-10972986974.548359</v>
      </c>
      <c r="G365" s="11">
        <f>ABS(E365-F365)</f>
        <v>0.0</v>
      </c>
      <c r="H365" s="10">
        <f>IF(F365=0,"n/a (zero denom)",G365/ABS(F365))</f>
        <v>0.0</v>
      </c>
      <c r="I365" s="10">
        <f>'Tolerances'!$B$7</f>
        <v>0.002</v>
      </c>
      <c r="J365" s="15" t="str">
        <f>IF(F365=0,IF(G365&lt;=0.000001,"PASS","FAIL"),IF(H365&lt;=I365,"PASS","FAIL"))</f>
        <v>PASS</v>
      </c>
      <c r="K365" t="inlineStr">
        <is>
          <t xml:space="preserve"/>
        </is>
      </c>
    </row>
    <row r="366">
      <c r="A366" t="inlineStr">
        <is>
          <t xml:space="preserve">CAT</t>
        </is>
      </c>
      <c r="B366" t="inlineStr">
        <is>
          <t xml:space="preserve">Table 4 -- Operating margin</t>
        </is>
      </c>
      <c r="C366" t="inlineStr">
        <is>
          <t xml:space="preserve">Margin=0.0000%</t>
        </is>
      </c>
      <c r="D366" t="inlineStr">
        <is>
          <t xml:space="preserve">Enterprise Value</t>
        </is>
      </c>
      <c r="E366" s="6">
        <v>-9372543785.101786</v>
      </c>
      <c r="F366" s="6">
        <v>-9372543785.101786</v>
      </c>
      <c r="G366" s="11">
        <f>ABS(E366-F366)</f>
        <v>0.0</v>
      </c>
      <c r="H366" s="10">
        <f>IF(F366=0,"n/a (zero denom)",G366/ABS(F366))</f>
        <v>0.0</v>
      </c>
      <c r="I366" s="10">
        <f>'Tolerances'!$B$10</f>
        <v>0.002</v>
      </c>
      <c r="J366" s="15" t="str">
        <f>IF(F366=0,IF(G366&lt;=0.000001,"PASS","FAIL"),IF(H366&lt;=I366,"PASS","FAIL"))</f>
        <v>PASS</v>
      </c>
      <c r="K366" t="inlineStr">
        <is>
          <t xml:space="preserve"/>
        </is>
      </c>
    </row>
    <row r="367">
      <c r="A367" t="inlineStr">
        <is>
          <t xml:space="preserve">CAT</t>
        </is>
      </c>
      <c r="B367" t="inlineStr">
        <is>
          <t xml:space="preserve">Table 4 -- Operating margin</t>
        </is>
      </c>
      <c r="C367" t="inlineStr">
        <is>
          <t xml:space="preserve">Margin=0.0000%</t>
        </is>
      </c>
      <c r="D367" t="inlineStr">
        <is>
          <t xml:space="preserve">Equity Value</t>
        </is>
      </c>
      <c r="E367" s="6">
        <v>-35602543785.10178</v>
      </c>
      <c r="F367" s="6">
        <v>-35602543785.10178</v>
      </c>
      <c r="G367" s="11">
        <f>ABS(E367-F367)</f>
        <v>0.0</v>
      </c>
      <c r="H367" s="10">
        <f>IF(F367=0,"n/a (zero denom)",G367/ABS(F367))</f>
        <v>0.0</v>
      </c>
      <c r="I367" s="10">
        <f>'Tolerances'!$B$11</f>
        <v>0.002</v>
      </c>
      <c r="J367" s="15" t="str">
        <f>IF(F367=0,IF(G367&lt;=0.000001,"PASS","FAIL"),IF(H367&lt;=I367,"PASS","FAIL"))</f>
        <v>PASS</v>
      </c>
      <c r="K367" t="inlineStr">
        <is>
          <t xml:space="preserve"/>
        </is>
      </c>
    </row>
    <row r="368">
      <c r="A368" t="inlineStr">
        <is>
          <t xml:space="preserve">CAT</t>
        </is>
      </c>
      <c r="B368" t="inlineStr">
        <is>
          <t xml:space="preserve">Table 4 -- Operating margin</t>
        </is>
      </c>
      <c r="C368" t="inlineStr">
        <is>
          <t xml:space="preserve">Margin=0.0000%</t>
        </is>
      </c>
      <c r="D368" t="inlineStr">
        <is>
          <t xml:space="preserve">Intrinsic Value per Share</t>
        </is>
      </c>
      <c r="E368" s="7">
        <v>-77.45157422576064</v>
      </c>
      <c r="F368" s="7">
        <v>-77.45157422576064</v>
      </c>
      <c r="G368" s="12">
        <f>ABS(E368-F368)</f>
        <v>0.0</v>
      </c>
      <c r="H368" s="10">
        <f>IF(F368=0,"n/a (zero denom)",G368/ABS(F368))</f>
        <v>0.0</v>
      </c>
      <c r="I368" s="10">
        <f>'Tolerances'!$B$13</f>
        <v>0.005</v>
      </c>
      <c r="J368" s="15" t="str">
        <f>IF(F368=0,IF(G368&lt;=0.000001,"PASS","FAIL"),IF(H368&lt;=I368,"PASS","FAIL"))</f>
        <v>PASS</v>
      </c>
      <c r="K368" t="inlineStr">
        <is>
          <t xml:space="preserve"/>
        </is>
      </c>
    </row>
    <row r="369">
      <c r="A369" t="inlineStr">
        <is>
          <t xml:space="preserve">CAT</t>
        </is>
      </c>
      <c r="B369" t="inlineStr">
        <is>
          <t xml:space="preserve">Table 4 -- Operating margin</t>
        </is>
      </c>
      <c r="C369" t="inlineStr">
        <is>
          <t xml:space="preserve">Margin=10.0000%</t>
        </is>
      </c>
      <c r="D369" t="inlineStr">
        <is>
          <t xml:space="preserve">FCF Year 1</t>
        </is>
      </c>
      <c r="E369" s="6">
        <v>4738694178.30429</v>
      </c>
      <c r="F369" s="6">
        <v>4738694178.30429</v>
      </c>
      <c r="G369" s="11">
        <f>ABS(E369-F369)</f>
        <v>0.0</v>
      </c>
      <c r="H369" s="10">
        <f>IF(F369=0,"n/a (zero denom)",G369/ABS(F369))</f>
        <v>0.0</v>
      </c>
      <c r="I369" s="10">
        <f>'Tolerances'!$B$6</f>
        <v>0.001</v>
      </c>
      <c r="J369" s="15" t="str">
        <f>IF(F369=0,IF(G369&lt;=0.000001,"PASS","FAIL"),IF(H369&lt;=I369,"PASS","FAIL"))</f>
        <v>PASS</v>
      </c>
      <c r="K369" t="inlineStr">
        <is>
          <t xml:space="preserve"/>
        </is>
      </c>
    </row>
    <row r="370">
      <c r="A370" t="inlineStr">
        <is>
          <t xml:space="preserve">CAT</t>
        </is>
      </c>
      <c r="B370" t="inlineStr">
        <is>
          <t xml:space="preserve">Table 4 -- Operating margin</t>
        </is>
      </c>
      <c r="C370" t="inlineStr">
        <is>
          <t xml:space="preserve">Margin=10.0000%</t>
        </is>
      </c>
      <c r="D370" t="inlineStr">
        <is>
          <t xml:space="preserve">FCF Year 2</t>
        </is>
      </c>
      <c r="E370" s="6">
        <v>5085069560.915256</v>
      </c>
      <c r="F370" s="6">
        <v>5085069560.915256</v>
      </c>
      <c r="G370" s="11">
        <f>ABS(E370-F370)</f>
        <v>0.0</v>
      </c>
      <c r="H370" s="10">
        <f>IF(F370=0,"n/a (zero denom)",G370/ABS(F370))</f>
        <v>0.0</v>
      </c>
      <c r="I370" s="10">
        <f>'Tolerances'!$B$6</f>
        <v>0.001</v>
      </c>
      <c r="J370" s="15" t="str">
        <f>IF(F370=0,IF(G370&lt;=0.000001,"PASS","FAIL"),IF(H370&lt;=I370,"PASS","FAIL"))</f>
        <v>PASS</v>
      </c>
      <c r="K370" t="inlineStr">
        <is>
          <t xml:space="preserve"/>
        </is>
      </c>
    </row>
    <row r="371">
      <c r="A371" t="inlineStr">
        <is>
          <t xml:space="preserve">CAT</t>
        </is>
      </c>
      <c r="B371" t="inlineStr">
        <is>
          <t xml:space="preserve">Table 4 -- Operating margin</t>
        </is>
      </c>
      <c r="C371" t="inlineStr">
        <is>
          <t xml:space="preserve">Margin=10.0000%</t>
        </is>
      </c>
      <c r="D371" t="inlineStr">
        <is>
          <t xml:space="preserve">FCF Year 3</t>
        </is>
      </c>
      <c r="E371" s="6">
        <v>5456763290.979026</v>
      </c>
      <c r="F371" s="6">
        <v>5456763290.979026</v>
      </c>
      <c r="G371" s="11">
        <f>ABS(E371-F371)</f>
        <v>0.0</v>
      </c>
      <c r="H371" s="10">
        <f>IF(F371=0,"n/a (zero denom)",G371/ABS(F371))</f>
        <v>0.0</v>
      </c>
      <c r="I371" s="10">
        <f>'Tolerances'!$B$6</f>
        <v>0.001</v>
      </c>
      <c r="J371" s="15" t="str">
        <f>IF(F371=0,IF(G371&lt;=0.000001,"PASS","FAIL"),IF(H371&lt;=I371,"PASS","FAIL"))</f>
        <v>PASS</v>
      </c>
      <c r="K371" t="inlineStr">
        <is>
          <t xml:space="preserve"/>
        </is>
      </c>
    </row>
    <row r="372">
      <c r="A372" t="inlineStr">
        <is>
          <t xml:space="preserve">CAT</t>
        </is>
      </c>
      <c r="B372" t="inlineStr">
        <is>
          <t xml:space="preserve">Table 4 -- Operating margin</t>
        </is>
      </c>
      <c r="C372" t="inlineStr">
        <is>
          <t xml:space="preserve">Margin=10.0000%</t>
        </is>
      </c>
      <c r="D372" t="inlineStr">
        <is>
          <t xml:space="preserve">FCF Year 4</t>
        </is>
      </c>
      <c r="E372" s="6">
        <v>5855626015.943202</v>
      </c>
      <c r="F372" s="6">
        <v>5855626015.943202</v>
      </c>
      <c r="G372" s="11">
        <f>ABS(E372-F372)</f>
        <v>0.0</v>
      </c>
      <c r="H372" s="10">
        <f>IF(F372=0,"n/a (zero denom)",G372/ABS(F372))</f>
        <v>0.0</v>
      </c>
      <c r="I372" s="10">
        <f>'Tolerances'!$B$6</f>
        <v>0.001</v>
      </c>
      <c r="J372" s="15" t="str">
        <f>IF(F372=0,IF(G372&lt;=0.000001,"PASS","FAIL"),IF(H372&lt;=I372,"PASS","FAIL"))</f>
        <v>PASS</v>
      </c>
      <c r="K372" t="inlineStr">
        <is>
          <t xml:space="preserve"/>
        </is>
      </c>
    </row>
    <row r="373">
      <c r="A373" t="inlineStr">
        <is>
          <t xml:space="preserve">CAT</t>
        </is>
      </c>
      <c r="B373" t="inlineStr">
        <is>
          <t xml:space="preserve">Table 4 -- Operating margin</t>
        </is>
      </c>
      <c r="C373" t="inlineStr">
        <is>
          <t xml:space="preserve">Margin=10.0000%</t>
        </is>
      </c>
      <c r="D373" t="inlineStr">
        <is>
          <t xml:space="preserve">FCF Year 5</t>
        </is>
      </c>
      <c r="E373" s="6">
        <v>6283643656.538201</v>
      </c>
      <c r="F373" s="6">
        <v>6283643656.538201</v>
      </c>
      <c r="G373" s="11">
        <f>ABS(E373-F373)</f>
        <v>0.0</v>
      </c>
      <c r="H373" s="10">
        <f>IF(F373=0,"n/a (zero denom)",G373/ABS(F373))</f>
        <v>0.0</v>
      </c>
      <c r="I373" s="10">
        <f>'Tolerances'!$B$6</f>
        <v>0.001</v>
      </c>
      <c r="J373" s="15" t="str">
        <f>IF(F373=0,IF(G373&lt;=0.000001,"PASS","FAIL"),IF(H373&lt;=I373,"PASS","FAIL"))</f>
        <v>PASS</v>
      </c>
      <c r="K373" t="inlineStr">
        <is>
          <t xml:space="preserve"/>
        </is>
      </c>
    </row>
    <row r="374">
      <c r="A374" t="inlineStr">
        <is>
          <t xml:space="preserve">CAT</t>
        </is>
      </c>
      <c r="B374" t="inlineStr">
        <is>
          <t xml:space="preserve">Table 4 -- Operating margin</t>
        </is>
      </c>
      <c r="C374" t="inlineStr">
        <is>
          <t xml:space="preserve">Margin=10.0000%</t>
        </is>
      </c>
      <c r="D374" t="inlineStr">
        <is>
          <t xml:space="preserve">Terminal Value</t>
        </is>
      </c>
      <c r="E374" s="6">
        <v>67119826322.99454</v>
      </c>
      <c r="F374" s="6">
        <v>67119826322.99454</v>
      </c>
      <c r="G374" s="11">
        <f>ABS(E374-F374)</f>
        <v>0.0</v>
      </c>
      <c r="H374" s="10">
        <f>IF(F374=0,"n/a (zero denom)",G374/ABS(F374))</f>
        <v>0.0</v>
      </c>
      <c r="I374" s="10">
        <f>'Tolerances'!$B$7</f>
        <v>0.002</v>
      </c>
      <c r="J374" s="15" t="str">
        <f>IF(F374=0,IF(G374&lt;=0.000001,"PASS","FAIL"),IF(H374&lt;=I374,"PASS","FAIL"))</f>
        <v>PASS</v>
      </c>
      <c r="K374" t="inlineStr">
        <is>
          <t xml:space="preserve"/>
        </is>
      </c>
    </row>
    <row r="375">
      <c r="A375" t="inlineStr">
        <is>
          <t xml:space="preserve">CAT</t>
        </is>
      </c>
      <c r="B375" t="inlineStr">
        <is>
          <t xml:space="preserve">Table 4 -- Operating margin</t>
        </is>
      </c>
      <c r="C375" t="inlineStr">
        <is>
          <t xml:space="preserve">Margin=10.0000%</t>
        </is>
      </c>
      <c r="D375" t="inlineStr">
        <is>
          <t xml:space="preserve">Enterprise Value</t>
        </is>
      </c>
      <c r="E375" s="6">
        <v>57330197558.7724</v>
      </c>
      <c r="F375" s="6">
        <v>57330197558.7724</v>
      </c>
      <c r="G375" s="11">
        <f>ABS(E375-F375)</f>
        <v>0.0</v>
      </c>
      <c r="H375" s="10">
        <f>IF(F375=0,"n/a (zero denom)",G375/ABS(F375))</f>
        <v>0.0</v>
      </c>
      <c r="I375" s="10">
        <f>'Tolerances'!$B$10</f>
        <v>0.002</v>
      </c>
      <c r="J375" s="15" t="str">
        <f>IF(F375=0,IF(G375&lt;=0.000001,"PASS","FAIL"),IF(H375&lt;=I375,"PASS","FAIL"))</f>
        <v>PASS</v>
      </c>
      <c r="K375" t="inlineStr">
        <is>
          <t xml:space="preserve"/>
        </is>
      </c>
    </row>
    <row r="376">
      <c r="A376" t="inlineStr">
        <is>
          <t xml:space="preserve">CAT</t>
        </is>
      </c>
      <c r="B376" t="inlineStr">
        <is>
          <t xml:space="preserve">Table 4 -- Operating margin</t>
        </is>
      </c>
      <c r="C376" t="inlineStr">
        <is>
          <t xml:space="preserve">Margin=10.0000%</t>
        </is>
      </c>
      <c r="D376" t="inlineStr">
        <is>
          <t xml:space="preserve">Equity Value</t>
        </is>
      </c>
      <c r="E376" s="6">
        <v>31100197558.7724</v>
      </c>
      <c r="F376" s="6">
        <v>31100197558.7724</v>
      </c>
      <c r="G376" s="11">
        <f>ABS(E376-F376)</f>
        <v>0.0</v>
      </c>
      <c r="H376" s="10">
        <f>IF(F376=0,"n/a (zero denom)",G376/ABS(F376))</f>
        <v>0.0</v>
      </c>
      <c r="I376" s="10">
        <f>'Tolerances'!$B$11</f>
        <v>0.002</v>
      </c>
      <c r="J376" s="15" t="str">
        <f>IF(F376=0,IF(G376&lt;=0.000001,"PASS","FAIL"),IF(H376&lt;=I376,"PASS","FAIL"))</f>
        <v>PASS</v>
      </c>
      <c r="K376" t="inlineStr">
        <is>
          <t xml:space="preserve"/>
        </is>
      </c>
    </row>
    <row r="377">
      <c r="A377" t="inlineStr">
        <is>
          <t xml:space="preserve">CAT</t>
        </is>
      </c>
      <c r="B377" t="inlineStr">
        <is>
          <t xml:space="preserve">Table 4 -- Operating margin</t>
        </is>
      </c>
      <c r="C377" t="inlineStr">
        <is>
          <t xml:space="preserve">Margin=10.0000%</t>
        </is>
      </c>
      <c r="D377" t="inlineStr">
        <is>
          <t xml:space="preserve">Intrinsic Value per Share</t>
        </is>
      </c>
      <c r="E377" s="7">
        <v>67.65694255439827</v>
      </c>
      <c r="F377" s="7">
        <v>67.65694255439827</v>
      </c>
      <c r="G377" s="12">
        <f>ABS(E377-F377)</f>
        <v>0.0</v>
      </c>
      <c r="H377" s="10">
        <f>IF(F377=0,"n/a (zero denom)",G377/ABS(F377))</f>
        <v>0.0</v>
      </c>
      <c r="I377" s="10">
        <f>'Tolerances'!$B$13</f>
        <v>0.005</v>
      </c>
      <c r="J377" s="15" t="str">
        <f>IF(F377=0,IF(G377&lt;=0.000001,"PASS","FAIL"),IF(H377&lt;=I377,"PASS","FAIL"))</f>
        <v>PASS</v>
      </c>
      <c r="K377" t="inlineStr">
        <is>
          <t xml:space="preserve"/>
        </is>
      </c>
    </row>
    <row r="378">
      <c r="A378" t="inlineStr">
        <is>
          <t xml:space="preserve">CAT</t>
        </is>
      </c>
      <c r="B378" t="inlineStr">
        <is>
          <t xml:space="preserve">Table 4 -- Operating margin</t>
        </is>
      </c>
      <c r="C378" t="inlineStr">
        <is>
          <t xml:space="preserve">Margin=20.0000%</t>
        </is>
      </c>
      <c r="D378" t="inlineStr">
        <is>
          <t xml:space="preserve">FCF Year 1</t>
        </is>
      </c>
      <c r="E378" s="6">
        <v>10252086867.36869</v>
      </c>
      <c r="F378" s="6">
        <v>10252086867.36869</v>
      </c>
      <c r="G378" s="11">
        <f>ABS(E378-F378)</f>
        <v>0.0</v>
      </c>
      <c r="H378" s="10">
        <f>IF(F378=0,"n/a (zero denom)",G378/ABS(F378))</f>
        <v>0.0</v>
      </c>
      <c r="I378" s="10">
        <f>'Tolerances'!$B$6</f>
        <v>0.001</v>
      </c>
      <c r="J378" s="15" t="str">
        <f>IF(F378=0,IF(G378&lt;=0.000001,"PASS","FAIL"),IF(H378&lt;=I378,"PASS","FAIL"))</f>
        <v>PASS</v>
      </c>
      <c r="K378" t="inlineStr">
        <is>
          <t xml:space="preserve"/>
        </is>
      </c>
    </row>
    <row r="379">
      <c r="A379" t="inlineStr">
        <is>
          <t xml:space="preserve">CAT</t>
        </is>
      </c>
      <c r="B379" t="inlineStr">
        <is>
          <t xml:space="preserve">Table 4 -- Operating margin</t>
        </is>
      </c>
      <c r="C379" t="inlineStr">
        <is>
          <t xml:space="preserve">Margin=20.0000%</t>
        </is>
      </c>
      <c r="D379" t="inlineStr">
        <is>
          <t xml:space="preserve">FCF Year 2</t>
        </is>
      </c>
      <c r="E379" s="6">
        <v>11001464307.1503</v>
      </c>
      <c r="F379" s="6">
        <v>11001464307.1503</v>
      </c>
      <c r="G379" s="11">
        <f>ABS(E379-F379)</f>
        <v>0.0</v>
      </c>
      <c r="H379" s="10">
        <f>IF(F379=0,"n/a (zero denom)",G379/ABS(F379))</f>
        <v>0.0</v>
      </c>
      <c r="I379" s="10">
        <f>'Tolerances'!$B$6</f>
        <v>0.001</v>
      </c>
      <c r="J379" s="15" t="str">
        <f>IF(F379=0,IF(G379&lt;=0.000001,"PASS","FAIL"),IF(H379&lt;=I379,"PASS","FAIL"))</f>
        <v>PASS</v>
      </c>
      <c r="K379" t="inlineStr">
        <is>
          <t xml:space="preserve"/>
        </is>
      </c>
    </row>
    <row r="380">
      <c r="A380" t="inlineStr">
        <is>
          <t xml:space="preserve">CAT</t>
        </is>
      </c>
      <c r="B380" t="inlineStr">
        <is>
          <t xml:space="preserve">Table 4 -- Operating margin</t>
        </is>
      </c>
      <c r="C380" t="inlineStr">
        <is>
          <t xml:space="preserve">Margin=20.0000%</t>
        </is>
      </c>
      <c r="D380" t="inlineStr">
        <is>
          <t xml:space="preserve">FCF Year 3</t>
        </is>
      </c>
      <c r="E380" s="6">
        <v>11805617574.96757</v>
      </c>
      <c r="F380" s="6">
        <v>11805617574.96757</v>
      </c>
      <c r="G380" s="11">
        <f>ABS(E380-F380)</f>
        <v>0.0</v>
      </c>
      <c r="H380" s="10">
        <f>IF(F380=0,"n/a (zero denom)",G380/ABS(F380))</f>
        <v>0.0</v>
      </c>
      <c r="I380" s="10">
        <f>'Tolerances'!$B$6</f>
        <v>0.001</v>
      </c>
      <c r="J380" s="15" t="str">
        <f>IF(F380=0,IF(G380&lt;=0.000001,"PASS","FAIL"),IF(H380&lt;=I380,"PASS","FAIL"))</f>
        <v>PASS</v>
      </c>
      <c r="K380" t="inlineStr">
        <is>
          <t xml:space="preserve"/>
        </is>
      </c>
    </row>
    <row r="381">
      <c r="A381" t="inlineStr">
        <is>
          <t xml:space="preserve">CAT</t>
        </is>
      </c>
      <c r="B381" t="inlineStr">
        <is>
          <t xml:space="preserve">Table 4 -- Operating margin</t>
        </is>
      </c>
      <c r="C381" t="inlineStr">
        <is>
          <t xml:space="preserve">Margin=20.0000%</t>
        </is>
      </c>
      <c r="D381" t="inlineStr">
        <is>
          <t xml:space="preserve">FCF Year 4</t>
        </is>
      </c>
      <c r="E381" s="6">
        <v>12668550516.116224</v>
      </c>
      <c r="F381" s="6">
        <v>12668550516.116224</v>
      </c>
      <c r="G381" s="11">
        <f>ABS(E381-F381)</f>
        <v>0.0</v>
      </c>
      <c r="H381" s="10">
        <f>IF(F381=0,"n/a (zero denom)",G381/ABS(F381))</f>
        <v>0.0</v>
      </c>
      <c r="I381" s="10">
        <f>'Tolerances'!$B$6</f>
        <v>0.001</v>
      </c>
      <c r="J381" s="15" t="str">
        <f>IF(F381=0,IF(G381&lt;=0.000001,"PASS","FAIL"),IF(H381&lt;=I381,"PASS","FAIL"))</f>
        <v>PASS</v>
      </c>
      <c r="K381" t="inlineStr">
        <is>
          <t xml:space="preserve"/>
        </is>
      </c>
    </row>
    <row r="382">
      <c r="A382" t="inlineStr">
        <is>
          <t xml:space="preserve">CAT</t>
        </is>
      </c>
      <c r="B382" t="inlineStr">
        <is>
          <t xml:space="preserve">Table 4 -- Operating margin</t>
        </is>
      </c>
      <c r="C382" t="inlineStr">
        <is>
          <t xml:space="preserve">Margin=20.0000%</t>
        </is>
      </c>
      <c r="D382" t="inlineStr">
        <is>
          <t xml:space="preserve">FCF Year 5</t>
        </is>
      </c>
      <c r="E382" s="6">
        <v>13594559637.413082</v>
      </c>
      <c r="F382" s="6">
        <v>13594559637.413082</v>
      </c>
      <c r="G382" s="11">
        <f>ABS(E382-F382)</f>
        <v>0.0</v>
      </c>
      <c r="H382" s="10">
        <f>IF(F382=0,"n/a (zero denom)",G382/ABS(F382))</f>
        <v>0.0</v>
      </c>
      <c r="I382" s="10">
        <f>'Tolerances'!$B$6</f>
        <v>0.001</v>
      </c>
      <c r="J382" s="15" t="str">
        <f>IF(F382=0,IF(G382&lt;=0.000001,"PASS","FAIL"),IF(H382&lt;=I382,"PASS","FAIL"))</f>
        <v>PASS</v>
      </c>
      <c r="K382" t="inlineStr">
        <is>
          <t xml:space="preserve"/>
        </is>
      </c>
    </row>
    <row r="383">
      <c r="A383" t="inlineStr">
        <is>
          <t xml:space="preserve">CAT</t>
        </is>
      </c>
      <c r="B383" t="inlineStr">
        <is>
          <t xml:space="preserve">Table 4 -- Operating margin</t>
        </is>
      </c>
      <c r="C383" t="inlineStr">
        <is>
          <t xml:space="preserve">Margin=20.0000%</t>
        </is>
      </c>
      <c r="D383" t="inlineStr">
        <is>
          <t xml:space="preserve">Terminal Value</t>
        </is>
      </c>
      <c r="E383" s="6">
        <v>145212639620.5374</v>
      </c>
      <c r="F383" s="6">
        <v>145212639620.5374</v>
      </c>
      <c r="G383" s="11">
        <f>ABS(E383-F383)</f>
        <v>0.0</v>
      </c>
      <c r="H383" s="10">
        <f>IF(F383=0,"n/a (zero denom)",G383/ABS(F383))</f>
        <v>0.0</v>
      </c>
      <c r="I383" s="10">
        <f>'Tolerances'!$B$7</f>
        <v>0.002</v>
      </c>
      <c r="J383" s="15" t="str">
        <f>IF(F383=0,IF(G383&lt;=0.000001,"PASS","FAIL"),IF(H383&lt;=I383,"PASS","FAIL"))</f>
        <v>PASS</v>
      </c>
      <c r="K383" t="inlineStr">
        <is>
          <t xml:space="preserve"/>
        </is>
      </c>
    </row>
    <row r="384">
      <c r="A384" t="inlineStr">
        <is>
          <t xml:space="preserve">CAT</t>
        </is>
      </c>
      <c r="B384" t="inlineStr">
        <is>
          <t xml:space="preserve">Table 4 -- Operating margin</t>
        </is>
      </c>
      <c r="C384" t="inlineStr">
        <is>
          <t xml:space="preserve">Margin=20.0000%</t>
        </is>
      </c>
      <c r="D384" t="inlineStr">
        <is>
          <t xml:space="preserve">Enterprise Value</t>
        </is>
      </c>
      <c r="E384" s="6">
        <v>124032938902.64658</v>
      </c>
      <c r="F384" s="6">
        <v>124032938902.64658</v>
      </c>
      <c r="G384" s="11">
        <f>ABS(E384-F384)</f>
        <v>0.0</v>
      </c>
      <c r="H384" s="10">
        <f>IF(F384=0,"n/a (zero denom)",G384/ABS(F384))</f>
        <v>0.0</v>
      </c>
      <c r="I384" s="10">
        <f>'Tolerances'!$B$10</f>
        <v>0.002</v>
      </c>
      <c r="J384" s="15" t="str">
        <f>IF(F384=0,IF(G384&lt;=0.000001,"PASS","FAIL"),IF(H384&lt;=I384,"PASS","FAIL"))</f>
        <v>PASS</v>
      </c>
      <c r="K384" t="inlineStr">
        <is>
          <t xml:space="preserve"/>
        </is>
      </c>
    </row>
    <row r="385">
      <c r="A385" t="inlineStr">
        <is>
          <t xml:space="preserve">CAT</t>
        </is>
      </c>
      <c r="B385" t="inlineStr">
        <is>
          <t xml:space="preserve">Table 4 -- Operating margin</t>
        </is>
      </c>
      <c r="C385" t="inlineStr">
        <is>
          <t xml:space="preserve">Margin=20.0000%</t>
        </is>
      </c>
      <c r="D385" t="inlineStr">
        <is>
          <t xml:space="preserve">Equity Value</t>
        </is>
      </c>
      <c r="E385" s="6">
        <v>97802938902.64658</v>
      </c>
      <c r="F385" s="6">
        <v>97802938902.64658</v>
      </c>
      <c r="G385" s="11">
        <f>ABS(E385-F385)</f>
        <v>0.0</v>
      </c>
      <c r="H385" s="10">
        <f>IF(F385=0,"n/a (zero denom)",G385/ABS(F385))</f>
        <v>0.0</v>
      </c>
      <c r="I385" s="10">
        <f>'Tolerances'!$B$11</f>
        <v>0.002</v>
      </c>
      <c r="J385" s="15" t="str">
        <f>IF(F385=0,IF(G385&lt;=0.000001,"PASS","FAIL"),IF(H385&lt;=I385,"PASS","FAIL"))</f>
        <v>PASS</v>
      </c>
      <c r="K385" t="inlineStr">
        <is>
          <t xml:space="preserve"/>
        </is>
      </c>
    </row>
    <row r="386">
      <c r="A386" t="inlineStr">
        <is>
          <t xml:space="preserve">CAT</t>
        </is>
      </c>
      <c r="B386" t="inlineStr">
        <is>
          <t xml:space="preserve">Table 4 -- Operating margin</t>
        </is>
      </c>
      <c r="C386" t="inlineStr">
        <is>
          <t xml:space="preserve">Margin=20.0000%</t>
        </is>
      </c>
      <c r="D386" t="inlineStr">
        <is>
          <t xml:space="preserve">Intrinsic Value per Share</t>
        </is>
      </c>
      <c r="E386" s="7">
        <v>212.76545933455716</v>
      </c>
      <c r="F386" s="7">
        <v>212.76545933455716</v>
      </c>
      <c r="G386" s="12">
        <f>ABS(E386-F386)</f>
        <v>0.0</v>
      </c>
      <c r="H386" s="10">
        <f>IF(F386=0,"n/a (zero denom)",G386/ABS(F386))</f>
        <v>0.0</v>
      </c>
      <c r="I386" s="10">
        <f>'Tolerances'!$B$13</f>
        <v>0.005</v>
      </c>
      <c r="J386" s="15" t="str">
        <f>IF(F386=0,IF(G386&lt;=0.000001,"PASS","FAIL"),IF(H386&lt;=I386,"PASS","FAIL"))</f>
        <v>PASS</v>
      </c>
      <c r="K386" t="inlineStr">
        <is>
          <t xml:space="preserve"/>
        </is>
      </c>
    </row>
    <row r="387">
      <c r="A387" t="inlineStr">
        <is>
          <t xml:space="preserve">CAT</t>
        </is>
      </c>
      <c r="B387" t="inlineStr">
        <is>
          <t xml:space="preserve">Table 4 -- Operating margin</t>
        </is>
      </c>
      <c r="C387" t="inlineStr">
        <is>
          <t xml:space="preserve">Margin=30.0000%</t>
        </is>
      </c>
      <c r="D387" t="inlineStr">
        <is>
          <t xml:space="preserve">FCF Year 1</t>
        </is>
      </c>
      <c r="E387" s="6">
        <v>15765479556.433092</v>
      </c>
      <c r="F387" s="6">
        <v>15765479556.433092</v>
      </c>
      <c r="G387" s="11">
        <f>ABS(E387-F387)</f>
        <v>0.0</v>
      </c>
      <c r="H387" s="10">
        <f>IF(F387=0,"n/a (zero denom)",G387/ABS(F387))</f>
        <v>0.0</v>
      </c>
      <c r="I387" s="10">
        <f>'Tolerances'!$B$6</f>
        <v>0.001</v>
      </c>
      <c r="J387" s="15" t="str">
        <f>IF(F387=0,IF(G387&lt;=0.000001,"PASS","FAIL"),IF(H387&lt;=I387,"PASS","FAIL"))</f>
        <v>PASS</v>
      </c>
      <c r="K387" t="inlineStr">
        <is>
          <t xml:space="preserve"/>
        </is>
      </c>
    </row>
    <row r="388">
      <c r="A388" t="inlineStr">
        <is>
          <t xml:space="preserve">CAT</t>
        </is>
      </c>
      <c r="B388" t="inlineStr">
        <is>
          <t xml:space="preserve">Table 4 -- Operating margin</t>
        </is>
      </c>
      <c r="C388" t="inlineStr">
        <is>
          <t xml:space="preserve">Margin=30.0000%</t>
        </is>
      </c>
      <c r="D388" t="inlineStr">
        <is>
          <t xml:space="preserve">FCF Year 2</t>
        </is>
      </c>
      <c r="E388" s="6">
        <v>16917859053.385342</v>
      </c>
      <c r="F388" s="6">
        <v>16917859053.385342</v>
      </c>
      <c r="G388" s="11">
        <f>ABS(E388-F388)</f>
        <v>0.0</v>
      </c>
      <c r="H388" s="10">
        <f>IF(F388=0,"n/a (zero denom)",G388/ABS(F388))</f>
        <v>0.0</v>
      </c>
      <c r="I388" s="10">
        <f>'Tolerances'!$B$6</f>
        <v>0.001</v>
      </c>
      <c r="J388" s="15" t="str">
        <f>IF(F388=0,IF(G388&lt;=0.000001,"PASS","FAIL"),IF(H388&lt;=I388,"PASS","FAIL"))</f>
        <v>PASS</v>
      </c>
      <c r="K388" t="inlineStr">
        <is>
          <t xml:space="preserve"/>
        </is>
      </c>
    </row>
    <row r="389">
      <c r="A389" t="inlineStr">
        <is>
          <t xml:space="preserve">CAT</t>
        </is>
      </c>
      <c r="B389" t="inlineStr">
        <is>
          <t xml:space="preserve">Table 4 -- Operating margin</t>
        </is>
      </c>
      <c r="C389" t="inlineStr">
        <is>
          <t xml:space="preserve">Margin=30.0000%</t>
        </is>
      </c>
      <c r="D389" t="inlineStr">
        <is>
          <t xml:space="preserve">FCF Year 3</t>
        </is>
      </c>
      <c r="E389" s="6">
        <v>18154471858.956112</v>
      </c>
      <c r="F389" s="6">
        <v>18154471858.956112</v>
      </c>
      <c r="G389" s="11">
        <f>ABS(E389-F389)</f>
        <v>0.0</v>
      </c>
      <c r="H389" s="10">
        <f>IF(F389=0,"n/a (zero denom)",G389/ABS(F389))</f>
        <v>0.0</v>
      </c>
      <c r="I389" s="10">
        <f>'Tolerances'!$B$6</f>
        <v>0.001</v>
      </c>
      <c r="J389" s="15" t="str">
        <f>IF(F389=0,IF(G389&lt;=0.000001,"PASS","FAIL"),IF(H389&lt;=I389,"PASS","FAIL"))</f>
        <v>PASS</v>
      </c>
      <c r="K389" t="inlineStr">
        <is>
          <t xml:space="preserve"/>
        </is>
      </c>
    </row>
    <row r="390">
      <c r="A390" t="inlineStr">
        <is>
          <t xml:space="preserve">CAT</t>
        </is>
      </c>
      <c r="B390" t="inlineStr">
        <is>
          <t xml:space="preserve">Table 4 -- Operating margin</t>
        </is>
      </c>
      <c r="C390" t="inlineStr">
        <is>
          <t xml:space="preserve">Margin=30.0000%</t>
        </is>
      </c>
      <c r="D390" t="inlineStr">
        <is>
          <t xml:space="preserve">FCF Year 4</t>
        </is>
      </c>
      <c r="E390" s="6">
        <v>19481475016.289246</v>
      </c>
      <c r="F390" s="6">
        <v>19481475016.289246</v>
      </c>
      <c r="G390" s="11">
        <f>ABS(E390-F390)</f>
        <v>0.0</v>
      </c>
      <c r="H390" s="10">
        <f>IF(F390=0,"n/a (zero denom)",G390/ABS(F390))</f>
        <v>0.0</v>
      </c>
      <c r="I390" s="10">
        <f>'Tolerances'!$B$6</f>
        <v>0.001</v>
      </c>
      <c r="J390" s="15" t="str">
        <f>IF(F390=0,IF(G390&lt;=0.000001,"PASS","FAIL"),IF(H390&lt;=I390,"PASS","FAIL"))</f>
        <v>PASS</v>
      </c>
      <c r="K390" t="inlineStr">
        <is>
          <t xml:space="preserve"/>
        </is>
      </c>
    </row>
    <row r="391">
      <c r="A391" t="inlineStr">
        <is>
          <t xml:space="preserve">CAT</t>
        </is>
      </c>
      <c r="B391" t="inlineStr">
        <is>
          <t xml:space="preserve">Table 4 -- Operating margin</t>
        </is>
      </c>
      <c r="C391" t="inlineStr">
        <is>
          <t xml:space="preserve">Margin=30.0000%</t>
        </is>
      </c>
      <c r="D391" t="inlineStr">
        <is>
          <t xml:space="preserve">FCF Year 5</t>
        </is>
      </c>
      <c r="E391" s="6">
        <v>20905475618.287968</v>
      </c>
      <c r="F391" s="6">
        <v>20905475618.287968</v>
      </c>
      <c r="G391" s="11">
        <f>ABS(E391-F391)</f>
        <v>0.0</v>
      </c>
      <c r="H391" s="10">
        <f>IF(F391=0,"n/a (zero denom)",G391/ABS(F391))</f>
        <v>0.0</v>
      </c>
      <c r="I391" s="10">
        <f>'Tolerances'!$B$6</f>
        <v>0.001</v>
      </c>
      <c r="J391" s="15" t="str">
        <f>IF(F391=0,IF(G391&lt;=0.000001,"PASS","FAIL"),IF(H391&lt;=I391,"PASS","FAIL"))</f>
        <v>PASS</v>
      </c>
      <c r="K391" t="inlineStr">
        <is>
          <t xml:space="preserve"/>
        </is>
      </c>
    </row>
    <row r="392">
      <c r="A392" t="inlineStr">
        <is>
          <t xml:space="preserve">CAT</t>
        </is>
      </c>
      <c r="B392" t="inlineStr">
        <is>
          <t xml:space="preserve">Table 4 -- Operating margin</t>
        </is>
      </c>
      <c r="C392" t="inlineStr">
        <is>
          <t xml:space="preserve">Margin=30.0000%</t>
        </is>
      </c>
      <c r="D392" t="inlineStr">
        <is>
          <t xml:space="preserve">Terminal Value</t>
        </is>
      </c>
      <c r="E392" s="6">
        <v>223305452918.08032</v>
      </c>
      <c r="F392" s="6">
        <v>223305452918.08032</v>
      </c>
      <c r="G392" s="11">
        <f>ABS(E392-F392)</f>
        <v>0.0</v>
      </c>
      <c r="H392" s="10">
        <f>IF(F392=0,"n/a (zero denom)",G392/ABS(F392))</f>
        <v>0.0</v>
      </c>
      <c r="I392" s="10">
        <f>'Tolerances'!$B$7</f>
        <v>0.002</v>
      </c>
      <c r="J392" s="15" t="str">
        <f>IF(F392=0,IF(G392&lt;=0.000001,"PASS","FAIL"),IF(H392&lt;=I392,"PASS","FAIL"))</f>
        <v>PASS</v>
      </c>
      <c r="K392" t="inlineStr">
        <is>
          <t xml:space="preserve"/>
        </is>
      </c>
    </row>
    <row r="393">
      <c r="A393" t="inlineStr">
        <is>
          <t xml:space="preserve">CAT</t>
        </is>
      </c>
      <c r="B393" t="inlineStr">
        <is>
          <t xml:space="preserve">Table 4 -- Operating margin</t>
        </is>
      </c>
      <c r="C393" t="inlineStr">
        <is>
          <t xml:space="preserve">Margin=30.0000%</t>
        </is>
      </c>
      <c r="D393" t="inlineStr">
        <is>
          <t xml:space="preserve">Enterprise Value</t>
        </is>
      </c>
      <c r="E393" s="6">
        <v>190735680246.52075</v>
      </c>
      <c r="F393" s="6">
        <v>190735680246.52075</v>
      </c>
      <c r="G393" s="11">
        <f>ABS(E393-F393)</f>
        <v>0.0</v>
      </c>
      <c r="H393" s="10">
        <f>IF(F393=0,"n/a (zero denom)",G393/ABS(F393))</f>
        <v>0.0</v>
      </c>
      <c r="I393" s="10">
        <f>'Tolerances'!$B$10</f>
        <v>0.002</v>
      </c>
      <c r="J393" s="15" t="str">
        <f>IF(F393=0,IF(G393&lt;=0.000001,"PASS","FAIL"),IF(H393&lt;=I393,"PASS","FAIL"))</f>
        <v>PASS</v>
      </c>
      <c r="K393" t="inlineStr">
        <is>
          <t xml:space="preserve"/>
        </is>
      </c>
    </row>
    <row r="394">
      <c r="A394" t="inlineStr">
        <is>
          <t xml:space="preserve">CAT</t>
        </is>
      </c>
      <c r="B394" t="inlineStr">
        <is>
          <t xml:space="preserve">Table 4 -- Operating margin</t>
        </is>
      </c>
      <c r="C394" t="inlineStr">
        <is>
          <t xml:space="preserve">Margin=30.0000%</t>
        </is>
      </c>
      <c r="D394" t="inlineStr">
        <is>
          <t xml:space="preserve">Equity Value</t>
        </is>
      </c>
      <c r="E394" s="6">
        <v>164505680246.52075</v>
      </c>
      <c r="F394" s="6">
        <v>164505680246.52075</v>
      </c>
      <c r="G394" s="11">
        <f>ABS(E394-F394)</f>
        <v>0.0</v>
      </c>
      <c r="H394" s="10">
        <f>IF(F394=0,"n/a (zero denom)",G394/ABS(F394))</f>
        <v>0.0</v>
      </c>
      <c r="I394" s="10">
        <f>'Tolerances'!$B$11</f>
        <v>0.002</v>
      </c>
      <c r="J394" s="15" t="str">
        <f>IF(F394=0,IF(G394&lt;=0.000001,"PASS","FAIL"),IF(H394&lt;=I394,"PASS","FAIL"))</f>
        <v>PASS</v>
      </c>
      <c r="K394" t="inlineStr">
        <is>
          <t xml:space="preserve"/>
        </is>
      </c>
    </row>
    <row r="395">
      <c r="A395" t="inlineStr">
        <is>
          <t xml:space="preserve">CAT</t>
        </is>
      </c>
      <c r="B395" t="inlineStr">
        <is>
          <t xml:space="preserve">Table 4 -- Operating margin</t>
        </is>
      </c>
      <c r="C395" t="inlineStr">
        <is>
          <t xml:space="preserve">Margin=30.0000%</t>
        </is>
      </c>
      <c r="D395" t="inlineStr">
        <is>
          <t xml:space="preserve">Intrinsic Value per Share</t>
        </is>
      </c>
      <c r="E395" s="7">
        <v>357.8739761147161</v>
      </c>
      <c r="F395" s="7">
        <v>357.8739761147161</v>
      </c>
      <c r="G395" s="12">
        <f>ABS(E395-F395)</f>
        <v>0.0</v>
      </c>
      <c r="H395" s="10">
        <f>IF(F395=0,"n/a (zero denom)",G395/ABS(F395))</f>
        <v>0.0</v>
      </c>
      <c r="I395" s="10">
        <f>'Tolerances'!$B$13</f>
        <v>0.005</v>
      </c>
      <c r="J395" s="15" t="str">
        <f>IF(F395=0,IF(G395&lt;=0.000001,"PASS","FAIL"),IF(H395&lt;=I395,"PASS","FAIL"))</f>
        <v>PASS</v>
      </c>
      <c r="K395" t="inlineStr">
        <is>
          <t xml:space="preserve"/>
        </is>
      </c>
    </row>
    <row r="396">
      <c r="A396" t="inlineStr">
        <is>
          <t xml:space="preserve">CAT</t>
        </is>
      </c>
      <c r="B396" t="inlineStr">
        <is>
          <t xml:space="preserve">Table 4 -- Operating margin</t>
        </is>
      </c>
      <c r="C396" t="inlineStr">
        <is>
          <t xml:space="preserve">Margin=40.0000%</t>
        </is>
      </c>
      <c r="D396" t="inlineStr">
        <is>
          <t xml:space="preserve">FCF Year 1</t>
        </is>
      </c>
      <c r="E396" s="6">
        <v>21278872245.49749</v>
      </c>
      <c r="F396" s="6">
        <v>21278872245.49749</v>
      </c>
      <c r="G396" s="11">
        <f>ABS(E396-F396)</f>
        <v>0.0</v>
      </c>
      <c r="H396" s="10">
        <f>IF(F396=0,"n/a (zero denom)",G396/ABS(F396))</f>
        <v>0.0</v>
      </c>
      <c r="I396" s="10">
        <f>'Tolerances'!$B$6</f>
        <v>0.001</v>
      </c>
      <c r="J396" s="15" t="str">
        <f>IF(F396=0,IF(G396&lt;=0.000001,"PASS","FAIL"),IF(H396&lt;=I396,"PASS","FAIL"))</f>
        <v>PASS</v>
      </c>
      <c r="K396" t="inlineStr">
        <is>
          <t xml:space="preserve"/>
        </is>
      </c>
    </row>
    <row r="397">
      <c r="A397" t="inlineStr">
        <is>
          <t xml:space="preserve">CAT</t>
        </is>
      </c>
      <c r="B397" t="inlineStr">
        <is>
          <t xml:space="preserve">Table 4 -- Operating margin</t>
        </is>
      </c>
      <c r="C397" t="inlineStr">
        <is>
          <t xml:space="preserve">Margin=40.0000%</t>
        </is>
      </c>
      <c r="D397" t="inlineStr">
        <is>
          <t xml:space="preserve">FCF Year 2</t>
        </is>
      </c>
      <c r="E397" s="6">
        <v>22834253799.620388</v>
      </c>
      <c r="F397" s="6">
        <v>22834253799.620388</v>
      </c>
      <c r="G397" s="11">
        <f>ABS(E397-F397)</f>
        <v>0.0</v>
      </c>
      <c r="H397" s="10">
        <f>IF(F397=0,"n/a (zero denom)",G397/ABS(F397))</f>
        <v>0.0</v>
      </c>
      <c r="I397" s="10">
        <f>'Tolerances'!$B$6</f>
        <v>0.001</v>
      </c>
      <c r="J397" s="15" t="str">
        <f>IF(F397=0,IF(G397&lt;=0.000001,"PASS","FAIL"),IF(H397&lt;=I397,"PASS","FAIL"))</f>
        <v>PASS</v>
      </c>
      <c r="K397" t="inlineStr">
        <is>
          <t xml:space="preserve"/>
        </is>
      </c>
    </row>
    <row r="398">
      <c r="A398" t="inlineStr">
        <is>
          <t xml:space="preserve">CAT</t>
        </is>
      </c>
      <c r="B398" t="inlineStr">
        <is>
          <t xml:space="preserve">Table 4 -- Operating margin</t>
        </is>
      </c>
      <c r="C398" t="inlineStr">
        <is>
          <t xml:space="preserve">Margin=40.0000%</t>
        </is>
      </c>
      <c r="D398" t="inlineStr">
        <is>
          <t xml:space="preserve">FCF Year 3</t>
        </is>
      </c>
      <c r="E398" s="6">
        <v>24503326142.944656</v>
      </c>
      <c r="F398" s="6">
        <v>24503326142.944656</v>
      </c>
      <c r="G398" s="11">
        <f>ABS(E398-F398)</f>
        <v>0.0</v>
      </c>
      <c r="H398" s="10">
        <f>IF(F398=0,"n/a (zero denom)",G398/ABS(F398))</f>
        <v>0.0</v>
      </c>
      <c r="I398" s="10">
        <f>'Tolerances'!$B$6</f>
        <v>0.001</v>
      </c>
      <c r="J398" s="15" t="str">
        <f>IF(F398=0,IF(G398&lt;=0.000001,"PASS","FAIL"),IF(H398&lt;=I398,"PASS","FAIL"))</f>
        <v>PASS</v>
      </c>
      <c r="K398" t="inlineStr">
        <is>
          <t xml:space="preserve"/>
        </is>
      </c>
    </row>
    <row r="399">
      <c r="A399" t="inlineStr">
        <is>
          <t xml:space="preserve">CAT</t>
        </is>
      </c>
      <c r="B399" t="inlineStr">
        <is>
          <t xml:space="preserve">Table 4 -- Operating margin</t>
        </is>
      </c>
      <c r="C399" t="inlineStr">
        <is>
          <t xml:space="preserve">Margin=40.0000%</t>
        </is>
      </c>
      <c r="D399" t="inlineStr">
        <is>
          <t xml:space="preserve">FCF Year 4</t>
        </is>
      </c>
      <c r="E399" s="6">
        <v>26294399516.462265</v>
      </c>
      <c r="F399" s="6">
        <v>26294399516.462265</v>
      </c>
      <c r="G399" s="11">
        <f>ABS(E399-F399)</f>
        <v>0.0</v>
      </c>
      <c r="H399" s="10">
        <f>IF(F399=0,"n/a (zero denom)",G399/ABS(F399))</f>
        <v>0.0</v>
      </c>
      <c r="I399" s="10">
        <f>'Tolerances'!$B$6</f>
        <v>0.001</v>
      </c>
      <c r="J399" s="15" t="str">
        <f>IF(F399=0,IF(G399&lt;=0.000001,"PASS","FAIL"),IF(H399&lt;=I399,"PASS","FAIL"))</f>
        <v>PASS</v>
      </c>
      <c r="K399" t="inlineStr">
        <is>
          <t xml:space="preserve"/>
        </is>
      </c>
    </row>
    <row r="400">
      <c r="A400" t="inlineStr">
        <is>
          <t xml:space="preserve">CAT</t>
        </is>
      </c>
      <c r="B400" t="inlineStr">
        <is>
          <t xml:space="preserve">Table 4 -- Operating margin</t>
        </is>
      </c>
      <c r="C400" t="inlineStr">
        <is>
          <t xml:space="preserve">Margin=40.0000%</t>
        </is>
      </c>
      <c r="D400" t="inlineStr">
        <is>
          <t xml:space="preserve">FCF Year 5</t>
        </is>
      </c>
      <c r="E400" s="6">
        <v>28216391599.162853</v>
      </c>
      <c r="F400" s="6">
        <v>28216391599.162853</v>
      </c>
      <c r="G400" s="11">
        <f>ABS(E400-F400)</f>
        <v>0.0</v>
      </c>
      <c r="H400" s="10">
        <f>IF(F400=0,"n/a (zero denom)",G400/ABS(F400))</f>
        <v>0.0</v>
      </c>
      <c r="I400" s="10">
        <f>'Tolerances'!$B$6</f>
        <v>0.001</v>
      </c>
      <c r="J400" s="15" t="str">
        <f>IF(F400=0,IF(G400&lt;=0.000001,"PASS","FAIL"),IF(H400&lt;=I400,"PASS","FAIL"))</f>
        <v>PASS</v>
      </c>
      <c r="K400" t="inlineStr">
        <is>
          <t xml:space="preserve"/>
        </is>
      </c>
    </row>
    <row r="401">
      <c r="A401" t="inlineStr">
        <is>
          <t xml:space="preserve">CAT</t>
        </is>
      </c>
      <c r="B401" t="inlineStr">
        <is>
          <t xml:space="preserve">Table 4 -- Operating margin</t>
        </is>
      </c>
      <c r="C401" t="inlineStr">
        <is>
          <t xml:space="preserve">Margin=40.0000%</t>
        </is>
      </c>
      <c r="D401" t="inlineStr">
        <is>
          <t xml:space="preserve">Terminal Value</t>
        </is>
      </c>
      <c r="E401" s="6">
        <v>301398266215.6232</v>
      </c>
      <c r="F401" s="6">
        <v>301398266215.6232</v>
      </c>
      <c r="G401" s="11">
        <f>ABS(E401-F401)</f>
        <v>0.0</v>
      </c>
      <c r="H401" s="10">
        <f>IF(F401=0,"n/a (zero denom)",G401/ABS(F401))</f>
        <v>0.0</v>
      </c>
      <c r="I401" s="10">
        <f>'Tolerances'!$B$7</f>
        <v>0.002</v>
      </c>
      <c r="J401" s="15" t="str">
        <f>IF(F401=0,IF(G401&lt;=0.000001,"PASS","FAIL"),IF(H401&lt;=I401,"PASS","FAIL"))</f>
        <v>PASS</v>
      </c>
      <c r="K401" t="inlineStr">
        <is>
          <t xml:space="preserve"/>
        </is>
      </c>
    </row>
    <row r="402">
      <c r="A402" t="inlineStr">
        <is>
          <t xml:space="preserve">CAT</t>
        </is>
      </c>
      <c r="B402" t="inlineStr">
        <is>
          <t xml:space="preserve">Table 4 -- Operating margin</t>
        </is>
      </c>
      <c r="C402" t="inlineStr">
        <is>
          <t xml:space="preserve">Margin=40.0000%</t>
        </is>
      </c>
      <c r="D402" t="inlineStr">
        <is>
          <t xml:space="preserve">Enterprise Value</t>
        </is>
      </c>
      <c r="E402" s="6">
        <v>257438421590.39496</v>
      </c>
      <c r="F402" s="6">
        <v>257438421590.39496</v>
      </c>
      <c r="G402" s="11">
        <f>ABS(E402-F402)</f>
        <v>0.0</v>
      </c>
      <c r="H402" s="10">
        <f>IF(F402=0,"n/a (zero denom)",G402/ABS(F402))</f>
        <v>0.0</v>
      </c>
      <c r="I402" s="10">
        <f>'Tolerances'!$B$10</f>
        <v>0.002</v>
      </c>
      <c r="J402" s="15" t="str">
        <f>IF(F402=0,IF(G402&lt;=0.000001,"PASS","FAIL"),IF(H402&lt;=I402,"PASS","FAIL"))</f>
        <v>PASS</v>
      </c>
      <c r="K402" t="inlineStr">
        <is>
          <t xml:space="preserve"/>
        </is>
      </c>
    </row>
    <row r="403">
      <c r="A403" t="inlineStr">
        <is>
          <t xml:space="preserve">CAT</t>
        </is>
      </c>
      <c r="B403" t="inlineStr">
        <is>
          <t xml:space="preserve">Table 4 -- Operating margin</t>
        </is>
      </c>
      <c r="C403" t="inlineStr">
        <is>
          <t xml:space="preserve">Margin=40.0000%</t>
        </is>
      </c>
      <c r="D403" t="inlineStr">
        <is>
          <t xml:space="preserve">Equity Value</t>
        </is>
      </c>
      <c r="E403" s="6">
        <v>231208421590.39496</v>
      </c>
      <c r="F403" s="6">
        <v>231208421590.39496</v>
      </c>
      <c r="G403" s="11">
        <f>ABS(E403-F403)</f>
        <v>0.0</v>
      </c>
      <c r="H403" s="10">
        <f>IF(F403=0,"n/a (zero denom)",G403/ABS(F403))</f>
        <v>0.0</v>
      </c>
      <c r="I403" s="10">
        <f>'Tolerances'!$B$11</f>
        <v>0.002</v>
      </c>
      <c r="J403" s="15" t="str">
        <f>IF(F403=0,IF(G403&lt;=0.000001,"PASS","FAIL"),IF(H403&lt;=I403,"PASS","FAIL"))</f>
        <v>PASS</v>
      </c>
      <c r="K403" t="inlineStr">
        <is>
          <t xml:space="preserve"/>
        </is>
      </c>
    </row>
    <row r="404">
      <c r="A404" t="inlineStr">
        <is>
          <t xml:space="preserve">CAT</t>
        </is>
      </c>
      <c r="B404" t="inlineStr">
        <is>
          <t xml:space="preserve">Table 4 -- Operating margin</t>
        </is>
      </c>
      <c r="C404" t="inlineStr">
        <is>
          <t xml:space="preserve">Margin=40.0000%</t>
        </is>
      </c>
      <c r="D404" t="inlineStr">
        <is>
          <t xml:space="preserve">Intrinsic Value per Share</t>
        </is>
      </c>
      <c r="E404" s="7">
        <v>502.982492894875</v>
      </c>
      <c r="F404" s="7">
        <v>502.982492894875</v>
      </c>
      <c r="G404" s="12">
        <f>ABS(E404-F404)</f>
        <v>0.0</v>
      </c>
      <c r="H404" s="10">
        <f>IF(F404=0,"n/a (zero denom)",G404/ABS(F404))</f>
        <v>0.0</v>
      </c>
      <c r="I404" s="10">
        <f>'Tolerances'!$B$13</f>
        <v>0.005</v>
      </c>
      <c r="J404" s="15" t="str">
        <f>IF(F404=0,IF(G404&lt;=0.000001,"PASS","FAIL"),IF(H404&lt;=I404,"PASS","FAIL"))</f>
        <v>PASS</v>
      </c>
      <c r="K404" t="inlineStr">
        <is>
          <t xml:space="preserve"/>
        </is>
      </c>
    </row>
    <row r="405">
      <c r="A405" t="inlineStr">
        <is>
          <t xml:space="preserve">CAT</t>
        </is>
      </c>
      <c r="B405" t="inlineStr">
        <is>
          <t xml:space="preserve">Table 4 -- Operating margin</t>
        </is>
      </c>
      <c r="C405" t="inlineStr">
        <is>
          <t xml:space="preserve">Margin=50.0000%</t>
        </is>
      </c>
      <c r="D405" t="inlineStr">
        <is>
          <t xml:space="preserve">FCF Year 1</t>
        </is>
      </c>
      <c r="E405" s="6">
        <v>26792264934.56189</v>
      </c>
      <c r="F405" s="6">
        <v>26792264934.56189</v>
      </c>
      <c r="G405" s="11">
        <f>ABS(E405-F405)</f>
        <v>0.0</v>
      </c>
      <c r="H405" s="10">
        <f>IF(F405=0,"n/a (zero denom)",G405/ABS(F405))</f>
        <v>0.0</v>
      </c>
      <c r="I405" s="10">
        <f>'Tolerances'!$B$6</f>
        <v>0.001</v>
      </c>
      <c r="J405" s="15" t="str">
        <f>IF(F405=0,IF(G405&lt;=0.000001,"PASS","FAIL"),IF(H405&lt;=I405,"PASS","FAIL"))</f>
        <v>PASS</v>
      </c>
      <c r="K405" t="inlineStr">
        <is>
          <t xml:space="preserve"/>
        </is>
      </c>
    </row>
    <row r="406">
      <c r="A406" t="inlineStr">
        <is>
          <t xml:space="preserve">CAT</t>
        </is>
      </c>
      <c r="B406" t="inlineStr">
        <is>
          <t xml:space="preserve">Table 4 -- Operating margin</t>
        </is>
      </c>
      <c r="C406" t="inlineStr">
        <is>
          <t xml:space="preserve">Margin=50.0000%</t>
        </is>
      </c>
      <c r="D406" t="inlineStr">
        <is>
          <t xml:space="preserve">FCF Year 2</t>
        </is>
      </c>
      <c r="E406" s="6">
        <v>28750648545.855427</v>
      </c>
      <c r="F406" s="6">
        <v>28750648545.855427</v>
      </c>
      <c r="G406" s="11">
        <f>ABS(E406-F406)</f>
        <v>0.0</v>
      </c>
      <c r="H406" s="10">
        <f>IF(F406=0,"n/a (zero denom)",G406/ABS(F406))</f>
        <v>0.0</v>
      </c>
      <c r="I406" s="10">
        <f>'Tolerances'!$B$6</f>
        <v>0.001</v>
      </c>
      <c r="J406" s="15" t="str">
        <f>IF(F406=0,IF(G406&lt;=0.000001,"PASS","FAIL"),IF(H406&lt;=I406,"PASS","FAIL"))</f>
        <v>PASS</v>
      </c>
      <c r="K406" t="inlineStr">
        <is>
          <t xml:space="preserve"/>
        </is>
      </c>
    </row>
    <row r="407">
      <c r="A407" t="inlineStr">
        <is>
          <t xml:space="preserve">CAT</t>
        </is>
      </c>
      <c r="B407" t="inlineStr">
        <is>
          <t xml:space="preserve">Table 4 -- Operating margin</t>
        </is>
      </c>
      <c r="C407" t="inlineStr">
        <is>
          <t xml:space="preserve">Margin=50.0000%</t>
        </is>
      </c>
      <c r="D407" t="inlineStr">
        <is>
          <t xml:space="preserve">FCF Year 3</t>
        </is>
      </c>
      <c r="E407" s="6">
        <v>30852180426.9332</v>
      </c>
      <c r="F407" s="6">
        <v>30852180426.9332</v>
      </c>
      <c r="G407" s="11">
        <f>ABS(E407-F407)</f>
        <v>0.0</v>
      </c>
      <c r="H407" s="10">
        <f>IF(F407=0,"n/a (zero denom)",G407/ABS(F407))</f>
        <v>0.0</v>
      </c>
      <c r="I407" s="10">
        <f>'Tolerances'!$B$6</f>
        <v>0.001</v>
      </c>
      <c r="J407" s="15" t="str">
        <f>IF(F407=0,IF(G407&lt;=0.000001,"PASS","FAIL"),IF(H407&lt;=I407,"PASS","FAIL"))</f>
        <v>PASS</v>
      </c>
      <c r="K407" t="inlineStr">
        <is>
          <t xml:space="preserve"/>
        </is>
      </c>
    </row>
    <row r="408">
      <c r="A408" t="inlineStr">
        <is>
          <t xml:space="preserve">CAT</t>
        </is>
      </c>
      <c r="B408" t="inlineStr">
        <is>
          <t xml:space="preserve">Table 4 -- Operating margin</t>
        </is>
      </c>
      <c r="C408" t="inlineStr">
        <is>
          <t xml:space="preserve">Margin=50.0000%</t>
        </is>
      </c>
      <c r="D408" t="inlineStr">
        <is>
          <t xml:space="preserve">FCF Year 4</t>
        </is>
      </c>
      <c r="E408" s="6">
        <v>33107324016.63529</v>
      </c>
      <c r="F408" s="6">
        <v>33107324016.63529</v>
      </c>
      <c r="G408" s="11">
        <f>ABS(E408-F408)</f>
        <v>0.0</v>
      </c>
      <c r="H408" s="10">
        <f>IF(F408=0,"n/a (zero denom)",G408/ABS(F408))</f>
        <v>0.0</v>
      </c>
      <c r="I408" s="10">
        <f>'Tolerances'!$B$6</f>
        <v>0.001</v>
      </c>
      <c r="J408" s="15" t="str">
        <f>IF(F408=0,IF(G408&lt;=0.000001,"PASS","FAIL"),IF(H408&lt;=I408,"PASS","FAIL"))</f>
        <v>PASS</v>
      </c>
      <c r="K408" t="inlineStr">
        <is>
          <t xml:space="preserve"/>
        </is>
      </c>
    </row>
    <row r="409">
      <c r="A409" t="inlineStr">
        <is>
          <t xml:space="preserve">CAT</t>
        </is>
      </c>
      <c r="B409" t="inlineStr">
        <is>
          <t xml:space="preserve">Table 4 -- Operating margin</t>
        </is>
      </c>
      <c r="C409" t="inlineStr">
        <is>
          <t xml:space="preserve">Margin=50.0000%</t>
        </is>
      </c>
      <c r="D409" t="inlineStr">
        <is>
          <t xml:space="preserve">FCF Year 5</t>
        </is>
      </c>
      <c r="E409" s="6">
        <v>35527307580.03774</v>
      </c>
      <c r="F409" s="6">
        <v>35527307580.03774</v>
      </c>
      <c r="G409" s="11">
        <f>ABS(E409-F409)</f>
        <v>0.0</v>
      </c>
      <c r="H409" s="10">
        <f>IF(F409=0,"n/a (zero denom)",G409/ABS(F409))</f>
        <v>0.0</v>
      </c>
      <c r="I409" s="10">
        <f>'Tolerances'!$B$6</f>
        <v>0.001</v>
      </c>
      <c r="J409" s="15" t="str">
        <f>IF(F409=0,IF(G409&lt;=0.000001,"PASS","FAIL"),IF(H409&lt;=I409,"PASS","FAIL"))</f>
        <v>PASS</v>
      </c>
      <c r="K409" t="inlineStr">
        <is>
          <t xml:space="preserve"/>
        </is>
      </c>
    </row>
    <row r="410">
      <c r="A410" t="inlineStr">
        <is>
          <t xml:space="preserve">CAT</t>
        </is>
      </c>
      <c r="B410" t="inlineStr">
        <is>
          <t xml:space="preserve">Table 4 -- Operating margin</t>
        </is>
      </c>
      <c r="C410" t="inlineStr">
        <is>
          <t xml:space="preserve">Margin=50.0000%</t>
        </is>
      </c>
      <c r="D410" t="inlineStr">
        <is>
          <t xml:space="preserve">Terminal Value</t>
        </is>
      </c>
      <c r="E410" s="6">
        <v>379491079513.16614</v>
      </c>
      <c r="F410" s="6">
        <v>379491079513.16614</v>
      </c>
      <c r="G410" s="11">
        <f>ABS(E410-F410)</f>
        <v>0.0</v>
      </c>
      <c r="H410" s="10">
        <f>IF(F410=0,"n/a (zero denom)",G410/ABS(F410))</f>
        <v>0.0</v>
      </c>
      <c r="I410" s="10">
        <f>'Tolerances'!$B$7</f>
        <v>0.002</v>
      </c>
      <c r="J410" s="15" t="str">
        <f>IF(F410=0,IF(G410&lt;=0.000001,"PASS","FAIL"),IF(H410&lt;=I410,"PASS","FAIL"))</f>
        <v>PASS</v>
      </c>
      <c r="K410" t="inlineStr">
        <is>
          <t xml:space="preserve"/>
        </is>
      </c>
    </row>
    <row r="411">
      <c r="A411" t="inlineStr">
        <is>
          <t xml:space="preserve">CAT</t>
        </is>
      </c>
      <c r="B411" t="inlineStr">
        <is>
          <t xml:space="preserve">Table 4 -- Operating margin</t>
        </is>
      </c>
      <c r="C411" t="inlineStr">
        <is>
          <t xml:space="preserve">Margin=50.0000%</t>
        </is>
      </c>
      <c r="D411" t="inlineStr">
        <is>
          <t xml:space="preserve">Enterprise Value</t>
        </is>
      </c>
      <c r="E411" s="6">
        <v>324141162934.26917</v>
      </c>
      <c r="F411" s="6">
        <v>324141162934.26917</v>
      </c>
      <c r="G411" s="11">
        <f>ABS(E411-F411)</f>
        <v>0.0</v>
      </c>
      <c r="H411" s="10">
        <f>IF(F411=0,"n/a (zero denom)",G411/ABS(F411))</f>
        <v>0.0</v>
      </c>
      <c r="I411" s="10">
        <f>'Tolerances'!$B$10</f>
        <v>0.002</v>
      </c>
      <c r="J411" s="15" t="str">
        <f>IF(F411=0,IF(G411&lt;=0.000001,"PASS","FAIL"),IF(H411&lt;=I411,"PASS","FAIL"))</f>
        <v>PASS</v>
      </c>
      <c r="K411" t="inlineStr">
        <is>
          <t xml:space="preserve"/>
        </is>
      </c>
    </row>
    <row r="412">
      <c r="A412" t="inlineStr">
        <is>
          <t xml:space="preserve">CAT</t>
        </is>
      </c>
      <c r="B412" t="inlineStr">
        <is>
          <t xml:space="preserve">Table 4 -- Operating margin</t>
        </is>
      </c>
      <c r="C412" t="inlineStr">
        <is>
          <t xml:space="preserve">Margin=50.0000%</t>
        </is>
      </c>
      <c r="D412" t="inlineStr">
        <is>
          <t xml:space="preserve">Equity Value</t>
        </is>
      </c>
      <c r="E412" s="6">
        <v>297911162934.26917</v>
      </c>
      <c r="F412" s="6">
        <v>297911162934.26917</v>
      </c>
      <c r="G412" s="11">
        <f>ABS(E412-F412)</f>
        <v>0.0</v>
      </c>
      <c r="H412" s="10">
        <f>IF(F412=0,"n/a (zero denom)",G412/ABS(F412))</f>
        <v>0.0</v>
      </c>
      <c r="I412" s="10">
        <f>'Tolerances'!$B$11</f>
        <v>0.002</v>
      </c>
      <c r="J412" s="15" t="str">
        <f>IF(F412=0,IF(G412&lt;=0.000001,"PASS","FAIL"),IF(H412&lt;=I412,"PASS","FAIL"))</f>
        <v>PASS</v>
      </c>
      <c r="K412" t="inlineStr">
        <is>
          <t xml:space="preserve"/>
        </is>
      </c>
    </row>
    <row r="413">
      <c r="A413" t="inlineStr">
        <is>
          <t xml:space="preserve">CAT</t>
        </is>
      </c>
      <c r="B413" t="inlineStr">
        <is>
          <t xml:space="preserve">Table 4 -- Operating margin</t>
        </is>
      </c>
      <c r="C413" t="inlineStr">
        <is>
          <t xml:space="preserve">Margin=50.0000%</t>
        </is>
      </c>
      <c r="D413" t="inlineStr">
        <is>
          <t xml:space="preserve">Intrinsic Value per Share</t>
        </is>
      </c>
      <c r="E413" s="7">
        <v>648.091009675034</v>
      </c>
      <c r="F413" s="7">
        <v>648.091009675034</v>
      </c>
      <c r="G413" s="12">
        <f>ABS(E413-F413)</f>
        <v>0.0</v>
      </c>
      <c r="H413" s="10">
        <f>IF(F413=0,"n/a (zero denom)",G413/ABS(F413))</f>
        <v>0.0</v>
      </c>
      <c r="I413" s="10">
        <f>'Tolerances'!$B$13</f>
        <v>0.005</v>
      </c>
      <c r="J413" s="15" t="str">
        <f>IF(F413=0,IF(G413&lt;=0.000001,"PASS","FAIL"),IF(H413&lt;=I413,"PASS","FAIL"))</f>
        <v>PASS</v>
      </c>
      <c r="K413" t="inlineStr">
        <is>
          <t xml:space="preserve"/>
        </is>
      </c>
    </row>
    <row r="414">
      <c r="A414" t="inlineStr">
        <is>
          <t xml:space="preserve">CAT</t>
        </is>
      </c>
      <c r="B414" t="inlineStr">
        <is>
          <t xml:space="preserve">Table 4 -- Operating margin</t>
        </is>
      </c>
      <c r="C414" t="inlineStr">
        <is>
          <t xml:space="preserve">Margin=60.0000%</t>
        </is>
      </c>
      <c r="D414" t="inlineStr">
        <is>
          <t xml:space="preserve">FCF Year 1</t>
        </is>
      </c>
      <c r="E414" s="6">
        <v>32305657623.62629</v>
      </c>
      <c r="F414" s="6">
        <v>32305657623.62629</v>
      </c>
      <c r="G414" s="11">
        <f>ABS(E414-F414)</f>
        <v>0.0</v>
      </c>
      <c r="H414" s="10">
        <f>IF(F414=0,"n/a (zero denom)",G414/ABS(F414))</f>
        <v>0.0</v>
      </c>
      <c r="I414" s="10">
        <f>'Tolerances'!$B$6</f>
        <v>0.001</v>
      </c>
      <c r="J414" s="15" t="str">
        <f>IF(F414=0,IF(G414&lt;=0.000001,"PASS","FAIL"),IF(H414&lt;=I414,"PASS","FAIL"))</f>
        <v>PASS</v>
      </c>
      <c r="K414" t="inlineStr">
        <is>
          <t xml:space="preserve"/>
        </is>
      </c>
    </row>
    <row r="415">
      <c r="A415" t="inlineStr">
        <is>
          <t xml:space="preserve">CAT</t>
        </is>
      </c>
      <c r="B415" t="inlineStr">
        <is>
          <t xml:space="preserve">Table 4 -- Operating margin</t>
        </is>
      </c>
      <c r="C415" t="inlineStr">
        <is>
          <t xml:space="preserve">Margin=60.0000%</t>
        </is>
      </c>
      <c r="D415" t="inlineStr">
        <is>
          <t xml:space="preserve">FCF Year 2</t>
        </is>
      </c>
      <c r="E415" s="6">
        <v>34667043292.09047</v>
      </c>
      <c r="F415" s="6">
        <v>34667043292.09047</v>
      </c>
      <c r="G415" s="11">
        <f>ABS(E415-F415)</f>
        <v>0.0</v>
      </c>
      <c r="H415" s="10">
        <f>IF(F415=0,"n/a (zero denom)",G415/ABS(F415))</f>
        <v>0.0</v>
      </c>
      <c r="I415" s="10">
        <f>'Tolerances'!$B$6</f>
        <v>0.001</v>
      </c>
      <c r="J415" s="15" t="str">
        <f>IF(F415=0,IF(G415&lt;=0.000001,"PASS","FAIL"),IF(H415&lt;=I415,"PASS","FAIL"))</f>
        <v>PASS</v>
      </c>
      <c r="K415" t="inlineStr">
        <is>
          <t xml:space="preserve"/>
        </is>
      </c>
    </row>
    <row r="416">
      <c r="A416" t="inlineStr">
        <is>
          <t xml:space="preserve">CAT</t>
        </is>
      </c>
      <c r="B416" t="inlineStr">
        <is>
          <t xml:space="preserve">Table 4 -- Operating margin</t>
        </is>
      </c>
      <c r="C416" t="inlineStr">
        <is>
          <t xml:space="preserve">Margin=60.0000%</t>
        </is>
      </c>
      <c r="D416" t="inlineStr">
        <is>
          <t xml:space="preserve">FCF Year 3</t>
        </is>
      </c>
      <c r="E416" s="6">
        <v>37201034710.92173</v>
      </c>
      <c r="F416" s="6">
        <v>37201034710.92173</v>
      </c>
      <c r="G416" s="11">
        <f>ABS(E416-F416)</f>
        <v>0.0</v>
      </c>
      <c r="H416" s="10">
        <f>IF(F416=0,"n/a (zero denom)",G416/ABS(F416))</f>
        <v>0.0</v>
      </c>
      <c r="I416" s="10">
        <f>'Tolerances'!$B$6</f>
        <v>0.001</v>
      </c>
      <c r="J416" s="15" t="str">
        <f>IF(F416=0,IF(G416&lt;=0.000001,"PASS","FAIL"),IF(H416&lt;=I416,"PASS","FAIL"))</f>
        <v>PASS</v>
      </c>
      <c r="K416" t="inlineStr">
        <is>
          <t xml:space="preserve"/>
        </is>
      </c>
    </row>
    <row r="417">
      <c r="A417" t="inlineStr">
        <is>
          <t xml:space="preserve">CAT</t>
        </is>
      </c>
      <c r="B417" t="inlineStr">
        <is>
          <t xml:space="preserve">Table 4 -- Operating margin</t>
        </is>
      </c>
      <c r="C417" t="inlineStr">
        <is>
          <t xml:space="preserve">Margin=60.0000%</t>
        </is>
      </c>
      <c r="D417" t="inlineStr">
        <is>
          <t xml:space="preserve">FCF Year 4</t>
        </is>
      </c>
      <c r="E417" s="6">
        <v>39920248516.808304</v>
      </c>
      <c r="F417" s="6">
        <v>39920248516.808304</v>
      </c>
      <c r="G417" s="11">
        <f>ABS(E417-F417)</f>
        <v>0.0</v>
      </c>
      <c r="H417" s="10">
        <f>IF(F417=0,"n/a (zero denom)",G417/ABS(F417))</f>
        <v>0.0</v>
      </c>
      <c r="I417" s="10">
        <f>'Tolerances'!$B$6</f>
        <v>0.001</v>
      </c>
      <c r="J417" s="15" t="str">
        <f>IF(F417=0,IF(G417&lt;=0.000001,"PASS","FAIL"),IF(H417&lt;=I417,"PASS","FAIL"))</f>
        <v>PASS</v>
      </c>
      <c r="K417" t="inlineStr">
        <is>
          <t xml:space="preserve"/>
        </is>
      </c>
    </row>
    <row r="418">
      <c r="A418" t="inlineStr">
        <is>
          <t xml:space="preserve">CAT</t>
        </is>
      </c>
      <c r="B418" t="inlineStr">
        <is>
          <t xml:space="preserve">Table 4 -- Operating margin</t>
        </is>
      </c>
      <c r="C418" t="inlineStr">
        <is>
          <t xml:space="preserve">Margin=60.0000%</t>
        </is>
      </c>
      <c r="D418" t="inlineStr">
        <is>
          <t xml:space="preserve">FCF Year 5</t>
        </is>
      </c>
      <c r="E418" s="6">
        <v>42838223560.91263</v>
      </c>
      <c r="F418" s="6">
        <v>42838223560.91263</v>
      </c>
      <c r="G418" s="11">
        <f>ABS(E418-F418)</f>
        <v>0.0</v>
      </c>
      <c r="H418" s="10">
        <f>IF(F418=0,"n/a (zero denom)",G418/ABS(F418))</f>
        <v>0.0</v>
      </c>
      <c r="I418" s="10">
        <f>'Tolerances'!$B$6</f>
        <v>0.001</v>
      </c>
      <c r="J418" s="15" t="str">
        <f>IF(F418=0,IF(G418&lt;=0.000001,"PASS","FAIL"),IF(H418&lt;=I418,"PASS","FAIL"))</f>
        <v>PASS</v>
      </c>
      <c r="K418" t="inlineStr">
        <is>
          <t xml:space="preserve"/>
        </is>
      </c>
    </row>
    <row r="419">
      <c r="A419" t="inlineStr">
        <is>
          <t xml:space="preserve">CAT</t>
        </is>
      </c>
      <c r="B419" t="inlineStr">
        <is>
          <t xml:space="preserve">Table 4 -- Operating margin</t>
        </is>
      </c>
      <c r="C419" t="inlineStr">
        <is>
          <t xml:space="preserve">Margin=60.0000%</t>
        </is>
      </c>
      <c r="D419" t="inlineStr">
        <is>
          <t xml:space="preserve">Terminal Value</t>
        </is>
      </c>
      <c r="E419" s="6">
        <v>457583892810.7091</v>
      </c>
      <c r="F419" s="6">
        <v>457583892810.7091</v>
      </c>
      <c r="G419" s="11">
        <f>ABS(E419-F419)</f>
        <v>0.0</v>
      </c>
      <c r="H419" s="10">
        <f>IF(F419=0,"n/a (zero denom)",G419/ABS(F419))</f>
        <v>0.0</v>
      </c>
      <c r="I419" s="10">
        <f>'Tolerances'!$B$7</f>
        <v>0.002</v>
      </c>
      <c r="J419" s="15" t="str">
        <f>IF(F419=0,IF(G419&lt;=0.000001,"PASS","FAIL"),IF(H419&lt;=I419,"PASS","FAIL"))</f>
        <v>PASS</v>
      </c>
      <c r="K419" t="inlineStr">
        <is>
          <t xml:space="preserve"/>
        </is>
      </c>
    </row>
    <row r="420">
      <c r="A420" t="inlineStr">
        <is>
          <t xml:space="preserve">CAT</t>
        </is>
      </c>
      <c r="B420" t="inlineStr">
        <is>
          <t xml:space="preserve">Table 4 -- Operating margin</t>
        </is>
      </c>
      <c r="C420" t="inlineStr">
        <is>
          <t xml:space="preserve">Margin=60.0000%</t>
        </is>
      </c>
      <c r="D420" t="inlineStr">
        <is>
          <t xml:space="preserve">Enterprise Value</t>
        </is>
      </c>
      <c r="E420" s="6">
        <v>390843904278.1433</v>
      </c>
      <c r="F420" s="6">
        <v>390843904278.1433</v>
      </c>
      <c r="G420" s="11">
        <f>ABS(E420-F420)</f>
        <v>0.0</v>
      </c>
      <c r="H420" s="10">
        <f>IF(F420=0,"n/a (zero denom)",G420/ABS(F420))</f>
        <v>0.0</v>
      </c>
      <c r="I420" s="10">
        <f>'Tolerances'!$B$10</f>
        <v>0.002</v>
      </c>
      <c r="J420" s="15" t="str">
        <f>IF(F420=0,IF(G420&lt;=0.000001,"PASS","FAIL"),IF(H420&lt;=I420,"PASS","FAIL"))</f>
        <v>PASS</v>
      </c>
      <c r="K420" t="inlineStr">
        <is>
          <t xml:space="preserve"/>
        </is>
      </c>
    </row>
    <row r="421">
      <c r="A421" t="inlineStr">
        <is>
          <t xml:space="preserve">CAT</t>
        </is>
      </c>
      <c r="B421" t="inlineStr">
        <is>
          <t xml:space="preserve">Table 4 -- Operating margin</t>
        </is>
      </c>
      <c r="C421" t="inlineStr">
        <is>
          <t xml:space="preserve">Margin=60.0000%</t>
        </is>
      </c>
      <c r="D421" t="inlineStr">
        <is>
          <t xml:space="preserve">Equity Value</t>
        </is>
      </c>
      <c r="E421" s="6">
        <v>364613904278.1433</v>
      </c>
      <c r="F421" s="6">
        <v>364613904278.1433</v>
      </c>
      <c r="G421" s="11">
        <f>ABS(E421-F421)</f>
        <v>0.0</v>
      </c>
      <c r="H421" s="10">
        <f>IF(F421=0,"n/a (zero denom)",G421/ABS(F421))</f>
        <v>0.0</v>
      </c>
      <c r="I421" s="10">
        <f>'Tolerances'!$B$11</f>
        <v>0.002</v>
      </c>
      <c r="J421" s="15" t="str">
        <f>IF(F421=0,IF(G421&lt;=0.000001,"PASS","FAIL"),IF(H421&lt;=I421,"PASS","FAIL"))</f>
        <v>PASS</v>
      </c>
      <c r="K421" t="inlineStr">
        <is>
          <t xml:space="preserve"/>
        </is>
      </c>
    </row>
    <row r="422">
      <c r="A422" t="inlineStr">
        <is>
          <t xml:space="preserve">CAT</t>
        </is>
      </c>
      <c r="B422" t="inlineStr">
        <is>
          <t xml:space="preserve">Table 4 -- Operating margin</t>
        </is>
      </c>
      <c r="C422" t="inlineStr">
        <is>
          <t xml:space="preserve">Margin=60.0000%</t>
        </is>
      </c>
      <c r="D422" t="inlineStr">
        <is>
          <t xml:space="preserve">Intrinsic Value per Share</t>
        </is>
      </c>
      <c r="E422" s="7">
        <v>793.1995264551928</v>
      </c>
      <c r="F422" s="7">
        <v>793.1995264551928</v>
      </c>
      <c r="G422" s="12">
        <f>ABS(E422-F422)</f>
        <v>0.0</v>
      </c>
      <c r="H422" s="10">
        <f>IF(F422=0,"n/a (zero denom)",G422/ABS(F422))</f>
        <v>0.0</v>
      </c>
      <c r="I422" s="10">
        <f>'Tolerances'!$B$13</f>
        <v>0.005</v>
      </c>
      <c r="J422" s="15" t="str">
        <f>IF(F422=0,IF(G422&lt;=0.000001,"PASS","FAIL"),IF(H422&lt;=I422,"PASS","FAIL"))</f>
        <v>PASS</v>
      </c>
      <c r="K422" t="inlineStr">
        <is>
          <t xml:space="preserve"/>
        </is>
      </c>
    </row>
    <row r="423">
      <c r="A423" t="inlineStr">
        <is>
          <t xml:space="preserve">CAT</t>
        </is>
      </c>
      <c r="B423" t="inlineStr">
        <is>
          <t xml:space="preserve">Table 5 -- WACC x g two-way grid</t>
        </is>
      </c>
      <c r="C423" t="inlineStr">
        <is>
          <t xml:space="preserve">WACC=5.0000%, g=0.0000%</t>
        </is>
      </c>
      <c r="D423" t="inlineStr">
        <is>
          <t xml:space="preserve">Intrinsic Value per Share</t>
        </is>
      </c>
      <c r="E423" s="7">
        <v>411.08042443220194</v>
      </c>
      <c r="F423" s="7">
        <v>411.08042443220194</v>
      </c>
      <c r="G423" s="12">
        <f>ABS(E423-F423)</f>
        <v>0.0</v>
      </c>
      <c r="H423" s="10">
        <f>IF(F423=0,"n/a (zero denom)",G423/ABS(F423))</f>
        <v>0.0</v>
      </c>
      <c r="I423" s="10">
        <f>'Tolerances'!$B$13</f>
        <v>0.005</v>
      </c>
      <c r="J423" s="15" t="str">
        <f>IF(F423=0,IF(G423&lt;=0.000001,"PASS","FAIL"),IF(H423&lt;=I423,"PASS","FAIL"))</f>
        <v>PASS</v>
      </c>
      <c r="K423" t="inlineStr">
        <is>
          <t xml:space="preserve"/>
        </is>
      </c>
    </row>
    <row r="424">
      <c r="A424" t="inlineStr">
        <is>
          <t xml:space="preserve">CAT</t>
        </is>
      </c>
      <c r="B424" t="inlineStr">
        <is>
          <t xml:space="preserve">Table 5 -- WACC x g two-way grid</t>
        </is>
      </c>
      <c r="C424" t="inlineStr">
        <is>
          <t xml:space="preserve">WACC=5.0000%, g=1.0000%</t>
        </is>
      </c>
      <c r="D424" t="inlineStr">
        <is>
          <t xml:space="preserve">Intrinsic Value per Share</t>
        </is>
      </c>
      <c r="E424" s="7">
        <v>510.2256956394577</v>
      </c>
      <c r="F424" s="7">
        <v>510.2256956394577</v>
      </c>
      <c r="G424" s="12">
        <f>ABS(E424-F424)</f>
        <v>0.0</v>
      </c>
      <c r="H424" s="10">
        <f>IF(F424=0,"n/a (zero denom)",G424/ABS(F424))</f>
        <v>0.0</v>
      </c>
      <c r="I424" s="10">
        <f>'Tolerances'!$B$13</f>
        <v>0.005</v>
      </c>
      <c r="J424" s="15" t="str">
        <f>IF(F424=0,IF(G424&lt;=0.000001,"PASS","FAIL"),IF(H424&lt;=I424,"PASS","FAIL"))</f>
        <v>PASS</v>
      </c>
      <c r="K424" t="inlineStr">
        <is>
          <t xml:space="preserve"/>
        </is>
      </c>
    </row>
    <row r="425">
      <c r="A425" t="inlineStr">
        <is>
          <t xml:space="preserve">CAT</t>
        </is>
      </c>
      <c r="B425" t="inlineStr">
        <is>
          <t xml:space="preserve">Table 5 -- WACC x g two-way grid</t>
        </is>
      </c>
      <c r="C425" t="inlineStr">
        <is>
          <t xml:space="preserve">WACC=5.0000%, g=2.0000%</t>
        </is>
      </c>
      <c r="D425" t="inlineStr">
        <is>
          <t xml:space="preserve">Intrinsic Value per Share</t>
        </is>
      </c>
      <c r="E425" s="7">
        <v>675.4678143182173</v>
      </c>
      <c r="F425" s="7">
        <v>675.4678143182173</v>
      </c>
      <c r="G425" s="12">
        <f>ABS(E425-F425)</f>
        <v>0.0</v>
      </c>
      <c r="H425" s="10">
        <f>IF(F425=0,"n/a (zero denom)",G425/ABS(F425))</f>
        <v>0.0</v>
      </c>
      <c r="I425" s="10">
        <f>'Tolerances'!$B$13</f>
        <v>0.005</v>
      </c>
      <c r="J425" s="15" t="str">
        <f>IF(F425=0,IF(G425&lt;=0.000001,"PASS","FAIL"),IF(H425&lt;=I425,"PASS","FAIL"))</f>
        <v>PASS</v>
      </c>
      <c r="K425" t="inlineStr">
        <is>
          <t xml:space="preserve"/>
        </is>
      </c>
    </row>
    <row r="426">
      <c r="A426" t="inlineStr">
        <is>
          <t xml:space="preserve">CAT</t>
        </is>
      </c>
      <c r="B426" t="inlineStr">
        <is>
          <t xml:space="preserve">Table 5 -- WACC x g two-way grid</t>
        </is>
      </c>
      <c r="C426" t="inlineStr">
        <is>
          <t xml:space="preserve">WACC=5.0000%, g=3.0000%</t>
        </is>
      </c>
      <c r="D426" t="inlineStr">
        <is>
          <t xml:space="preserve">Intrinsic Value per Share</t>
        </is>
      </c>
      <c r="E426" s="7">
        <v>1005.952051675736</v>
      </c>
      <c r="F426" s="7">
        <v>1005.952051675736</v>
      </c>
      <c r="G426" s="12">
        <f>ABS(E426-F426)</f>
        <v>0.0</v>
      </c>
      <c r="H426" s="10">
        <f>IF(F426=0,"n/a (zero denom)",G426/ABS(F426))</f>
        <v>0.0</v>
      </c>
      <c r="I426" s="10">
        <f>'Tolerances'!$B$13</f>
        <v>0.005</v>
      </c>
      <c r="J426" s="15" t="str">
        <f>IF(F426=0,IF(G426&lt;=0.000001,"PASS","FAIL"),IF(H426&lt;=I426,"PASS","FAIL"))</f>
        <v>PASS</v>
      </c>
      <c r="K426" t="inlineStr">
        <is>
          <t xml:space="preserve"/>
        </is>
      </c>
    </row>
    <row r="427">
      <c r="A427" t="inlineStr">
        <is>
          <t xml:space="preserve">CAT</t>
        </is>
      </c>
      <c r="B427" t="inlineStr">
        <is>
          <t xml:space="preserve">Table 5 -- WACC x g two-way grid</t>
        </is>
      </c>
      <c r="C427" t="inlineStr">
        <is>
          <t xml:space="preserve">WACC=5.0000%, g=4.0000%</t>
        </is>
      </c>
      <c r="D427" t="inlineStr">
        <is>
          <t xml:space="preserve">Intrinsic Value per Share</t>
        </is>
      </c>
      <c r="E427" s="7">
        <v>1997.4047637482936</v>
      </c>
      <c r="F427" s="7">
        <v>1997.4047637482936</v>
      </c>
      <c r="G427" s="12">
        <f>ABS(E427-F427)</f>
        <v>0.0</v>
      </c>
      <c r="H427" s="10">
        <f>IF(F427=0,"n/a (zero denom)",G427/ABS(F427))</f>
        <v>0.0</v>
      </c>
      <c r="I427" s="10">
        <f>'Tolerances'!$B$13</f>
        <v>0.005</v>
      </c>
      <c r="J427" s="15" t="str">
        <f>IF(F427=0,IF(G427&lt;=0.000001,"PASS","FAIL"),IF(H427&lt;=I427,"PASS","FAIL"))</f>
        <v>PASS</v>
      </c>
      <c r="K427" t="inlineStr">
        <is>
          <t xml:space="preserve"/>
        </is>
      </c>
    </row>
    <row r="428">
      <c r="A428" t="inlineStr">
        <is>
          <t xml:space="preserve">CAT</t>
        </is>
      </c>
      <c r="B428" t="inlineStr">
        <is>
          <t xml:space="preserve">Table 5 -- WACC x g two-way grid</t>
        </is>
      </c>
      <c r="C428" t="inlineStr">
        <is>
          <t xml:space="preserve">WACC=5.0000%, g=5.0000%</t>
        </is>
      </c>
      <c r="D428" t="inlineStr">
        <is>
          <t xml:space="preserve">Intrinsic Value per Share</t>
        </is>
      </c>
      <c r="E428" s="4" t="inlineStr">
        <is>
          <t xml:space="preserve">n/a</t>
        </is>
      </c>
      <c r="F428" s="4" t="inlineStr">
        <is>
          <t xml:space="preserve">n/a</t>
        </is>
      </c>
      <c r="G428" s="4" t="inlineStr">
        <is>
          <t xml:space="preserve">n/a</t>
        </is>
      </c>
      <c r="H428" s="4" t="inlineStr">
        <is>
          <t xml:space="preserve">n/a</t>
        </is>
      </c>
      <c r="I428" s="10">
        <f>'Tolerances'!$B$13</f>
        <v>0.005</v>
      </c>
      <c r="J428" s="15" t="inlineStr">
        <is>
          <t xml:space="preserve">PASS</t>
        </is>
      </c>
      <c r="K428" t="inlineStr">
        <is>
          <t xml:space="preserve">Both sides report the invalid-combination marker; exact string equality, not a numeric/tolerance comparison.</t>
        </is>
      </c>
    </row>
    <row r="429">
      <c r="A429" t="inlineStr">
        <is>
          <t xml:space="preserve">CAT</t>
        </is>
      </c>
      <c r="B429" t="inlineStr">
        <is>
          <t xml:space="preserve">Table 5 -- WACC x g two-way grid</t>
        </is>
      </c>
      <c r="C429" t="inlineStr">
        <is>
          <t xml:space="preserve">WACC=8.0000%, g=0.0000%</t>
        </is>
      </c>
      <c r="D429" t="inlineStr">
        <is>
          <t xml:space="preserve">Intrinsic Value per Share</t>
        </is>
      </c>
      <c r="E429" s="7">
        <v>231.06407213859544</v>
      </c>
      <c r="F429" s="7">
        <v>231.06407213859544</v>
      </c>
      <c r="G429" s="12">
        <f>ABS(E429-F429)</f>
        <v>0.0</v>
      </c>
      <c r="H429" s="10">
        <f>IF(F429=0,"n/a (zero denom)",G429/ABS(F429))</f>
        <v>0.0</v>
      </c>
      <c r="I429" s="10">
        <f>'Tolerances'!$B$13</f>
        <v>0.005</v>
      </c>
      <c r="J429" s="15" t="str">
        <f>IF(F429=0,IF(G429&lt;=0.000001,"PASS","FAIL"),IF(H429&lt;=I429,"PASS","FAIL"))</f>
        <v>PASS</v>
      </c>
      <c r="K429" t="inlineStr">
        <is>
          <t xml:space="preserve"/>
        </is>
      </c>
    </row>
    <row r="430">
      <c r="A430" t="inlineStr">
        <is>
          <t xml:space="preserve">CAT</t>
        </is>
      </c>
      <c r="B430" t="inlineStr">
        <is>
          <t xml:space="preserve">Table 5 -- WACC x g two-way grid</t>
        </is>
      </c>
      <c r="C430" t="inlineStr">
        <is>
          <t xml:space="preserve">WACC=8.0000%, g=1.0000%</t>
        </is>
      </c>
      <c r="D430" t="inlineStr">
        <is>
          <t xml:space="preserve">Intrinsic Value per Share</t>
        </is>
      </c>
      <c r="E430" s="7">
        <v>262.69967741244295</v>
      </c>
      <c r="F430" s="7">
        <v>262.69967741244295</v>
      </c>
      <c r="G430" s="12">
        <f>ABS(E430-F430)</f>
        <v>0.0</v>
      </c>
      <c r="H430" s="10">
        <f>IF(F430=0,"n/a (zero denom)",G430/ABS(F430))</f>
        <v>0.0</v>
      </c>
      <c r="I430" s="10">
        <f>'Tolerances'!$B$13</f>
        <v>0.005</v>
      </c>
      <c r="J430" s="15" t="str">
        <f>IF(F430=0,IF(G430&lt;=0.000001,"PASS","FAIL"),IF(H430&lt;=I430,"PASS","FAIL"))</f>
        <v>PASS</v>
      </c>
      <c r="K430" t="inlineStr">
        <is>
          <t xml:space="preserve"/>
        </is>
      </c>
    </row>
    <row r="431">
      <c r="A431" t="inlineStr">
        <is>
          <t xml:space="preserve">CAT</t>
        </is>
      </c>
      <c r="B431" t="inlineStr">
        <is>
          <t xml:space="preserve">Table 5 -- WACC x g two-way grid</t>
        </is>
      </c>
      <c r="C431" t="inlineStr">
        <is>
          <t xml:space="preserve">WACC=8.0000%, g=2.0000%</t>
        </is>
      </c>
      <c r="D431" t="inlineStr">
        <is>
          <t xml:space="preserve">Intrinsic Value per Share</t>
        </is>
      </c>
      <c r="E431" s="7">
        <v>304.8804844442396</v>
      </c>
      <c r="F431" s="7">
        <v>304.8804844442396</v>
      </c>
      <c r="G431" s="12">
        <f>ABS(E431-F431)</f>
        <v>0.0</v>
      </c>
      <c r="H431" s="10">
        <f>IF(F431=0,"n/a (zero denom)",G431/ABS(F431))</f>
        <v>0.0</v>
      </c>
      <c r="I431" s="10">
        <f>'Tolerances'!$B$13</f>
        <v>0.005</v>
      </c>
      <c r="J431" s="15" t="str">
        <f>IF(F431=0,IF(G431&lt;=0.000001,"PASS","FAIL"),IF(H431&lt;=I431,"PASS","FAIL"))</f>
        <v>PASS</v>
      </c>
      <c r="K431" t="inlineStr">
        <is>
          <t xml:space="preserve"/>
        </is>
      </c>
    </row>
    <row r="432">
      <c r="A432" t="inlineStr">
        <is>
          <t xml:space="preserve">CAT</t>
        </is>
      </c>
      <c r="B432" t="inlineStr">
        <is>
          <t xml:space="preserve">Table 5 -- WACC x g two-way grid</t>
        </is>
      </c>
      <c r="C432" t="inlineStr">
        <is>
          <t xml:space="preserve">WACC=8.0000%, g=3.0000%</t>
        </is>
      </c>
      <c r="D432" t="inlineStr">
        <is>
          <t xml:space="preserve">Intrinsic Value per Share</t>
        </is>
      </c>
      <c r="E432" s="7">
        <v>363.9336142887549</v>
      </c>
      <c r="F432" s="7">
        <v>363.9336142887549</v>
      </c>
      <c r="G432" s="12">
        <f>ABS(E432-F432)</f>
        <v>0.0</v>
      </c>
      <c r="H432" s="10">
        <f>IF(F432=0,"n/a (zero denom)",G432/ABS(F432))</f>
        <v>0.0</v>
      </c>
      <c r="I432" s="10">
        <f>'Tolerances'!$B$13</f>
        <v>0.005</v>
      </c>
      <c r="J432" s="15" t="str">
        <f>IF(F432=0,IF(G432&lt;=0.000001,"PASS","FAIL"),IF(H432&lt;=I432,"PASS","FAIL"))</f>
        <v>PASS</v>
      </c>
      <c r="K432" t="inlineStr">
        <is>
          <t xml:space="preserve"/>
        </is>
      </c>
    </row>
    <row r="433">
      <c r="A433" t="inlineStr">
        <is>
          <t xml:space="preserve">CAT</t>
        </is>
      </c>
      <c r="B433" t="inlineStr">
        <is>
          <t xml:space="preserve">Table 5 -- WACC x g two-way grid</t>
        </is>
      </c>
      <c r="C433" t="inlineStr">
        <is>
          <t xml:space="preserve">WACC=8.0000%, g=4.0000%</t>
        </is>
      </c>
      <c r="D433" t="inlineStr">
        <is>
          <t xml:space="preserve">Intrinsic Value per Share</t>
        </is>
      </c>
      <c r="E433" s="7">
        <v>452.5133090555279</v>
      </c>
      <c r="F433" s="7">
        <v>452.5133090555279</v>
      </c>
      <c r="G433" s="12">
        <f>ABS(E433-F433)</f>
        <v>0.0</v>
      </c>
      <c r="H433" s="10">
        <f>IF(F433=0,"n/a (zero denom)",G433/ABS(F433))</f>
        <v>0.0</v>
      </c>
      <c r="I433" s="10">
        <f>'Tolerances'!$B$13</f>
        <v>0.005</v>
      </c>
      <c r="J433" s="15" t="str">
        <f>IF(F433=0,IF(G433&lt;=0.000001,"PASS","FAIL"),IF(H433&lt;=I433,"PASS","FAIL"))</f>
        <v>PASS</v>
      </c>
      <c r="K433" t="inlineStr">
        <is>
          <t xml:space="preserve"/>
        </is>
      </c>
    </row>
    <row r="434">
      <c r="A434" t="inlineStr">
        <is>
          <t xml:space="preserve">CAT</t>
        </is>
      </c>
      <c r="B434" t="inlineStr">
        <is>
          <t xml:space="preserve">Table 5 -- WACC x g two-way grid</t>
        </is>
      </c>
      <c r="C434" t="inlineStr">
        <is>
          <t xml:space="preserve">WACC=8.0000%, g=5.0000%</t>
        </is>
      </c>
      <c r="D434" t="inlineStr">
        <is>
          <t xml:space="preserve">Intrinsic Value per Share</t>
        </is>
      </c>
      <c r="E434" s="7">
        <v>600.1461336668161</v>
      </c>
      <c r="F434" s="7">
        <v>600.1461336668161</v>
      </c>
      <c r="G434" s="12">
        <f>ABS(E434-F434)</f>
        <v>0.0</v>
      </c>
      <c r="H434" s="10">
        <f>IF(F434=0,"n/a (zero denom)",G434/ABS(F434))</f>
        <v>0.0</v>
      </c>
      <c r="I434" s="10">
        <f>'Tolerances'!$B$13</f>
        <v>0.005</v>
      </c>
      <c r="J434" s="15" t="str">
        <f>IF(F434=0,IF(G434&lt;=0.000001,"PASS","FAIL"),IF(H434&lt;=I434,"PASS","FAIL"))</f>
        <v>PASS</v>
      </c>
      <c r="K434" t="inlineStr">
        <is>
          <t xml:space="preserve"/>
        </is>
      </c>
    </row>
    <row r="435">
      <c r="A435" t="inlineStr">
        <is>
          <t xml:space="preserve">CAT</t>
        </is>
      </c>
      <c r="B435" t="inlineStr">
        <is>
          <t xml:space="preserve">Table 5 -- WACC x g two-way grid</t>
        </is>
      </c>
      <c r="C435" t="inlineStr">
        <is>
          <t xml:space="preserve">WACC=11.0000%, g=0.0000%</t>
        </is>
      </c>
      <c r="D435" t="inlineStr">
        <is>
          <t xml:space="preserve">Intrinsic Value per Share</t>
        </is>
      </c>
      <c r="E435" s="7">
        <v>149.57942271129045</v>
      </c>
      <c r="F435" s="7">
        <v>149.57942271129045</v>
      </c>
      <c r="G435" s="12">
        <f>ABS(E435-F435)</f>
        <v>0.0</v>
      </c>
      <c r="H435" s="10">
        <f>IF(F435=0,"n/a (zero denom)",G435/ABS(F435))</f>
        <v>0.0</v>
      </c>
      <c r="I435" s="10">
        <f>'Tolerances'!$B$13</f>
        <v>0.005</v>
      </c>
      <c r="J435" s="15" t="str">
        <f>IF(F435=0,IF(G435&lt;=0.000001,"PASS","FAIL"),IF(H435&lt;=I435,"PASS","FAIL"))</f>
        <v>PASS</v>
      </c>
      <c r="K435" t="inlineStr">
        <is>
          <t xml:space="preserve"/>
        </is>
      </c>
    </row>
    <row r="436">
      <c r="A436" t="inlineStr">
        <is>
          <t xml:space="preserve">CAT</t>
        </is>
      </c>
      <c r="B436" t="inlineStr">
        <is>
          <t xml:space="preserve">Table 5 -- WACC x g two-way grid</t>
        </is>
      </c>
      <c r="C436" t="inlineStr">
        <is>
          <t xml:space="preserve">WACC=11.0000%, g=1.0000%</t>
        </is>
      </c>
      <c r="D436" t="inlineStr">
        <is>
          <t xml:space="preserve">Intrinsic Value per Share</t>
        </is>
      </c>
      <c r="E436" s="7">
        <v>164.0130204268828</v>
      </c>
      <c r="F436" s="7">
        <v>164.0130204268828</v>
      </c>
      <c r="G436" s="12">
        <f>ABS(E436-F436)</f>
        <v>0.0</v>
      </c>
      <c r="H436" s="10">
        <f>IF(F436=0,"n/a (zero denom)",G436/ABS(F436))</f>
        <v>0.0</v>
      </c>
      <c r="I436" s="10">
        <f>'Tolerances'!$B$13</f>
        <v>0.005</v>
      </c>
      <c r="J436" s="15" t="str">
        <f>IF(F436=0,IF(G436&lt;=0.000001,"PASS","FAIL"),IF(H436&lt;=I436,"PASS","FAIL"))</f>
        <v>PASS</v>
      </c>
      <c r="K436" t="inlineStr">
        <is>
          <t xml:space="preserve"/>
        </is>
      </c>
    </row>
    <row r="437">
      <c r="A437" t="inlineStr">
        <is>
          <t xml:space="preserve">CAT</t>
        </is>
      </c>
      <c r="B437" t="inlineStr">
        <is>
          <t xml:space="preserve">Table 5 -- WACC x g two-way grid</t>
        </is>
      </c>
      <c r="C437" t="inlineStr">
        <is>
          <t xml:space="preserve">WACC=11.0000%, g=2.0000%</t>
        </is>
      </c>
      <c r="D437" t="inlineStr">
        <is>
          <t xml:space="preserve">Intrinsic Value per Share</t>
        </is>
      </c>
      <c r="E437" s="7">
        <v>181.65408430149577</v>
      </c>
      <c r="F437" s="7">
        <v>181.65408430149577</v>
      </c>
      <c r="G437" s="12">
        <f>ABS(E437-F437)</f>
        <v>0.0</v>
      </c>
      <c r="H437" s="10">
        <f>IF(F437=0,"n/a (zero denom)",G437/ABS(F437))</f>
        <v>0.0</v>
      </c>
      <c r="I437" s="10">
        <f>'Tolerances'!$B$13</f>
        <v>0.005</v>
      </c>
      <c r="J437" s="15" t="str">
        <f>IF(F437=0,IF(G437&lt;=0.000001,"PASS","FAIL"),IF(H437&lt;=I437,"PASS","FAIL"))</f>
        <v>PASS</v>
      </c>
      <c r="K437" t="inlineStr">
        <is>
          <t xml:space="preserve"/>
        </is>
      </c>
    </row>
    <row r="438">
      <c r="A438" t="inlineStr">
        <is>
          <t xml:space="preserve">CAT</t>
        </is>
      </c>
      <c r="B438" t="inlineStr">
        <is>
          <t xml:space="preserve">Table 5 -- WACC x g two-way grid</t>
        </is>
      </c>
      <c r="C438" t="inlineStr">
        <is>
          <t xml:space="preserve">WACC=11.0000%, g=3.0000%</t>
        </is>
      </c>
      <c r="D438" t="inlineStr">
        <is>
          <t xml:space="preserve">Intrinsic Value per Share</t>
        </is>
      </c>
      <c r="E438" s="7">
        <v>203.70541414476193</v>
      </c>
      <c r="F438" s="7">
        <v>203.70541414476193</v>
      </c>
      <c r="G438" s="12">
        <f>ABS(E438-F438)</f>
        <v>0.0</v>
      </c>
      <c r="H438" s="10">
        <f>IF(F438=0,"n/a (zero denom)",G438/ABS(F438))</f>
        <v>0.0</v>
      </c>
      <c r="I438" s="10">
        <f>'Tolerances'!$B$13</f>
        <v>0.005</v>
      </c>
      <c r="J438" s="15" t="str">
        <f>IF(F438=0,IF(G438&lt;=0.000001,"PASS","FAIL"),IF(H438&lt;=I438,"PASS","FAIL"))</f>
        <v>PASS</v>
      </c>
      <c r="K438" t="inlineStr">
        <is>
          <t xml:space="preserve"/>
        </is>
      </c>
    </row>
    <row r="439">
      <c r="A439" t="inlineStr">
        <is>
          <t xml:space="preserve">CAT</t>
        </is>
      </c>
      <c r="B439" t="inlineStr">
        <is>
          <t xml:space="preserve">Table 5 -- WACC x g two-way grid</t>
        </is>
      </c>
      <c r="C439" t="inlineStr">
        <is>
          <t xml:space="preserve">WACC=11.0000%, g=4.0000%</t>
        </is>
      </c>
      <c r="D439" t="inlineStr">
        <is>
          <t xml:space="preserve">Intrinsic Value per Share</t>
        </is>
      </c>
      <c r="E439" s="7">
        <v>232.05712394324706</v>
      </c>
      <c r="F439" s="7">
        <v>232.05712394324706</v>
      </c>
      <c r="G439" s="12">
        <f>ABS(E439-F439)</f>
        <v>0.0</v>
      </c>
      <c r="H439" s="10">
        <f>IF(F439=0,"n/a (zero denom)",G439/ABS(F439))</f>
        <v>0.0</v>
      </c>
      <c r="I439" s="10">
        <f>'Tolerances'!$B$13</f>
        <v>0.005</v>
      </c>
      <c r="J439" s="15" t="str">
        <f>IF(F439=0,IF(G439&lt;=0.000001,"PASS","FAIL"),IF(H439&lt;=I439,"PASS","FAIL"))</f>
        <v>PASS</v>
      </c>
      <c r="K439" t="inlineStr">
        <is>
          <t xml:space="preserve"/>
        </is>
      </c>
    </row>
    <row r="440">
      <c r="A440" t="inlineStr">
        <is>
          <t xml:space="preserve">CAT</t>
        </is>
      </c>
      <c r="B440" t="inlineStr">
        <is>
          <t xml:space="preserve">Table 5 -- WACC x g two-way grid</t>
        </is>
      </c>
      <c r="C440" t="inlineStr">
        <is>
          <t xml:space="preserve">WACC=11.0000%, g=5.0000%</t>
        </is>
      </c>
      <c r="D440" t="inlineStr">
        <is>
          <t xml:space="preserve">Intrinsic Value per Share</t>
        </is>
      </c>
      <c r="E440" s="7">
        <v>269.85940367456055</v>
      </c>
      <c r="F440" s="7">
        <v>269.85940367456055</v>
      </c>
      <c r="G440" s="12">
        <f>ABS(E440-F440)</f>
        <v>0.0</v>
      </c>
      <c r="H440" s="10">
        <f>IF(F440=0,"n/a (zero denom)",G440/ABS(F440))</f>
        <v>0.0</v>
      </c>
      <c r="I440" s="10">
        <f>'Tolerances'!$B$13</f>
        <v>0.005</v>
      </c>
      <c r="J440" s="15" t="str">
        <f>IF(F440=0,IF(G440&lt;=0.000001,"PASS","FAIL"),IF(H440&lt;=I440,"PASS","FAIL"))</f>
        <v>PASS</v>
      </c>
      <c r="K440" t="inlineStr">
        <is>
          <t xml:space="preserve"/>
        </is>
      </c>
    </row>
    <row r="441">
      <c r="A441" t="inlineStr">
        <is>
          <t xml:space="preserve">CAT</t>
        </is>
      </c>
      <c r="B441" t="inlineStr">
        <is>
          <t xml:space="preserve">Table 5 -- WACC x g two-way grid</t>
        </is>
      </c>
      <c r="C441" t="inlineStr">
        <is>
          <t xml:space="preserve">WACC=14.0000%, g=0.0000%</t>
        </is>
      </c>
      <c r="D441" t="inlineStr">
        <is>
          <t xml:space="preserve">Intrinsic Value per Share</t>
        </is>
      </c>
      <c r="E441" s="7">
        <v>103.24884602593842</v>
      </c>
      <c r="F441" s="7">
        <v>103.24884602593842</v>
      </c>
      <c r="G441" s="12">
        <f>ABS(E441-F441)</f>
        <v>0.0</v>
      </c>
      <c r="H441" s="10">
        <f>IF(F441=0,"n/a (zero denom)",G441/ABS(F441))</f>
        <v>0.0</v>
      </c>
      <c r="I441" s="10">
        <f>'Tolerances'!$B$13</f>
        <v>0.005</v>
      </c>
      <c r="J441" s="15" t="str">
        <f>IF(F441=0,IF(G441&lt;=0.000001,"PASS","FAIL"),IF(H441&lt;=I441,"PASS","FAIL"))</f>
        <v>PASS</v>
      </c>
      <c r="K441" t="inlineStr">
        <is>
          <t xml:space="preserve"/>
        </is>
      </c>
    </row>
    <row r="442">
      <c r="A442" t="inlineStr">
        <is>
          <t xml:space="preserve">CAT</t>
        </is>
      </c>
      <c r="B442" t="inlineStr">
        <is>
          <t xml:space="preserve">Table 5 -- WACC x g two-way grid</t>
        </is>
      </c>
      <c r="C442" t="inlineStr">
        <is>
          <t xml:space="preserve">WACC=14.0000%, g=1.0000%</t>
        </is>
      </c>
      <c r="D442" t="inlineStr">
        <is>
          <t xml:space="preserve">Intrinsic Value per Share</t>
        </is>
      </c>
      <c r="E442" s="7">
        <v>111.08979095712884</v>
      </c>
      <c r="F442" s="7">
        <v>111.08979095712884</v>
      </c>
      <c r="G442" s="12">
        <f>ABS(E442-F442)</f>
        <v>0.0</v>
      </c>
      <c r="H442" s="10">
        <f>IF(F442=0,"n/a (zero denom)",G442/ABS(F442))</f>
        <v>0.0</v>
      </c>
      <c r="I442" s="10">
        <f>'Tolerances'!$B$13</f>
        <v>0.005</v>
      </c>
      <c r="J442" s="15" t="str">
        <f>IF(F442=0,IF(G442&lt;=0.000001,"PASS","FAIL"),IF(H442&lt;=I442,"PASS","FAIL"))</f>
        <v>PASS</v>
      </c>
      <c r="K442" t="inlineStr">
        <is>
          <t xml:space="preserve"/>
        </is>
      </c>
    </row>
    <row r="443">
      <c r="A443" t="inlineStr">
        <is>
          <t xml:space="preserve">CAT</t>
        </is>
      </c>
      <c r="B443" t="inlineStr">
        <is>
          <t xml:space="preserve">Table 5 -- WACC x g two-way grid</t>
        </is>
      </c>
      <c r="C443" t="inlineStr">
        <is>
          <t xml:space="preserve">WACC=14.0000%, g=2.0000%</t>
        </is>
      </c>
      <c r="D443" t="inlineStr">
        <is>
          <t xml:space="preserve">Intrinsic Value per Share</t>
        </is>
      </c>
      <c r="E443" s="7">
        <v>120.23756004351765</v>
      </c>
      <c r="F443" s="7">
        <v>120.23756004351765</v>
      </c>
      <c r="G443" s="12">
        <f>ABS(E443-F443)</f>
        <v>0.0</v>
      </c>
      <c r="H443" s="10">
        <f>IF(F443=0,"n/a (zero denom)",G443/ABS(F443))</f>
        <v>0.0</v>
      </c>
      <c r="I443" s="10">
        <f>'Tolerances'!$B$13</f>
        <v>0.005</v>
      </c>
      <c r="J443" s="15" t="str">
        <f>IF(F443=0,IF(G443&lt;=0.000001,"PASS","FAIL"),IF(H443&lt;=I443,"PASS","FAIL"))</f>
        <v>PASS</v>
      </c>
      <c r="K443" t="inlineStr">
        <is>
          <t xml:space="preserve"/>
        </is>
      </c>
    </row>
    <row r="444">
      <c r="A444" t="inlineStr">
        <is>
          <t xml:space="preserve">CAT</t>
        </is>
      </c>
      <c r="B444" t="inlineStr">
        <is>
          <t xml:space="preserve">Table 5 -- WACC x g two-way grid</t>
        </is>
      </c>
      <c r="C444" t="inlineStr">
        <is>
          <t xml:space="preserve">WACC=14.0000%, g=3.0000%</t>
        </is>
      </c>
      <c r="D444" t="inlineStr">
        <is>
          <t xml:space="preserve">Intrinsic Value per Share</t>
        </is>
      </c>
      <c r="E444" s="7">
        <v>131.04855987288627</v>
      </c>
      <c r="F444" s="7">
        <v>131.04855987288627</v>
      </c>
      <c r="G444" s="12">
        <f>ABS(E444-F444)</f>
        <v>0.0</v>
      </c>
      <c r="H444" s="10">
        <f>IF(F444=0,"n/a (zero denom)",G444/ABS(F444))</f>
        <v>0.0</v>
      </c>
      <c r="I444" s="10">
        <f>'Tolerances'!$B$13</f>
        <v>0.005</v>
      </c>
      <c r="J444" s="15" t="str">
        <f>IF(F444=0,IF(G444&lt;=0.000001,"PASS","FAIL"),IF(H444&lt;=I444,"PASS","FAIL"))</f>
        <v>PASS</v>
      </c>
      <c r="K444" t="inlineStr">
        <is>
          <t xml:space="preserve"/>
        </is>
      </c>
    </row>
    <row r="445">
      <c r="A445" t="inlineStr">
        <is>
          <t xml:space="preserve">CAT</t>
        </is>
      </c>
      <c r="B445" t="inlineStr">
        <is>
          <t xml:space="preserve">Table 5 -- WACC x g two-way grid</t>
        </is>
      </c>
      <c r="C445" t="inlineStr">
        <is>
          <t xml:space="preserve">WACC=14.0000%, g=4.0000%</t>
        </is>
      </c>
      <c r="D445" t="inlineStr">
        <is>
          <t xml:space="preserve">Intrinsic Value per Share</t>
        </is>
      </c>
      <c r="E445" s="7">
        <v>144.02175966812857</v>
      </c>
      <c r="F445" s="7">
        <v>144.02175966812857</v>
      </c>
      <c r="G445" s="12">
        <f>ABS(E445-F445)</f>
        <v>0.0</v>
      </c>
      <c r="H445" s="10">
        <f>IF(F445=0,"n/a (zero denom)",G445/ABS(F445))</f>
        <v>0.0</v>
      </c>
      <c r="I445" s="10">
        <f>'Tolerances'!$B$13</f>
        <v>0.005</v>
      </c>
      <c r="J445" s="15" t="str">
        <f>IF(F445=0,IF(G445&lt;=0.000001,"PASS","FAIL"),IF(H445&lt;=I445,"PASS","FAIL"))</f>
        <v>PASS</v>
      </c>
      <c r="K445" t="inlineStr">
        <is>
          <t xml:space="preserve"/>
        </is>
      </c>
    </row>
    <row r="446">
      <c r="A446" t="inlineStr">
        <is>
          <t xml:space="preserve">CAT</t>
        </is>
      </c>
      <c r="B446" t="inlineStr">
        <is>
          <t xml:space="preserve">Table 5 -- WACC x g two-way grid</t>
        </is>
      </c>
      <c r="C446" t="inlineStr">
        <is>
          <t xml:space="preserve">WACC=14.0000%, g=5.0000%</t>
        </is>
      </c>
      <c r="D446" t="inlineStr">
        <is>
          <t xml:space="preserve">Intrinsic Value per Share</t>
        </is>
      </c>
      <c r="E446" s="7">
        <v>159.87789275120252</v>
      </c>
      <c r="F446" s="7">
        <v>159.87789275120252</v>
      </c>
      <c r="G446" s="12">
        <f>ABS(E446-F446)</f>
        <v>0.0</v>
      </c>
      <c r="H446" s="10">
        <f>IF(F446=0,"n/a (zero denom)",G446/ABS(F446))</f>
        <v>0.0</v>
      </c>
      <c r="I446" s="10">
        <f>'Tolerances'!$B$13</f>
        <v>0.005</v>
      </c>
      <c r="J446" s="15" t="str">
        <f>IF(F446=0,IF(G446&lt;=0.000001,"PASS","FAIL"),IF(H446&lt;=I446,"PASS","FAIL"))</f>
        <v>PASS</v>
      </c>
      <c r="K446" t="inlineStr">
        <is>
          <t xml:space="preserve"/>
        </is>
      </c>
    </row>
    <row r="447">
      <c r="A447" t="inlineStr">
        <is>
          <t xml:space="preserve">CAT</t>
        </is>
      </c>
      <c r="B447" t="inlineStr">
        <is>
          <t xml:space="preserve">Table 5 -- WACC x g two-way grid</t>
        </is>
      </c>
      <c r="C447" t="inlineStr">
        <is>
          <t xml:space="preserve">WACC=17.0000%, g=0.0000%</t>
        </is>
      </c>
      <c r="D447" t="inlineStr">
        <is>
          <t xml:space="preserve">Intrinsic Value per Share</t>
        </is>
      </c>
      <c r="E447" s="7">
        <v>73.43654028611303</v>
      </c>
      <c r="F447" s="7">
        <v>73.43654028611303</v>
      </c>
      <c r="G447" s="12">
        <f>ABS(E447-F447)</f>
        <v>0.0</v>
      </c>
      <c r="H447" s="10">
        <f>IF(F447=0,"n/a (zero denom)",G447/ABS(F447))</f>
        <v>0.0</v>
      </c>
      <c r="I447" s="10">
        <f>'Tolerances'!$B$13</f>
        <v>0.005</v>
      </c>
      <c r="J447" s="15" t="str">
        <f>IF(F447=0,IF(G447&lt;=0.000001,"PASS","FAIL"),IF(H447&lt;=I447,"PASS","FAIL"))</f>
        <v>PASS</v>
      </c>
      <c r="K447" t="inlineStr">
        <is>
          <t xml:space="preserve"/>
        </is>
      </c>
    </row>
    <row r="448">
      <c r="A448" t="inlineStr">
        <is>
          <t xml:space="preserve">CAT</t>
        </is>
      </c>
      <c r="B448" t="inlineStr">
        <is>
          <t xml:space="preserve">Table 5 -- WACC x g two-way grid</t>
        </is>
      </c>
      <c r="C448" t="inlineStr">
        <is>
          <t xml:space="preserve">WACC=17.0000%, g=1.0000%</t>
        </is>
      </c>
      <c r="D448" t="inlineStr">
        <is>
          <t xml:space="preserve">Intrinsic Value per Share</t>
        </is>
      </c>
      <c r="E448" s="7">
        <v>78.16529564019473</v>
      </c>
      <c r="F448" s="7">
        <v>78.16529564019473</v>
      </c>
      <c r="G448" s="12">
        <f>ABS(E448-F448)</f>
        <v>0.0</v>
      </c>
      <c r="H448" s="10">
        <f>IF(F448=0,"n/a (zero denom)",G448/ABS(F448))</f>
        <v>0.0</v>
      </c>
      <c r="I448" s="10">
        <f>'Tolerances'!$B$13</f>
        <v>0.005</v>
      </c>
      <c r="J448" s="15" t="str">
        <f>IF(F448=0,IF(G448&lt;=0.000001,"PASS","FAIL"),IF(H448&lt;=I448,"PASS","FAIL"))</f>
        <v>PASS</v>
      </c>
      <c r="K448" t="inlineStr">
        <is>
          <t xml:space="preserve"/>
        </is>
      </c>
    </row>
    <row r="449">
      <c r="A449" t="inlineStr">
        <is>
          <t xml:space="preserve">CAT</t>
        </is>
      </c>
      <c r="B449" t="inlineStr">
        <is>
          <t xml:space="preserve">Table 5 -- WACC x g two-way grid</t>
        </is>
      </c>
      <c r="C449" t="inlineStr">
        <is>
          <t xml:space="preserve">WACC=17.0000%, g=2.0000%</t>
        </is>
      </c>
      <c r="D449" t="inlineStr">
        <is>
          <t xml:space="preserve">Intrinsic Value per Share</t>
        </is>
      </c>
      <c r="E449" s="7">
        <v>83.52455170815395</v>
      </c>
      <c r="F449" s="7">
        <v>83.52455170815395</v>
      </c>
      <c r="G449" s="12">
        <f>ABS(E449-F449)</f>
        <v>0.0</v>
      </c>
      <c r="H449" s="10">
        <f>IF(F449=0,"n/a (zero denom)",G449/ABS(F449))</f>
        <v>0.0</v>
      </c>
      <c r="I449" s="10">
        <f>'Tolerances'!$B$13</f>
        <v>0.005</v>
      </c>
      <c r="J449" s="15" t="str">
        <f>IF(F449=0,IF(G449&lt;=0.000001,"PASS","FAIL"),IF(H449&lt;=I449,"PASS","FAIL"))</f>
        <v>PASS</v>
      </c>
      <c r="K449" t="inlineStr">
        <is>
          <t xml:space="preserve"/>
        </is>
      </c>
    </row>
    <row r="450">
      <c r="A450" t="inlineStr">
        <is>
          <t xml:space="preserve">CAT</t>
        </is>
      </c>
      <c r="B450" t="inlineStr">
        <is>
          <t xml:space="preserve">Table 5 -- WACC x g two-way grid</t>
        </is>
      </c>
      <c r="C450" t="inlineStr">
        <is>
          <t xml:space="preserve">WACC=17.0000%, g=3.0000%</t>
        </is>
      </c>
      <c r="D450" t="inlineStr">
        <is>
          <t xml:space="preserve">Intrinsic Value per Share</t>
        </is>
      </c>
      <c r="E450" s="7">
        <v>89.64941578582166</v>
      </c>
      <c r="F450" s="7">
        <v>89.64941578582166</v>
      </c>
      <c r="G450" s="12">
        <f>ABS(E450-F450)</f>
        <v>0.0</v>
      </c>
      <c r="H450" s="10">
        <f>IF(F450=0,"n/a (zero denom)",G450/ABS(F450))</f>
        <v>0.0</v>
      </c>
      <c r="I450" s="10">
        <f>'Tolerances'!$B$13</f>
        <v>0.005</v>
      </c>
      <c r="J450" s="15" t="str">
        <f>IF(F450=0,IF(G450&lt;=0.000001,"PASS","FAIL"),IF(H450&lt;=I450,"PASS","FAIL"))</f>
        <v>PASS</v>
      </c>
      <c r="K450" t="inlineStr">
        <is>
          <t xml:space="preserve"/>
        </is>
      </c>
    </row>
    <row r="451">
      <c r="A451" t="inlineStr">
        <is>
          <t xml:space="preserve">CAT</t>
        </is>
      </c>
      <c r="B451" t="inlineStr">
        <is>
          <t xml:space="preserve">Table 5 -- WACC x g two-way grid</t>
        </is>
      </c>
      <c r="C451" t="inlineStr">
        <is>
          <t xml:space="preserve">WACC=17.0000%, g=4.0000%</t>
        </is>
      </c>
      <c r="D451" t="inlineStr">
        <is>
          <t xml:space="preserve">Intrinsic Value per Share</t>
        </is>
      </c>
      <c r="E451" s="7">
        <v>96.71656664466902</v>
      </c>
      <c r="F451" s="7">
        <v>96.71656664466902</v>
      </c>
      <c r="G451" s="12">
        <f>ABS(E451-F451)</f>
        <v>0.0</v>
      </c>
      <c r="H451" s="10">
        <f>IF(F451=0,"n/a (zero denom)",G451/ABS(F451))</f>
        <v>0.0</v>
      </c>
      <c r="I451" s="10">
        <f>'Tolerances'!$B$13</f>
        <v>0.005</v>
      </c>
      <c r="J451" s="15" t="str">
        <f>IF(F451=0,IF(G451&lt;=0.000001,"PASS","FAIL"),IF(H451&lt;=I451,"PASS","FAIL"))</f>
        <v>PASS</v>
      </c>
      <c r="K451" t="inlineStr">
        <is>
          <t xml:space="preserve"/>
        </is>
      </c>
    </row>
    <row r="452">
      <c r="A452" t="inlineStr">
        <is>
          <t xml:space="preserve">CAT</t>
        </is>
      </c>
      <c r="B452" t="inlineStr">
        <is>
          <t xml:space="preserve">Table 5 -- WACC x g two-way grid</t>
        </is>
      </c>
      <c r="C452" t="inlineStr">
        <is>
          <t xml:space="preserve">WACC=17.0000%, g=5.0000%</t>
        </is>
      </c>
      <c r="D452" t="inlineStr">
        <is>
          <t xml:space="preserve">Intrinsic Value per Share</t>
        </is>
      </c>
      <c r="E452" s="7">
        <v>104.96157597999091</v>
      </c>
      <c r="F452" s="7">
        <v>104.96157597999091</v>
      </c>
      <c r="G452" s="12">
        <f>ABS(E452-F452)</f>
        <v>0.0</v>
      </c>
      <c r="H452" s="10">
        <f>IF(F452=0,"n/a (zero denom)",G452/ABS(F452))</f>
        <v>0.0</v>
      </c>
      <c r="I452" s="10">
        <f>'Tolerances'!$B$13</f>
        <v>0.005</v>
      </c>
      <c r="J452" s="15" t="str">
        <f>IF(F452=0,IF(G452&lt;=0.000001,"PASS","FAIL"),IF(H452&lt;=I452,"PASS","FAIL"))</f>
        <v>PASS</v>
      </c>
      <c r="K452" t="inlineStr">
        <is>
          <t xml:space="preserve"/>
        </is>
      </c>
    </row>
    <row r="453">
      <c r="A453" t="inlineStr">
        <is>
          <t xml:space="preserve">CAT</t>
        </is>
      </c>
      <c r="B453" t="inlineStr">
        <is>
          <t xml:space="preserve">Table 5 -- WACC x g two-way grid</t>
        </is>
      </c>
      <c r="C453" t="inlineStr">
        <is>
          <t xml:space="preserve">WACC=20.0000%, g=0.0000%</t>
        </is>
      </c>
      <c r="D453" t="inlineStr">
        <is>
          <t xml:space="preserve">Intrinsic Value per Share</t>
        </is>
      </c>
      <c r="E453" s="7">
        <v>52.691440851628236</v>
      </c>
      <c r="F453" s="7">
        <v>52.691440851628236</v>
      </c>
      <c r="G453" s="12">
        <f>ABS(E453-F453)</f>
        <v>0.0</v>
      </c>
      <c r="H453" s="10">
        <f>IF(F453=0,"n/a (zero denom)",G453/ABS(F453))</f>
        <v>0.0</v>
      </c>
      <c r="I453" s="10">
        <f>'Tolerances'!$B$13</f>
        <v>0.005</v>
      </c>
      <c r="J453" s="15" t="str">
        <f>IF(F453=0,IF(G453&lt;=0.000001,"PASS","FAIL"),IF(H453&lt;=I453,"PASS","FAIL"))</f>
        <v>PASS</v>
      </c>
      <c r="K453" t="inlineStr">
        <is>
          <t xml:space="preserve"/>
        </is>
      </c>
    </row>
    <row r="454">
      <c r="A454" t="inlineStr">
        <is>
          <t xml:space="preserve">CAT</t>
        </is>
      </c>
      <c r="B454" t="inlineStr">
        <is>
          <t xml:space="preserve">Table 5 -- WACC x g two-way grid</t>
        </is>
      </c>
      <c r="C454" t="inlineStr">
        <is>
          <t xml:space="preserve">WACC=20.0000%, g=1.0000%</t>
        </is>
      </c>
      <c r="D454" t="inlineStr">
        <is>
          <t xml:space="preserve">Intrinsic Value per Share</t>
        </is>
      </c>
      <c r="E454" s="7">
        <v>55.75023757460085</v>
      </c>
      <c r="F454" s="7">
        <v>55.75023757460085</v>
      </c>
      <c r="G454" s="12">
        <f>ABS(E454-F454)</f>
        <v>0.0</v>
      </c>
      <c r="H454" s="10">
        <f>IF(F454=0,"n/a (zero denom)",G454/ABS(F454))</f>
        <v>0.0</v>
      </c>
      <c r="I454" s="10">
        <f>'Tolerances'!$B$13</f>
        <v>0.005</v>
      </c>
      <c r="J454" s="15" t="str">
        <f>IF(F454=0,IF(G454&lt;=0.000001,"PASS","FAIL"),IF(H454&lt;=I454,"PASS","FAIL"))</f>
        <v>PASS</v>
      </c>
      <c r="K454" t="inlineStr">
        <is>
          <t xml:space="preserve"/>
        </is>
      </c>
    </row>
    <row r="455">
      <c r="A455" t="inlineStr">
        <is>
          <t xml:space="preserve">CAT</t>
        </is>
      </c>
      <c r="B455" t="inlineStr">
        <is>
          <t xml:space="preserve">Table 5 -- WACC x g two-way grid</t>
        </is>
      </c>
      <c r="C455" t="inlineStr">
        <is>
          <t xml:space="preserve">WACC=20.0000%, g=2.0000%</t>
        </is>
      </c>
      <c r="D455" t="inlineStr">
        <is>
          <t xml:space="preserve">Intrinsic Value per Share</t>
        </is>
      </c>
      <c r="E455" s="7">
        <v>59.148900600125984</v>
      </c>
      <c r="F455" s="7">
        <v>59.148900600125984</v>
      </c>
      <c r="G455" s="12">
        <f>ABS(E455-F455)</f>
        <v>0.0</v>
      </c>
      <c r="H455" s="10">
        <f>IF(F455=0,"n/a (zero denom)",G455/ABS(F455))</f>
        <v>0.0</v>
      </c>
      <c r="I455" s="10">
        <f>'Tolerances'!$B$13</f>
        <v>0.005</v>
      </c>
      <c r="J455" s="15" t="str">
        <f>IF(F455=0,IF(G455&lt;=0.000001,"PASS","FAIL"),IF(H455&lt;=I455,"PASS","FAIL"))</f>
        <v>PASS</v>
      </c>
      <c r="K455" t="inlineStr">
        <is>
          <t xml:space="preserve"/>
        </is>
      </c>
    </row>
    <row r="456">
      <c r="A456" t="inlineStr">
        <is>
          <t xml:space="preserve">CAT</t>
        </is>
      </c>
      <c r="B456" t="inlineStr">
        <is>
          <t xml:space="preserve">Table 5 -- WACC x g two-way grid</t>
        </is>
      </c>
      <c r="C456" t="inlineStr">
        <is>
          <t xml:space="preserve">WACC=20.0000%, g=3.0000%</t>
        </is>
      </c>
      <c r="D456" t="inlineStr">
        <is>
          <t xml:space="preserve">Intrinsic Value per Share</t>
        </is>
      </c>
      <c r="E456" s="7">
        <v>62.94740633453645</v>
      </c>
      <c r="F456" s="7">
        <v>62.94740633453645</v>
      </c>
      <c r="G456" s="12">
        <f>ABS(E456-F456)</f>
        <v>0.0</v>
      </c>
      <c r="H456" s="10">
        <f>IF(F456=0,"n/a (zero denom)",G456/ABS(F456))</f>
        <v>0.0</v>
      </c>
      <c r="I456" s="10">
        <f>'Tolerances'!$B$13</f>
        <v>0.005</v>
      </c>
      <c r="J456" s="15" t="str">
        <f>IF(F456=0,IF(G456&lt;=0.000001,"PASS","FAIL"),IF(H456&lt;=I456,"PASS","FAIL"))</f>
        <v>PASS</v>
      </c>
      <c r="K456" t="inlineStr">
        <is>
          <t xml:space="preserve"/>
        </is>
      </c>
    </row>
    <row r="457">
      <c r="A457" t="inlineStr">
        <is>
          <t xml:space="preserve">CAT</t>
        </is>
      </c>
      <c r="B457" t="inlineStr">
        <is>
          <t xml:space="preserve">Table 5 -- WACC x g two-way grid</t>
        </is>
      </c>
      <c r="C457" t="inlineStr">
        <is>
          <t xml:space="preserve">WACC=20.0000%, g=4.0000%</t>
        </is>
      </c>
      <c r="D457" t="inlineStr">
        <is>
          <t xml:space="preserve">Intrinsic Value per Share</t>
        </is>
      </c>
      <c r="E457" s="7">
        <v>67.2207252857482</v>
      </c>
      <c r="F457" s="7">
        <v>67.2207252857482</v>
      </c>
      <c r="G457" s="12">
        <f>ABS(E457-F457)</f>
        <v>0.0</v>
      </c>
      <c r="H457" s="10">
        <f>IF(F457=0,"n/a (zero denom)",G457/ABS(F457))</f>
        <v>0.0</v>
      </c>
      <c r="I457" s="10">
        <f>'Tolerances'!$B$13</f>
        <v>0.005</v>
      </c>
      <c r="J457" s="15" t="str">
        <f>IF(F457=0,IF(G457&lt;=0.000001,"PASS","FAIL"),IF(H457&lt;=I457,"PASS","FAIL"))</f>
        <v>PASS</v>
      </c>
      <c r="K457" t="inlineStr">
        <is>
          <t xml:space="preserve"/>
        </is>
      </c>
    </row>
    <row r="458">
      <c r="A458" t="inlineStr">
        <is>
          <t xml:space="preserve">CAT</t>
        </is>
      </c>
      <c r="B458" t="inlineStr">
        <is>
          <t xml:space="preserve">Table 5 -- WACC x g two-way grid</t>
        </is>
      </c>
      <c r="C458" t="inlineStr">
        <is>
          <t xml:space="preserve">WACC=20.0000%, g=5.0000%</t>
        </is>
      </c>
      <c r="D458" t="inlineStr">
        <is>
          <t xml:space="preserve">Intrinsic Value per Share</t>
        </is>
      </c>
      <c r="E458" s="7">
        <v>72.0638200971215</v>
      </c>
      <c r="F458" s="7">
        <v>72.0638200971215</v>
      </c>
      <c r="G458" s="12">
        <f>ABS(E458-F458)</f>
        <v>0.0</v>
      </c>
      <c r="H458" s="10">
        <f>IF(F458=0,"n/a (zero denom)",G458/ABS(F458))</f>
        <v>0.0</v>
      </c>
      <c r="I458" s="10">
        <f>'Tolerances'!$B$13</f>
        <v>0.005</v>
      </c>
      <c r="J458" s="15" t="str">
        <f>IF(F458=0,IF(G458&lt;=0.000001,"PASS","FAIL"),IF(H458&lt;=I458,"PASS","FAIL"))</f>
        <v>PASS</v>
      </c>
      <c r="K458" t="inlineStr">
        <is>
          <t xml:space="preserve"/>
        </is>
      </c>
    </row>
    <row r="459">
      <c r="A459" t="inlineStr">
        <is>
          <t xml:space="preserve">INTC</t>
        </is>
      </c>
      <c r="B459" t="inlineStr">
        <is>
          <t xml:space="preserve">Table 1 -- WACC</t>
        </is>
      </c>
      <c r="C459" t="inlineStr">
        <is>
          <t xml:space="preserve">WACC=5.0000%</t>
        </is>
      </c>
      <c r="D459" t="inlineStr">
        <is>
          <t xml:space="preserve">Terminal Value</t>
        </is>
      </c>
      <c r="E459" s="6">
        <v>-11628871261.906788</v>
      </c>
      <c r="F459" s="6">
        <v>-11628871261.906788</v>
      </c>
      <c r="G459" s="11">
        <f>ABS(E459-F459)</f>
        <v>0.0</v>
      </c>
      <c r="H459" s="10">
        <f>IF(F459=0,"n/a (zero denom)",G459/ABS(F459))</f>
        <v>0.0</v>
      </c>
      <c r="I459" s="10">
        <f>'Tolerances'!$B$7</f>
        <v>0.002</v>
      </c>
      <c r="J459" s="15" t="str">
        <f>IF(F459=0,IF(G459&lt;=0.000001,"PASS","FAIL"),IF(H459&lt;=I459,"PASS","FAIL"))</f>
        <v>PASS</v>
      </c>
      <c r="K459" t="inlineStr">
        <is>
          <t xml:space="preserve"/>
        </is>
      </c>
    </row>
    <row r="460">
      <c r="A460" t="inlineStr">
        <is>
          <t xml:space="preserve">INTC</t>
        </is>
      </c>
      <c r="B460" t="inlineStr">
        <is>
          <t xml:space="preserve">Table 1 -- WACC</t>
        </is>
      </c>
      <c r="C460" t="inlineStr">
        <is>
          <t xml:space="preserve">WACC=5.0000%</t>
        </is>
      </c>
      <c r="D460" t="inlineStr">
        <is>
          <t xml:space="preserve">Enterprise Value</t>
        </is>
      </c>
      <c r="E460" s="6">
        <v>-10642626769.611956</v>
      </c>
      <c r="F460" s="6">
        <v>-10642626769.611946</v>
      </c>
      <c r="G460" s="11">
        <f>ABS(E460-F460)</f>
        <v>9.5367431640625e-06</v>
      </c>
      <c r="H460" s="10">
        <f>IF(F460=0,"n/a (zero denom)",G460/ABS(F460))</f>
        <v>8.960892240713455e-16</v>
      </c>
      <c r="I460" s="10">
        <f>'Tolerances'!$B$10</f>
        <v>0.002</v>
      </c>
      <c r="J460" s="15" t="str">
        <f>IF(F460=0,IF(G460&lt;=0.000001,"PASS","FAIL"),IF(H460&lt;=I460,"PASS","FAIL"))</f>
        <v>PASS</v>
      </c>
      <c r="K460" t="inlineStr">
        <is>
          <t xml:space="preserve"/>
        </is>
      </c>
    </row>
    <row r="461">
      <c r="A461" t="inlineStr">
        <is>
          <t xml:space="preserve">INTC</t>
        </is>
      </c>
      <c r="B461" t="inlineStr">
        <is>
          <t xml:space="preserve">Table 1 -- WACC</t>
        </is>
      </c>
      <c r="C461" t="inlineStr">
        <is>
          <t xml:space="preserve">WACC=5.0000%</t>
        </is>
      </c>
      <c r="D461" t="inlineStr">
        <is>
          <t xml:space="preserve">Equity Value</t>
        </is>
      </c>
      <c r="E461" s="6">
        <v>-42962626769.61195</v>
      </c>
      <c r="F461" s="6">
        <v>-42962626769.611946</v>
      </c>
      <c r="G461" s="11">
        <f>ABS(E461-F461)</f>
        <v>7.62939453125e-06</v>
      </c>
      <c r="H461" s="10">
        <f>IF(F461=0,"n/a (zero denom)",G461/ABS(F461))</f>
        <v>1.7758212439297068e-16</v>
      </c>
      <c r="I461" s="10">
        <f>'Tolerances'!$B$11</f>
        <v>0.002</v>
      </c>
      <c r="J461" s="15" t="str">
        <f>IF(F461=0,IF(G461&lt;=0.000001,"PASS","FAIL"),IF(H461&lt;=I461,"PASS","FAIL"))</f>
        <v>PASS</v>
      </c>
      <c r="K461" t="inlineStr">
        <is>
          <t xml:space="preserve"/>
        </is>
      </c>
    </row>
    <row r="462">
      <c r="A462" t="inlineStr">
        <is>
          <t xml:space="preserve">INTC</t>
        </is>
      </c>
      <c r="B462" t="inlineStr">
        <is>
          <t xml:space="preserve">Table 1 -- WACC</t>
        </is>
      </c>
      <c r="C462" t="inlineStr">
        <is>
          <t xml:space="preserve">WACC=5.0000%</t>
        </is>
      </c>
      <c r="D462" t="inlineStr">
        <is>
          <t xml:space="preserve">Intrinsic Value per Share</t>
        </is>
      </c>
      <c r="E462" s="7">
        <v>-8.127463347817827</v>
      </c>
      <c r="F462" s="7">
        <v>-8.127463347817827</v>
      </c>
      <c r="G462" s="12">
        <f>ABS(E462-F462)</f>
        <v>0.0</v>
      </c>
      <c r="H462" s="10">
        <f>IF(F462=0,"n/a (zero denom)",G462/ABS(F462))</f>
        <v>0.0</v>
      </c>
      <c r="I462" s="10">
        <f>'Tolerances'!$B$13</f>
        <v>0.005</v>
      </c>
      <c r="J462" s="15" t="str">
        <f>IF(F462=0,IF(G462&lt;=0.000001,"PASS","FAIL"),IF(H462&lt;=I462,"PASS","FAIL"))</f>
        <v>PASS</v>
      </c>
      <c r="K462" t="inlineStr">
        <is>
          <t xml:space="preserve"/>
        </is>
      </c>
    </row>
    <row r="463">
      <c r="A463" t="inlineStr">
        <is>
          <t xml:space="preserve">INTC</t>
        </is>
      </c>
      <c r="B463" t="inlineStr">
        <is>
          <t xml:space="preserve">Table 1 -- WACC</t>
        </is>
      </c>
      <c r="C463" t="inlineStr">
        <is>
          <t xml:space="preserve">WACC=7.5000%</t>
        </is>
      </c>
      <c r="D463" t="inlineStr">
        <is>
          <t xml:space="preserve">Terminal Value</t>
        </is>
      </c>
      <c r="E463" s="6">
        <v>-5814435630.953395</v>
      </c>
      <c r="F463" s="6">
        <v>-5814435630.953395</v>
      </c>
      <c r="G463" s="11">
        <f>ABS(E463-F463)</f>
        <v>0.0</v>
      </c>
      <c r="H463" s="10">
        <f>IF(F463=0,"n/a (zero denom)",G463/ABS(F463))</f>
        <v>0.0</v>
      </c>
      <c r="I463" s="10">
        <f>'Tolerances'!$B$7</f>
        <v>0.002</v>
      </c>
      <c r="J463" s="15" t="str">
        <f>IF(F463=0,IF(G463&lt;=0.000001,"PASS","FAIL"),IF(H463&lt;=I463,"PASS","FAIL"))</f>
        <v>PASS</v>
      </c>
      <c r="K463" t="inlineStr">
        <is>
          <t xml:space="preserve"/>
        </is>
      </c>
    </row>
    <row r="464">
      <c r="A464" t="inlineStr">
        <is>
          <t xml:space="preserve">INTC</t>
        </is>
      </c>
      <c r="B464" t="inlineStr">
        <is>
          <t xml:space="preserve">Table 1 -- WACC</t>
        </is>
      </c>
      <c r="C464" t="inlineStr">
        <is>
          <t xml:space="preserve">WACC=7.5000%</t>
        </is>
      </c>
      <c r="D464" t="inlineStr">
        <is>
          <t xml:space="preserve">Enterprise Value</t>
        </is>
      </c>
      <c r="E464" s="6">
        <v>-5487569733.8774395</v>
      </c>
      <c r="F464" s="6">
        <v>-5487569733.877441</v>
      </c>
      <c r="G464" s="11">
        <f>ABS(E464-F464)</f>
        <v>1.9073486328125e-06</v>
      </c>
      <c r="H464" s="10">
        <f>IF(F464=0,"n/a (zero denom)",G464/ABS(F464))</f>
        <v>3.475761995401184e-16</v>
      </c>
      <c r="I464" s="10">
        <f>'Tolerances'!$B$10</f>
        <v>0.002</v>
      </c>
      <c r="J464" s="15" t="str">
        <f>IF(F464=0,IF(G464&lt;=0.000001,"PASS","FAIL"),IF(H464&lt;=I464,"PASS","FAIL"))</f>
        <v>PASS</v>
      </c>
      <c r="K464" t="inlineStr">
        <is>
          <t xml:space="preserve"/>
        </is>
      </c>
    </row>
    <row r="465">
      <c r="A465" t="inlineStr">
        <is>
          <t xml:space="preserve">INTC</t>
        </is>
      </c>
      <c r="B465" t="inlineStr">
        <is>
          <t xml:space="preserve">Table 1 -- WACC</t>
        </is>
      </c>
      <c r="C465" t="inlineStr">
        <is>
          <t xml:space="preserve">WACC=7.5000%</t>
        </is>
      </c>
      <c r="D465" t="inlineStr">
        <is>
          <t xml:space="preserve">Equity Value</t>
        </is>
      </c>
      <c r="E465" s="6">
        <v>-37807569733.87744</v>
      </c>
      <c r="F465" s="6">
        <v>-37807569733.87744</v>
      </c>
      <c r="G465" s="11">
        <f>ABS(E465-F465)</f>
        <v>0.0</v>
      </c>
      <c r="H465" s="10">
        <f>IF(F465=0,"n/a (zero denom)",G465/ABS(F465))</f>
        <v>0.0</v>
      </c>
      <c r="I465" s="10">
        <f>'Tolerances'!$B$11</f>
        <v>0.002</v>
      </c>
      <c r="J465" s="15" t="str">
        <f>IF(F465=0,IF(G465&lt;=0.000001,"PASS","FAIL"),IF(H465&lt;=I465,"PASS","FAIL"))</f>
        <v>PASS</v>
      </c>
      <c r="K465" t="inlineStr">
        <is>
          <t xml:space="preserve"/>
        </is>
      </c>
    </row>
    <row r="466">
      <c r="A466" t="inlineStr">
        <is>
          <t xml:space="preserve">INTC</t>
        </is>
      </c>
      <c r="B466" t="inlineStr">
        <is>
          <t xml:space="preserve">Table 1 -- WACC</t>
        </is>
      </c>
      <c r="C466" t="inlineStr">
        <is>
          <t xml:space="preserve">WACC=7.5000%</t>
        </is>
      </c>
      <c r="D466" t="inlineStr">
        <is>
          <t xml:space="preserve">Intrinsic Value per Share</t>
        </is>
      </c>
      <c r="E466" s="7">
        <v>-7.1522544217314605</v>
      </c>
      <c r="F466" s="7">
        <v>-7.1522544217314605</v>
      </c>
      <c r="G466" s="12">
        <f>ABS(E466-F466)</f>
        <v>0.0</v>
      </c>
      <c r="H466" s="10">
        <f>IF(F466=0,"n/a (zero denom)",G466/ABS(F466))</f>
        <v>0.0</v>
      </c>
      <c r="I466" s="10">
        <f>'Tolerances'!$B$13</f>
        <v>0.005</v>
      </c>
      <c r="J466" s="15" t="str">
        <f>IF(F466=0,IF(G466&lt;=0.000001,"PASS","FAIL"),IF(H466&lt;=I466,"PASS","FAIL"))</f>
        <v>PASS</v>
      </c>
      <c r="K466" t="inlineStr">
        <is>
          <t xml:space="preserve"/>
        </is>
      </c>
    </row>
    <row r="467">
      <c r="A467" t="inlineStr">
        <is>
          <t xml:space="preserve">INTC</t>
        </is>
      </c>
      <c r="B467" t="inlineStr">
        <is>
          <t xml:space="preserve">Table 1 -- WACC</t>
        </is>
      </c>
      <c r="C467" t="inlineStr">
        <is>
          <t xml:space="preserve">WACC=10.0000%</t>
        </is>
      </c>
      <c r="D467" t="inlineStr">
        <is>
          <t xml:space="preserve">Terminal Value</t>
        </is>
      </c>
      <c r="E467" s="6">
        <v>-3876290420.6355953</v>
      </c>
      <c r="F467" s="6">
        <v>-3876290420.6355953</v>
      </c>
      <c r="G467" s="11">
        <f>ABS(E467-F467)</f>
        <v>0.0</v>
      </c>
      <c r="H467" s="10">
        <f>IF(F467=0,"n/a (zero denom)",G467/ABS(F467))</f>
        <v>0.0</v>
      </c>
      <c r="I467" s="10">
        <f>'Tolerances'!$B$7</f>
        <v>0.002</v>
      </c>
      <c r="J467" s="15" t="str">
        <f>IF(F467=0,IF(G467&lt;=0.000001,"PASS","FAIL"),IF(H467&lt;=I467,"PASS","FAIL"))</f>
        <v>PASS</v>
      </c>
      <c r="K467" t="inlineStr">
        <is>
          <t xml:space="preserve"/>
        </is>
      </c>
    </row>
    <row r="468">
      <c r="A468" t="inlineStr">
        <is>
          <t xml:space="preserve">INTC</t>
        </is>
      </c>
      <c r="B468" t="inlineStr">
        <is>
          <t xml:space="preserve">Table 1 -- WACC</t>
        </is>
      </c>
      <c r="C468" t="inlineStr">
        <is>
          <t xml:space="preserve">WACC=10.0000%</t>
        </is>
      </c>
      <c r="D468" t="inlineStr">
        <is>
          <t xml:space="preserve">Enterprise Value</t>
        </is>
      </c>
      <c r="E468" s="6">
        <v>-3759794595.7164226</v>
      </c>
      <c r="F468" s="6">
        <v>-3759794595.716423</v>
      </c>
      <c r="G468" s="11">
        <f>ABS(E468-F468)</f>
        <v>4.76837158203125e-07</v>
      </c>
      <c r="H468" s="10">
        <f>IF(F468=0,"n/a (zero denom)",G468/ABS(F468))</f>
        <v>1.2682532145410044e-16</v>
      </c>
      <c r="I468" s="10">
        <f>'Tolerances'!$B$10</f>
        <v>0.002</v>
      </c>
      <c r="J468" s="15" t="str">
        <f>IF(F468=0,IF(G468&lt;=0.000001,"PASS","FAIL"),IF(H468&lt;=I468,"PASS","FAIL"))</f>
        <v>PASS</v>
      </c>
      <c r="K468" t="inlineStr">
        <is>
          <t xml:space="preserve"/>
        </is>
      </c>
    </row>
    <row r="469">
      <c r="A469" t="inlineStr">
        <is>
          <t xml:space="preserve">INTC</t>
        </is>
      </c>
      <c r="B469" t="inlineStr">
        <is>
          <t xml:space="preserve">Table 1 -- WACC</t>
        </is>
      </c>
      <c r="C469" t="inlineStr">
        <is>
          <t xml:space="preserve">WACC=10.0000%</t>
        </is>
      </c>
      <c r="D469" t="inlineStr">
        <is>
          <t xml:space="preserve">Equity Value</t>
        </is>
      </c>
      <c r="E469" s="6">
        <v>-36079794595.71642</v>
      </c>
      <c r="F469" s="6">
        <v>-36079794595.71642</v>
      </c>
      <c r="G469" s="11">
        <f>ABS(E469-F469)</f>
        <v>0.0</v>
      </c>
      <c r="H469" s="10">
        <f>IF(F469=0,"n/a (zero denom)",G469/ABS(F469))</f>
        <v>0.0</v>
      </c>
      <c r="I469" s="10">
        <f>'Tolerances'!$B$11</f>
        <v>0.002</v>
      </c>
      <c r="J469" s="15" t="str">
        <f>IF(F469=0,IF(G469&lt;=0.000001,"PASS","FAIL"),IF(H469&lt;=I469,"PASS","FAIL"))</f>
        <v>PASS</v>
      </c>
      <c r="K469" t="inlineStr">
        <is>
          <t xml:space="preserve"/>
        </is>
      </c>
    </row>
    <row r="470">
      <c r="A470" t="inlineStr">
        <is>
          <t xml:space="preserve">INTC</t>
        </is>
      </c>
      <c r="B470" t="inlineStr">
        <is>
          <t xml:space="preserve">Table 1 -- WACC</t>
        </is>
      </c>
      <c r="C470" t="inlineStr">
        <is>
          <t xml:space="preserve">WACC=10.0000%</t>
        </is>
      </c>
      <c r="D470" t="inlineStr">
        <is>
          <t xml:space="preserve">Intrinsic Value per Share</t>
        </is>
      </c>
      <c r="E470" s="7">
        <v>-6.825402221004131</v>
      </c>
      <c r="F470" s="7">
        <v>-6.825402221004131</v>
      </c>
      <c r="G470" s="12">
        <f>ABS(E470-F470)</f>
        <v>0.0</v>
      </c>
      <c r="H470" s="10">
        <f>IF(F470=0,"n/a (zero denom)",G470/ABS(F470))</f>
        <v>0.0</v>
      </c>
      <c r="I470" s="10">
        <f>'Tolerances'!$B$13</f>
        <v>0.005</v>
      </c>
      <c r="J470" s="15" t="str">
        <f>IF(F470=0,IF(G470&lt;=0.000001,"PASS","FAIL"),IF(H470&lt;=I470,"PASS","FAIL"))</f>
        <v>PASS</v>
      </c>
      <c r="K470" t="inlineStr">
        <is>
          <t xml:space="preserve"/>
        </is>
      </c>
    </row>
    <row r="471">
      <c r="A471" t="inlineStr">
        <is>
          <t xml:space="preserve">INTC</t>
        </is>
      </c>
      <c r="B471" t="inlineStr">
        <is>
          <t xml:space="preserve">Table 1 -- WACC</t>
        </is>
      </c>
      <c r="C471" t="inlineStr">
        <is>
          <t xml:space="preserve">WACC=12.5000%</t>
        </is>
      </c>
      <c r="D471" t="inlineStr">
        <is>
          <t xml:space="preserve">Terminal Value</t>
        </is>
      </c>
      <c r="E471" s="6">
        <v>-2907217815.476697</v>
      </c>
      <c r="F471" s="6">
        <v>-2907217815.476697</v>
      </c>
      <c r="G471" s="11">
        <f>ABS(E471-F471)</f>
        <v>0.0</v>
      </c>
      <c r="H471" s="10">
        <f>IF(F471=0,"n/a (zero denom)",G471/ABS(F471))</f>
        <v>0.0</v>
      </c>
      <c r="I471" s="10">
        <f>'Tolerances'!$B$7</f>
        <v>0.002</v>
      </c>
      <c r="J471" s="15" t="str">
        <f>IF(F471=0,IF(G471&lt;=0.000001,"PASS","FAIL"),IF(H471&lt;=I471,"PASS","FAIL"))</f>
        <v>PASS</v>
      </c>
      <c r="K471" t="inlineStr">
        <is>
          <t xml:space="preserve"/>
        </is>
      </c>
    </row>
    <row r="472">
      <c r="A472" t="inlineStr">
        <is>
          <t xml:space="preserve">INTC</t>
        </is>
      </c>
      <c r="B472" t="inlineStr">
        <is>
          <t xml:space="preserve">Table 1 -- WACC</t>
        </is>
      </c>
      <c r="C472" t="inlineStr">
        <is>
          <t xml:space="preserve">WACC=12.5000%</t>
        </is>
      </c>
      <c r="D472" t="inlineStr">
        <is>
          <t xml:space="preserve">Enterprise Value</t>
        </is>
      </c>
      <c r="E472" s="6">
        <v>-2889621382.334455</v>
      </c>
      <c r="F472" s="6">
        <v>-2889621382.3344574</v>
      </c>
      <c r="G472" s="11">
        <f>ABS(E472-F472)</f>
        <v>2.384185791015625e-06</v>
      </c>
      <c r="H472" s="10">
        <f>IF(F472=0,"n/a (zero denom)",G472/ABS(F472))</f>
        <v>8.250858765065952e-16</v>
      </c>
      <c r="I472" s="10">
        <f>'Tolerances'!$B$10</f>
        <v>0.002</v>
      </c>
      <c r="J472" s="15" t="str">
        <f>IF(F472=0,IF(G472&lt;=0.000001,"PASS","FAIL"),IF(H472&lt;=I472,"PASS","FAIL"))</f>
        <v>PASS</v>
      </c>
      <c r="K472" t="inlineStr">
        <is>
          <t xml:space="preserve"/>
        </is>
      </c>
    </row>
    <row r="473">
      <c r="A473" t="inlineStr">
        <is>
          <t xml:space="preserve">INTC</t>
        </is>
      </c>
      <c r="B473" t="inlineStr">
        <is>
          <t xml:space="preserve">Table 1 -- WACC</t>
        </is>
      </c>
      <c r="C473" t="inlineStr">
        <is>
          <t xml:space="preserve">WACC=12.5000%</t>
        </is>
      </c>
      <c r="D473" t="inlineStr">
        <is>
          <t xml:space="preserve">Equity Value</t>
        </is>
      </c>
      <c r="E473" s="6">
        <v>-35209621382.33446</v>
      </c>
      <c r="F473" s="6">
        <v>-35209621382.33446</v>
      </c>
      <c r="G473" s="11">
        <f>ABS(E473-F473)</f>
        <v>0.0</v>
      </c>
      <c r="H473" s="10">
        <f>IF(F473=0,"n/a (zero denom)",G473/ABS(F473))</f>
        <v>0.0</v>
      </c>
      <c r="I473" s="10">
        <f>'Tolerances'!$B$11</f>
        <v>0.002</v>
      </c>
      <c r="J473" s="15" t="str">
        <f>IF(F473=0,IF(G473&lt;=0.000001,"PASS","FAIL"),IF(H473&lt;=I473,"PASS","FAIL"))</f>
        <v>PASS</v>
      </c>
      <c r="K473" t="inlineStr">
        <is>
          <t xml:space="preserve"/>
        </is>
      </c>
    </row>
    <row r="474">
      <c r="A474" t="inlineStr">
        <is>
          <t xml:space="preserve">INTC</t>
        </is>
      </c>
      <c r="B474" t="inlineStr">
        <is>
          <t xml:space="preserve">Table 1 -- WACC</t>
        </is>
      </c>
      <c r="C474" t="inlineStr">
        <is>
          <t xml:space="preserve">WACC=12.5000%</t>
        </is>
      </c>
      <c r="D474" t="inlineStr">
        <is>
          <t xml:space="preserve">Intrinsic Value per Share</t>
        </is>
      </c>
      <c r="E474" s="7">
        <v>-6.660787032646581</v>
      </c>
      <c r="F474" s="7">
        <v>-6.660787032646581</v>
      </c>
      <c r="G474" s="12">
        <f>ABS(E474-F474)</f>
        <v>0.0</v>
      </c>
      <c r="H474" s="10">
        <f>IF(F474=0,"n/a (zero denom)",G474/ABS(F474))</f>
        <v>0.0</v>
      </c>
      <c r="I474" s="10">
        <f>'Tolerances'!$B$13</f>
        <v>0.005</v>
      </c>
      <c r="J474" s="15" t="str">
        <f>IF(F474=0,IF(G474&lt;=0.000001,"PASS","FAIL"),IF(H474&lt;=I474,"PASS","FAIL"))</f>
        <v>PASS</v>
      </c>
      <c r="K474" t="inlineStr">
        <is>
          <t xml:space="preserve"/>
        </is>
      </c>
    </row>
    <row r="475">
      <c r="A475" t="inlineStr">
        <is>
          <t xml:space="preserve">INTC</t>
        </is>
      </c>
      <c r="B475" t="inlineStr">
        <is>
          <t xml:space="preserve">Table 1 -- WACC</t>
        </is>
      </c>
      <c r="C475" t="inlineStr">
        <is>
          <t xml:space="preserve">WACC=15.0000%</t>
        </is>
      </c>
      <c r="D475" t="inlineStr">
        <is>
          <t xml:space="preserve">Terminal Value</t>
        </is>
      </c>
      <c r="E475" s="6">
        <v>-2325774252.3813577</v>
      </c>
      <c r="F475" s="6">
        <v>-2325774252.3813577</v>
      </c>
      <c r="G475" s="11">
        <f>ABS(E475-F475)</f>
        <v>0.0</v>
      </c>
      <c r="H475" s="10">
        <f>IF(F475=0,"n/a (zero denom)",G475/ABS(F475))</f>
        <v>0.0</v>
      </c>
      <c r="I475" s="10">
        <f>'Tolerances'!$B$7</f>
        <v>0.002</v>
      </c>
      <c r="J475" s="15" t="str">
        <f>IF(F475=0,IF(G475&lt;=0.000001,"PASS","FAIL"),IF(H475&lt;=I475,"PASS","FAIL"))</f>
        <v>PASS</v>
      </c>
      <c r="K475" t="inlineStr">
        <is>
          <t xml:space="preserve"/>
        </is>
      </c>
    </row>
    <row r="476">
      <c r="A476" t="inlineStr">
        <is>
          <t xml:space="preserve">INTC</t>
        </is>
      </c>
      <c r="B476" t="inlineStr">
        <is>
          <t xml:space="preserve">Table 1 -- WACC</t>
        </is>
      </c>
      <c r="C476" t="inlineStr">
        <is>
          <t xml:space="preserve">WACC=15.0000%</t>
        </is>
      </c>
      <c r="D476" t="inlineStr">
        <is>
          <t xml:space="preserve">Enterprise Value</t>
        </is>
      </c>
      <c r="E476" s="6">
        <v>-2363031071.866187</v>
      </c>
      <c r="F476" s="6">
        <v>-2363031071.866188</v>
      </c>
      <c r="G476" s="11">
        <f>ABS(E476-F476)</f>
        <v>9.5367431640625e-07</v>
      </c>
      <c r="H476" s="10">
        <f>IF(F476=0,"n/a (zero denom)",G476/ABS(F476))</f>
        <v>4.0358094642111164e-16</v>
      </c>
      <c r="I476" s="10">
        <f>'Tolerances'!$B$10</f>
        <v>0.002</v>
      </c>
      <c r="J476" s="15" t="str">
        <f>IF(F476=0,IF(G476&lt;=0.000001,"PASS","FAIL"),IF(H476&lt;=I476,"PASS","FAIL"))</f>
        <v>PASS</v>
      </c>
      <c r="K476" t="inlineStr">
        <is>
          <t xml:space="preserve"/>
        </is>
      </c>
    </row>
    <row r="477">
      <c r="A477" t="inlineStr">
        <is>
          <t xml:space="preserve">INTC</t>
        </is>
      </c>
      <c r="B477" t="inlineStr">
        <is>
          <t xml:space="preserve">Table 1 -- WACC</t>
        </is>
      </c>
      <c r="C477" t="inlineStr">
        <is>
          <t xml:space="preserve">WACC=15.0000%</t>
        </is>
      </c>
      <c r="D477" t="inlineStr">
        <is>
          <t xml:space="preserve">Equity Value</t>
        </is>
      </c>
      <c r="E477" s="6">
        <v>-34683031071.86619</v>
      </c>
      <c r="F477" s="6">
        <v>-34683031071.86619</v>
      </c>
      <c r="G477" s="11">
        <f>ABS(E477-F477)</f>
        <v>0.0</v>
      </c>
      <c r="H477" s="10">
        <f>IF(F477=0,"n/a (zero denom)",G477/ABS(F477))</f>
        <v>0.0</v>
      </c>
      <c r="I477" s="10">
        <f>'Tolerances'!$B$11</f>
        <v>0.002</v>
      </c>
      <c r="J477" s="15" t="str">
        <f>IF(F477=0,IF(G477&lt;=0.000001,"PASS","FAIL"),IF(H477&lt;=I477,"PASS","FAIL"))</f>
        <v>PASS</v>
      </c>
      <c r="K477" t="inlineStr">
        <is>
          <t xml:space="preserve"/>
        </is>
      </c>
    </row>
    <row r="478">
      <c r="A478" t="inlineStr">
        <is>
          <t xml:space="preserve">INTC</t>
        </is>
      </c>
      <c r="B478" t="inlineStr">
        <is>
          <t xml:space="preserve">Table 1 -- WACC</t>
        </is>
      </c>
      <c r="C478" t="inlineStr">
        <is>
          <t xml:space="preserve">WACC=15.0000%</t>
        </is>
      </c>
      <c r="D478" t="inlineStr">
        <is>
          <t xml:space="preserve">Intrinsic Value per Share</t>
        </is>
      </c>
      <c r="E478" s="7">
        <v>-6.56116920735397</v>
      </c>
      <c r="F478" s="7">
        <v>-6.56116920735397</v>
      </c>
      <c r="G478" s="12">
        <f>ABS(E478-F478)</f>
        <v>0.0</v>
      </c>
      <c r="H478" s="10">
        <f>IF(F478=0,"n/a (zero denom)",G478/ABS(F478))</f>
        <v>0.0</v>
      </c>
      <c r="I478" s="10">
        <f>'Tolerances'!$B$13</f>
        <v>0.005</v>
      </c>
      <c r="J478" s="15" t="str">
        <f>IF(F478=0,IF(G478&lt;=0.000001,"PASS","FAIL"),IF(H478&lt;=I478,"PASS","FAIL"))</f>
        <v>PASS</v>
      </c>
      <c r="K478" t="inlineStr">
        <is>
          <t xml:space="preserve"/>
        </is>
      </c>
    </row>
    <row r="479">
      <c r="A479" t="inlineStr">
        <is>
          <t xml:space="preserve">INTC</t>
        </is>
      </c>
      <c r="B479" t="inlineStr">
        <is>
          <t xml:space="preserve">Table 1 -- WACC</t>
        </is>
      </c>
      <c r="C479" t="inlineStr">
        <is>
          <t xml:space="preserve">WACC=17.5000%</t>
        </is>
      </c>
      <c r="D479" t="inlineStr">
        <is>
          <t xml:space="preserve">Terminal Value</t>
        </is>
      </c>
      <c r="E479" s="6">
        <v>-1938145210.3177981</v>
      </c>
      <c r="F479" s="6">
        <v>-1938145210.3177981</v>
      </c>
      <c r="G479" s="11">
        <f>ABS(E479-F479)</f>
        <v>0.0</v>
      </c>
      <c r="H479" s="10">
        <f>IF(F479=0,"n/a (zero denom)",G479/ABS(F479))</f>
        <v>0.0</v>
      </c>
      <c r="I479" s="10">
        <f>'Tolerances'!$B$7</f>
        <v>0.002</v>
      </c>
      <c r="J479" s="15" t="str">
        <f>IF(F479=0,IF(G479&lt;=0.000001,"PASS","FAIL"),IF(H479&lt;=I479,"PASS","FAIL"))</f>
        <v>PASS</v>
      </c>
      <c r="K479" t="inlineStr">
        <is>
          <t xml:space="preserve"/>
        </is>
      </c>
    </row>
    <row r="480">
      <c r="A480" t="inlineStr">
        <is>
          <t xml:space="preserve">INTC</t>
        </is>
      </c>
      <c r="B480" t="inlineStr">
        <is>
          <t xml:space="preserve">Table 1 -- WACC</t>
        </is>
      </c>
      <c r="C480" t="inlineStr">
        <is>
          <t xml:space="preserve">WACC=17.5000%</t>
        </is>
      </c>
      <c r="D480" t="inlineStr">
        <is>
          <t xml:space="preserve">Enterprise Value</t>
        </is>
      </c>
      <c r="E480" s="6">
        <v>-2008625386.1409788</v>
      </c>
      <c r="F480" s="6">
        <v>-2008625386.140976</v>
      </c>
      <c r="G480" s="11">
        <f>ABS(E480-F480)</f>
        <v>2.86102294921875e-06</v>
      </c>
      <c r="H480" s="10">
        <f>IF(F480=0,"n/a (zero denom)",G480/ABS(F480))</f>
        <v>1.424368609975314e-15</v>
      </c>
      <c r="I480" s="10">
        <f>'Tolerances'!$B$10</f>
        <v>0.002</v>
      </c>
      <c r="J480" s="15" t="str">
        <f>IF(F480=0,IF(G480&lt;=0.000001,"PASS","FAIL"),IF(H480&lt;=I480,"PASS","FAIL"))</f>
        <v>PASS</v>
      </c>
      <c r="K480" t="inlineStr">
        <is>
          <t xml:space="preserve"/>
        </is>
      </c>
    </row>
    <row r="481">
      <c r="A481" t="inlineStr">
        <is>
          <t xml:space="preserve">INTC</t>
        </is>
      </c>
      <c r="B481" t="inlineStr">
        <is>
          <t xml:space="preserve">Table 1 -- WACC</t>
        </is>
      </c>
      <c r="C481" t="inlineStr">
        <is>
          <t xml:space="preserve">WACC=17.5000%</t>
        </is>
      </c>
      <c r="D481" t="inlineStr">
        <is>
          <t xml:space="preserve">Equity Value</t>
        </is>
      </c>
      <c r="E481" s="6">
        <v>-34328625386.140976</v>
      </c>
      <c r="F481" s="6">
        <v>-34328625386.140976</v>
      </c>
      <c r="G481" s="11">
        <f>ABS(E481-F481)</f>
        <v>0.0</v>
      </c>
      <c r="H481" s="10">
        <f>IF(F481=0,"n/a (zero denom)",G481/ABS(F481))</f>
        <v>0.0</v>
      </c>
      <c r="I481" s="10">
        <f>'Tolerances'!$B$11</f>
        <v>0.002</v>
      </c>
      <c r="J481" s="15" t="str">
        <f>IF(F481=0,IF(G481&lt;=0.000001,"PASS","FAIL"),IF(H481&lt;=I481,"PASS","FAIL"))</f>
        <v>PASS</v>
      </c>
      <c r="K481" t="inlineStr">
        <is>
          <t xml:space="preserve"/>
        </is>
      </c>
    </row>
    <row r="482">
      <c r="A482" t="inlineStr">
        <is>
          <t xml:space="preserve">INTC</t>
        </is>
      </c>
      <c r="B482" t="inlineStr">
        <is>
          <t xml:space="preserve">Table 1 -- WACC</t>
        </is>
      </c>
      <c r="C482" t="inlineStr">
        <is>
          <t xml:space="preserve">WACC=17.5000%</t>
        </is>
      </c>
      <c r="D482" t="inlineStr">
        <is>
          <t xml:space="preserve">Intrinsic Value per Share</t>
        </is>
      </c>
      <c r="E482" s="7">
        <v>-6.494124442227381</v>
      </c>
      <c r="F482" s="7">
        <v>-6.494124442227381</v>
      </c>
      <c r="G482" s="12">
        <f>ABS(E482-F482)</f>
        <v>0.0</v>
      </c>
      <c r="H482" s="10">
        <f>IF(F482=0,"n/a (zero denom)",G482/ABS(F482))</f>
        <v>0.0</v>
      </c>
      <c r="I482" s="10">
        <f>'Tolerances'!$B$13</f>
        <v>0.005</v>
      </c>
      <c r="J482" s="15" t="str">
        <f>IF(F482=0,IF(G482&lt;=0.000001,"PASS","FAIL"),IF(H482&lt;=I482,"PASS","FAIL"))</f>
        <v>PASS</v>
      </c>
      <c r="K482" t="inlineStr">
        <is>
          <t xml:space="preserve"/>
        </is>
      </c>
    </row>
    <row r="483">
      <c r="A483" t="inlineStr">
        <is>
          <t xml:space="preserve">INTC</t>
        </is>
      </c>
      <c r="B483" t="inlineStr">
        <is>
          <t xml:space="preserve">Table 1 -- WACC</t>
        </is>
      </c>
      <c r="C483" t="inlineStr">
        <is>
          <t xml:space="preserve">WACC=20.0000%</t>
        </is>
      </c>
      <c r="D483" t="inlineStr">
        <is>
          <t xml:space="preserve">Terminal Value</t>
        </is>
      </c>
      <c r="E483" s="6">
        <v>-1661267323.129541</v>
      </c>
      <c r="F483" s="6">
        <v>-1661267323.129541</v>
      </c>
      <c r="G483" s="11">
        <f>ABS(E483-F483)</f>
        <v>0.0</v>
      </c>
      <c r="H483" s="10">
        <f>IF(F483=0,"n/a (zero denom)",G483/ABS(F483))</f>
        <v>0.0</v>
      </c>
      <c r="I483" s="10">
        <f>'Tolerances'!$B$7</f>
        <v>0.002</v>
      </c>
      <c r="J483" s="15" t="str">
        <f>IF(F483=0,IF(G483&lt;=0.000001,"PASS","FAIL"),IF(H483&lt;=I483,"PASS","FAIL"))</f>
        <v>PASS</v>
      </c>
      <c r="K483" t="inlineStr">
        <is>
          <t xml:space="preserve"/>
        </is>
      </c>
    </row>
    <row r="484">
      <c r="A484" t="inlineStr">
        <is>
          <t xml:space="preserve">INTC</t>
        </is>
      </c>
      <c r="B484" t="inlineStr">
        <is>
          <t xml:space="preserve">Table 1 -- WACC</t>
        </is>
      </c>
      <c r="C484" t="inlineStr">
        <is>
          <t xml:space="preserve">WACC=20.0000%</t>
        </is>
      </c>
      <c r="D484" t="inlineStr">
        <is>
          <t xml:space="preserve">Enterprise Value</t>
        </is>
      </c>
      <c r="E484" s="6">
        <v>-1752905203.1965647</v>
      </c>
      <c r="F484" s="6">
        <v>-1752905203.1965637</v>
      </c>
      <c r="G484" s="11">
        <f>ABS(E484-F484)</f>
        <v>9.5367431640625e-07</v>
      </c>
      <c r="H484" s="10">
        <f>IF(F484=0,"n/a (zero denom)",G484/ABS(F484))</f>
        <v>5.4405356015097e-16</v>
      </c>
      <c r="I484" s="10">
        <f>'Tolerances'!$B$10</f>
        <v>0.002</v>
      </c>
      <c r="J484" s="15" t="str">
        <f>IF(F484=0,IF(G484&lt;=0.000001,"PASS","FAIL"),IF(H484&lt;=I484,"PASS","FAIL"))</f>
        <v>PASS</v>
      </c>
      <c r="K484" t="inlineStr">
        <is>
          <t xml:space="preserve"/>
        </is>
      </c>
    </row>
    <row r="485">
      <c r="A485" t="inlineStr">
        <is>
          <t xml:space="preserve">INTC</t>
        </is>
      </c>
      <c r="B485" t="inlineStr">
        <is>
          <t xml:space="preserve">Table 1 -- WACC</t>
        </is>
      </c>
      <c r="C485" t="inlineStr">
        <is>
          <t xml:space="preserve">WACC=20.0000%</t>
        </is>
      </c>
      <c r="D485" t="inlineStr">
        <is>
          <t xml:space="preserve">Equity Value</t>
        </is>
      </c>
      <c r="E485" s="6">
        <v>-34072905203.196564</v>
      </c>
      <c r="F485" s="6">
        <v>-34072905203.196564</v>
      </c>
      <c r="G485" s="11">
        <f>ABS(E485-F485)</f>
        <v>0.0</v>
      </c>
      <c r="H485" s="10">
        <f>IF(F485=0,"n/a (zero denom)",G485/ABS(F485))</f>
        <v>0.0</v>
      </c>
      <c r="I485" s="10">
        <f>'Tolerances'!$B$11</f>
        <v>0.002</v>
      </c>
      <c r="J485" s="15" t="str">
        <f>IF(F485=0,IF(G485&lt;=0.000001,"PASS","FAIL"),IF(H485&lt;=I485,"PASS","FAIL"))</f>
        <v>PASS</v>
      </c>
      <c r="K485" t="inlineStr">
        <is>
          <t xml:space="preserve"/>
        </is>
      </c>
    </row>
    <row r="486">
      <c r="A486" t="inlineStr">
        <is>
          <t xml:space="preserve">INTC</t>
        </is>
      </c>
      <c r="B486" t="inlineStr">
        <is>
          <t xml:space="preserve">Table 1 -- WACC</t>
        </is>
      </c>
      <c r="C486" t="inlineStr">
        <is>
          <t xml:space="preserve">WACC=20.0000%</t>
        </is>
      </c>
      <c r="D486" t="inlineStr">
        <is>
          <t xml:space="preserve">Intrinsic Value per Share</t>
        </is>
      </c>
      <c r="E486" s="7">
        <v>-6.44574852645009</v>
      </c>
      <c r="F486" s="7">
        <v>-6.44574852645009</v>
      </c>
      <c r="G486" s="12">
        <f>ABS(E486-F486)</f>
        <v>0.0</v>
      </c>
      <c r="H486" s="10">
        <f>IF(F486=0,"n/a (zero denom)",G486/ABS(F486))</f>
        <v>0.0</v>
      </c>
      <c r="I486" s="10">
        <f>'Tolerances'!$B$13</f>
        <v>0.005</v>
      </c>
      <c r="J486" s="15" t="str">
        <f>IF(F486=0,IF(G486&lt;=0.000001,"PASS","FAIL"),IF(H486&lt;=I486,"PASS","FAIL"))</f>
        <v>PASS</v>
      </c>
      <c r="K486" t="inlineStr">
        <is>
          <t xml:space="preserve"/>
        </is>
      </c>
    </row>
    <row r="487">
      <c r="A487" t="inlineStr">
        <is>
          <t xml:space="preserve">INTC</t>
        </is>
      </c>
      <c r="B487" t="inlineStr">
        <is>
          <t xml:space="preserve">Table 2 -- Terminal growth</t>
        </is>
      </c>
      <c r="C487" t="inlineStr">
        <is>
          <t xml:space="preserve">g=0.0000%</t>
        </is>
      </c>
      <c r="D487" t="inlineStr">
        <is>
          <t xml:space="preserve">Terminal Value</t>
        </is>
      </c>
      <c r="E487" s="6">
        <v>-1884009978.6517518</v>
      </c>
      <c r="F487" s="6">
        <v>-1884009978.6517518</v>
      </c>
      <c r="G487" s="11">
        <f>ABS(E487-F487)</f>
        <v>0.0</v>
      </c>
      <c r="H487" s="10">
        <f>IF(F487=0,"n/a (zero denom)",G487/ABS(F487))</f>
        <v>0.0</v>
      </c>
      <c r="I487" s="10">
        <f>'Tolerances'!$B$7</f>
        <v>0.002</v>
      </c>
      <c r="J487" s="15" t="str">
        <f>IF(F487=0,IF(G487&lt;=0.000001,"PASS","FAIL"),IF(H487&lt;=I487,"PASS","FAIL"))</f>
        <v>PASS</v>
      </c>
      <c r="K487" t="inlineStr">
        <is>
          <t xml:space="preserve"/>
        </is>
      </c>
    </row>
    <row r="488">
      <c r="A488" t="inlineStr">
        <is>
          <t xml:space="preserve">INTC</t>
        </is>
      </c>
      <c r="B488" t="inlineStr">
        <is>
          <t xml:space="preserve">Table 2 -- Terminal growth</t>
        </is>
      </c>
      <c r="C488" t="inlineStr">
        <is>
          <t xml:space="preserve">g=0.0000%</t>
        </is>
      </c>
      <c r="D488" t="inlineStr">
        <is>
          <t xml:space="preserve">Enterprise Value</t>
        </is>
      </c>
      <c r="E488" s="6">
        <v>-2139723967.3629756</v>
      </c>
      <c r="F488" s="6">
        <v>-2139723967.3629756</v>
      </c>
      <c r="G488" s="11">
        <f>ABS(E488-F488)</f>
        <v>0.0</v>
      </c>
      <c r="H488" s="10">
        <f>IF(F488=0,"n/a (zero denom)",G488/ABS(F488))</f>
        <v>0.0</v>
      </c>
      <c r="I488" s="10">
        <f>'Tolerances'!$B$10</f>
        <v>0.002</v>
      </c>
      <c r="J488" s="15" t="str">
        <f>IF(F488=0,IF(G488&lt;=0.000001,"PASS","FAIL"),IF(H488&lt;=I488,"PASS","FAIL"))</f>
        <v>PASS</v>
      </c>
      <c r="K488" t="inlineStr">
        <is>
          <t xml:space="preserve"/>
        </is>
      </c>
    </row>
    <row r="489">
      <c r="A489" t="inlineStr">
        <is>
          <t xml:space="preserve">INTC</t>
        </is>
      </c>
      <c r="B489" t="inlineStr">
        <is>
          <t xml:space="preserve">Table 2 -- Terminal growth</t>
        </is>
      </c>
      <c r="C489" t="inlineStr">
        <is>
          <t xml:space="preserve">g=0.0000%</t>
        </is>
      </c>
      <c r="D489" t="inlineStr">
        <is>
          <t xml:space="preserve">Equity Value</t>
        </is>
      </c>
      <c r="E489" s="6">
        <v>-34459723967.362976</v>
      </c>
      <c r="F489" s="6">
        <v>-34459723967.362976</v>
      </c>
      <c r="G489" s="11">
        <f>ABS(E489-F489)</f>
        <v>0.0</v>
      </c>
      <c r="H489" s="10">
        <f>IF(F489=0,"n/a (zero denom)",G489/ABS(F489))</f>
        <v>0.0</v>
      </c>
      <c r="I489" s="10">
        <f>'Tolerances'!$B$11</f>
        <v>0.002</v>
      </c>
      <c r="J489" s="15" t="str">
        <f>IF(F489=0,IF(G489&lt;=0.000001,"PASS","FAIL"),IF(H489&lt;=I489,"PASS","FAIL"))</f>
        <v>PASS</v>
      </c>
      <c r="K489" t="inlineStr">
        <is>
          <t xml:space="preserve"/>
        </is>
      </c>
    </row>
    <row r="490">
      <c r="A490" t="inlineStr">
        <is>
          <t xml:space="preserve">INTC</t>
        </is>
      </c>
      <c r="B490" t="inlineStr">
        <is>
          <t xml:space="preserve">Table 2 -- Terminal growth</t>
        </is>
      </c>
      <c r="C490" t="inlineStr">
        <is>
          <t xml:space="preserve">g=0.0000%</t>
        </is>
      </c>
      <c r="D490" t="inlineStr">
        <is>
          <t xml:space="preserve">Intrinsic Value per Share</t>
        </is>
      </c>
      <c r="E490" s="7">
        <v>-6.5189250420497915</v>
      </c>
      <c r="F490" s="7">
        <v>-6.5189250420497915</v>
      </c>
      <c r="G490" s="12">
        <f>ABS(E490-F490)</f>
        <v>0.0</v>
      </c>
      <c r="H490" s="10">
        <f>IF(F490=0,"n/a (zero denom)",G490/ABS(F490))</f>
        <v>0.0</v>
      </c>
      <c r="I490" s="10">
        <f>'Tolerances'!$B$13</f>
        <v>0.005</v>
      </c>
      <c r="J490" s="15" t="str">
        <f>IF(F490=0,IF(G490&lt;=0.000001,"PASS","FAIL"),IF(H490&lt;=I490,"PASS","FAIL"))</f>
        <v>PASS</v>
      </c>
      <c r="K490" t="inlineStr">
        <is>
          <t xml:space="preserve"/>
        </is>
      </c>
    </row>
    <row r="491">
      <c r="A491" t="inlineStr">
        <is>
          <t xml:space="preserve">INTC</t>
        </is>
      </c>
      <c r="B491" t="inlineStr">
        <is>
          <t xml:space="preserve">Table 2 -- Terminal growth</t>
        </is>
      </c>
      <c r="C491" t="inlineStr">
        <is>
          <t xml:space="preserve">g=1.0000%</t>
        </is>
      </c>
      <c r="D491" t="inlineStr">
        <is>
          <t xml:space="preserve">Terminal Value</t>
        </is>
      </c>
      <c r="E491" s="6">
        <v>-2038239491.226975</v>
      </c>
      <c r="F491" s="6">
        <v>-2038239491.226975</v>
      </c>
      <c r="G491" s="11">
        <f>ABS(E491-F491)</f>
        <v>0.0</v>
      </c>
      <c r="H491" s="10">
        <f>IF(F491=0,"n/a (zero denom)",G491/ABS(F491))</f>
        <v>0.0</v>
      </c>
      <c r="I491" s="10">
        <f>'Tolerances'!$B$7</f>
        <v>0.002</v>
      </c>
      <c r="J491" s="15" t="str">
        <f>IF(F491=0,IF(G491&lt;=0.000001,"PASS","FAIL"),IF(H491&lt;=I491,"PASS","FAIL"))</f>
        <v>PASS</v>
      </c>
      <c r="K491" t="inlineStr">
        <is>
          <t xml:space="preserve"/>
        </is>
      </c>
    </row>
    <row r="492">
      <c r="A492" t="inlineStr">
        <is>
          <t xml:space="preserve">INTC</t>
        </is>
      </c>
      <c r="B492" t="inlineStr">
        <is>
          <t xml:space="preserve">Table 2 -- Terminal growth</t>
        </is>
      </c>
      <c r="C492" t="inlineStr">
        <is>
          <t xml:space="preserve">g=1.0000%</t>
        </is>
      </c>
      <c r="D492" t="inlineStr">
        <is>
          <t xml:space="preserve">Enterprise Value</t>
        </is>
      </c>
      <c r="E492" s="6">
        <v>-2216221373.602004</v>
      </c>
      <c r="F492" s="6">
        <v>-2216221373.602004</v>
      </c>
      <c r="G492" s="11">
        <f>ABS(E492-F492)</f>
        <v>0.0</v>
      </c>
      <c r="H492" s="10">
        <f>IF(F492=0,"n/a (zero denom)",G492/ABS(F492))</f>
        <v>0.0</v>
      </c>
      <c r="I492" s="10">
        <f>'Tolerances'!$B$10</f>
        <v>0.002</v>
      </c>
      <c r="J492" s="15" t="str">
        <f>IF(F492=0,IF(G492&lt;=0.000001,"PASS","FAIL"),IF(H492&lt;=I492,"PASS","FAIL"))</f>
        <v>PASS</v>
      </c>
      <c r="K492" t="inlineStr">
        <is>
          <t xml:space="preserve"/>
        </is>
      </c>
    </row>
    <row r="493">
      <c r="A493" t="inlineStr">
        <is>
          <t xml:space="preserve">INTC</t>
        </is>
      </c>
      <c r="B493" t="inlineStr">
        <is>
          <t xml:space="preserve">Table 2 -- Terminal growth</t>
        </is>
      </c>
      <c r="C493" t="inlineStr">
        <is>
          <t xml:space="preserve">g=1.0000%</t>
        </is>
      </c>
      <c r="D493" t="inlineStr">
        <is>
          <t xml:space="preserve">Equity Value</t>
        </is>
      </c>
      <c r="E493" s="6">
        <v>-34536221373.602005</v>
      </c>
      <c r="F493" s="6">
        <v>-34536221373.602005</v>
      </c>
      <c r="G493" s="11">
        <f>ABS(E493-F493)</f>
        <v>0.0</v>
      </c>
      <c r="H493" s="10">
        <f>IF(F493=0,"n/a (zero denom)",G493/ABS(F493))</f>
        <v>0.0</v>
      </c>
      <c r="I493" s="10">
        <f>'Tolerances'!$B$11</f>
        <v>0.002</v>
      </c>
      <c r="J493" s="15" t="str">
        <f>IF(F493=0,IF(G493&lt;=0.000001,"PASS","FAIL"),IF(H493&lt;=I493,"PASS","FAIL"))</f>
        <v>PASS</v>
      </c>
      <c r="K493" t="inlineStr">
        <is>
          <t xml:space="preserve"/>
        </is>
      </c>
    </row>
    <row r="494">
      <c r="A494" t="inlineStr">
        <is>
          <t xml:space="preserve">INTC</t>
        </is>
      </c>
      <c r="B494" t="inlineStr">
        <is>
          <t xml:space="preserve">Table 2 -- Terminal growth</t>
        </is>
      </c>
      <c r="C494" t="inlineStr">
        <is>
          <t xml:space="preserve">g=1.0000%</t>
        </is>
      </c>
      <c r="D494" t="inlineStr">
        <is>
          <t xml:space="preserve">Intrinsic Value per Share</t>
        </is>
      </c>
      <c r="E494" s="7">
        <v>-6.5333964538827995</v>
      </c>
      <c r="F494" s="7">
        <v>-6.5333964538827995</v>
      </c>
      <c r="G494" s="12">
        <f>ABS(E494-F494)</f>
        <v>0.0</v>
      </c>
      <c r="H494" s="10">
        <f>IF(F494=0,"n/a (zero denom)",G494/ABS(F494))</f>
        <v>0.0</v>
      </c>
      <c r="I494" s="10">
        <f>'Tolerances'!$B$13</f>
        <v>0.005</v>
      </c>
      <c r="J494" s="15" t="str">
        <f>IF(F494=0,IF(G494&lt;=0.000001,"PASS","FAIL"),IF(H494&lt;=I494,"PASS","FAIL"))</f>
        <v>PASS</v>
      </c>
      <c r="K494" t="inlineStr">
        <is>
          <t xml:space="preserve"/>
        </is>
      </c>
    </row>
    <row r="495">
      <c r="A495" t="inlineStr">
        <is>
          <t xml:space="preserve">INTC</t>
        </is>
      </c>
      <c r="B495" t="inlineStr">
        <is>
          <t xml:space="preserve">Table 2 -- Terminal growth</t>
        </is>
      </c>
      <c r="C495" t="inlineStr">
        <is>
          <t xml:space="preserve">g=2.0000%</t>
        </is>
      </c>
      <c r="D495" t="inlineStr">
        <is>
          <t xml:space="preserve">Terminal Value</t>
        </is>
      </c>
      <c r="E495" s="6">
        <v>-2216097301.2212787</v>
      </c>
      <c r="F495" s="6">
        <v>-2216097301.2212787</v>
      </c>
      <c r="G495" s="11">
        <f>ABS(E495-F495)</f>
        <v>0.0</v>
      </c>
      <c r="H495" s="10">
        <f>IF(F495=0,"n/a (zero denom)",G495/ABS(F495))</f>
        <v>0.0</v>
      </c>
      <c r="I495" s="10">
        <f>'Tolerances'!$B$7</f>
        <v>0.002</v>
      </c>
      <c r="J495" s="15" t="str">
        <f>IF(F495=0,IF(G495&lt;=0.000001,"PASS","FAIL"),IF(H495&lt;=I495,"PASS","FAIL"))</f>
        <v>PASS</v>
      </c>
      <c r="K495" t="inlineStr">
        <is>
          <t xml:space="preserve"/>
        </is>
      </c>
    </row>
    <row r="496">
      <c r="A496" t="inlineStr">
        <is>
          <t xml:space="preserve">INTC</t>
        </is>
      </c>
      <c r="B496" t="inlineStr">
        <is>
          <t xml:space="preserve">Table 2 -- Terminal growth</t>
        </is>
      </c>
      <c r="C496" t="inlineStr">
        <is>
          <t xml:space="preserve">g=2.0000%</t>
        </is>
      </c>
      <c r="D496" t="inlineStr">
        <is>
          <t xml:space="preserve">Enterprise Value</t>
        </is>
      </c>
      <c r="E496" s="6">
        <v>-2304438349.1778173</v>
      </c>
      <c r="F496" s="6">
        <v>-2304438349.1778173</v>
      </c>
      <c r="G496" s="11">
        <f>ABS(E496-F496)</f>
        <v>0.0</v>
      </c>
      <c r="H496" s="10">
        <f>IF(F496=0,"n/a (zero denom)",G496/ABS(F496))</f>
        <v>0.0</v>
      </c>
      <c r="I496" s="10">
        <f>'Tolerances'!$B$10</f>
        <v>0.002</v>
      </c>
      <c r="J496" s="15" t="str">
        <f>IF(F496=0,IF(G496&lt;=0.000001,"PASS","FAIL"),IF(H496&lt;=I496,"PASS","FAIL"))</f>
        <v>PASS</v>
      </c>
      <c r="K496" t="inlineStr">
        <is>
          <t xml:space="preserve"/>
        </is>
      </c>
    </row>
    <row r="497">
      <c r="A497" t="inlineStr">
        <is>
          <t xml:space="preserve">INTC</t>
        </is>
      </c>
      <c r="B497" t="inlineStr">
        <is>
          <t xml:space="preserve">Table 2 -- Terminal growth</t>
        </is>
      </c>
      <c r="C497" t="inlineStr">
        <is>
          <t xml:space="preserve">g=2.0000%</t>
        </is>
      </c>
      <c r="D497" t="inlineStr">
        <is>
          <t xml:space="preserve">Equity Value</t>
        </is>
      </c>
      <c r="E497" s="6">
        <v>-34624438349.17782</v>
      </c>
      <c r="F497" s="6">
        <v>-34624438349.17782</v>
      </c>
      <c r="G497" s="11">
        <f>ABS(E497-F497)</f>
        <v>0.0</v>
      </c>
      <c r="H497" s="10">
        <f>IF(F497=0,"n/a (zero denom)",G497/ABS(F497))</f>
        <v>0.0</v>
      </c>
      <c r="I497" s="10">
        <f>'Tolerances'!$B$11</f>
        <v>0.002</v>
      </c>
      <c r="J497" s="15" t="str">
        <f>IF(F497=0,IF(G497&lt;=0.000001,"PASS","FAIL"),IF(H497&lt;=I497,"PASS","FAIL"))</f>
        <v>PASS</v>
      </c>
      <c r="K497" t="inlineStr">
        <is>
          <t xml:space="preserve"/>
        </is>
      </c>
    </row>
    <row r="498">
      <c r="A498" t="inlineStr">
        <is>
          <t xml:space="preserve">INTC</t>
        </is>
      </c>
      <c r="B498" t="inlineStr">
        <is>
          <t xml:space="preserve">Table 2 -- Terminal growth</t>
        </is>
      </c>
      <c r="C498" t="inlineStr">
        <is>
          <t xml:space="preserve">g=2.0000%</t>
        </is>
      </c>
      <c r="D498" t="inlineStr">
        <is>
          <t xml:space="preserve">Intrinsic Value per Share</t>
        </is>
      </c>
      <c r="E498" s="7">
        <v>-6.550084917544311</v>
      </c>
      <c r="F498" s="7">
        <v>-6.550084917544311</v>
      </c>
      <c r="G498" s="12">
        <f>ABS(E498-F498)</f>
        <v>0.0</v>
      </c>
      <c r="H498" s="10">
        <f>IF(F498=0,"n/a (zero denom)",G498/ABS(F498))</f>
        <v>0.0</v>
      </c>
      <c r="I498" s="10">
        <f>'Tolerances'!$B$13</f>
        <v>0.005</v>
      </c>
      <c r="J498" s="15" t="str">
        <f>IF(F498=0,IF(G498&lt;=0.000001,"PASS","FAIL"),IF(H498&lt;=I498,"PASS","FAIL"))</f>
        <v>PASS</v>
      </c>
      <c r="K498" t="inlineStr">
        <is>
          <t xml:space="preserve"/>
        </is>
      </c>
    </row>
    <row r="499">
      <c r="A499" t="inlineStr">
        <is>
          <t xml:space="preserve">INTC</t>
        </is>
      </c>
      <c r="B499" t="inlineStr">
        <is>
          <t xml:space="preserve">Table 2 -- Terminal growth</t>
        </is>
      </c>
      <c r="C499" t="inlineStr">
        <is>
          <t xml:space="preserve">g=2.5000%</t>
        </is>
      </c>
      <c r="D499" t="inlineStr">
        <is>
          <t xml:space="preserve">Terminal Value</t>
        </is>
      </c>
      <c r="E499" s="6">
        <v>-2315651226.8237233</v>
      </c>
      <c r="F499" s="6">
        <v>-2315651226.8237233</v>
      </c>
      <c r="G499" s="11">
        <f>ABS(E499-F499)</f>
        <v>0.0</v>
      </c>
      <c r="H499" s="10">
        <f>IF(F499=0,"n/a (zero denom)",G499/ABS(F499))</f>
        <v>0.0</v>
      </c>
      <c r="I499" s="10">
        <f>'Tolerances'!$B$7</f>
        <v>0.002</v>
      </c>
      <c r="J499" s="15" t="str">
        <f>IF(F499=0,IF(G499&lt;=0.000001,"PASS","FAIL"),IF(H499&lt;=I499,"PASS","FAIL"))</f>
        <v>PASS</v>
      </c>
      <c r="K499" t="inlineStr">
        <is>
          <t xml:space="preserve"/>
        </is>
      </c>
    </row>
    <row r="500">
      <c r="A500" t="inlineStr">
        <is>
          <t xml:space="preserve">INTC</t>
        </is>
      </c>
      <c r="B500" t="inlineStr">
        <is>
          <t xml:space="preserve">Table 2 -- Terminal growth</t>
        </is>
      </c>
      <c r="C500" t="inlineStr">
        <is>
          <t xml:space="preserve">g=2.5000%</t>
        </is>
      </c>
      <c r="D500" t="inlineStr">
        <is>
          <t xml:space="preserve">Enterprise Value</t>
        </is>
      </c>
      <c r="E500" s="6">
        <v>-2353816817.425169</v>
      </c>
      <c r="F500" s="6">
        <v>-2353816817.425169</v>
      </c>
      <c r="G500" s="11">
        <f>ABS(E500-F500)</f>
        <v>0.0</v>
      </c>
      <c r="H500" s="10">
        <f>IF(F500=0,"n/a (zero denom)",G500/ABS(F500))</f>
        <v>0.0</v>
      </c>
      <c r="I500" s="10">
        <f>'Tolerances'!$B$10</f>
        <v>0.002</v>
      </c>
      <c r="J500" s="15" t="str">
        <f>IF(F500=0,IF(G500&lt;=0.000001,"PASS","FAIL"),IF(H500&lt;=I500,"PASS","FAIL"))</f>
        <v>PASS</v>
      </c>
      <c r="K500" t="inlineStr">
        <is>
          <t xml:space="preserve"/>
        </is>
      </c>
    </row>
    <row r="501">
      <c r="A501" t="inlineStr">
        <is>
          <t xml:space="preserve">INTC</t>
        </is>
      </c>
      <c r="B501" t="inlineStr">
        <is>
          <t xml:space="preserve">Table 2 -- Terminal growth</t>
        </is>
      </c>
      <c r="C501" t="inlineStr">
        <is>
          <t xml:space="preserve">g=2.5000%</t>
        </is>
      </c>
      <c r="D501" t="inlineStr">
        <is>
          <t xml:space="preserve">Equity Value</t>
        </is>
      </c>
      <c r="E501" s="6">
        <v>-34673816817.42517</v>
      </c>
      <c r="F501" s="6">
        <v>-34673816817.42517</v>
      </c>
      <c r="G501" s="11">
        <f>ABS(E501-F501)</f>
        <v>0.0</v>
      </c>
      <c r="H501" s="10">
        <f>IF(F501=0,"n/a (zero denom)",G501/ABS(F501))</f>
        <v>0.0</v>
      </c>
      <c r="I501" s="10">
        <f>'Tolerances'!$B$11</f>
        <v>0.002</v>
      </c>
      <c r="J501" s="15" t="str">
        <f>IF(F501=0,IF(G501&lt;=0.000001,"PASS","FAIL"),IF(H501&lt;=I501,"PASS","FAIL"))</f>
        <v>PASS</v>
      </c>
      <c r="K501" t="inlineStr">
        <is>
          <t xml:space="preserve"/>
        </is>
      </c>
    </row>
    <row r="502">
      <c r="A502" t="inlineStr">
        <is>
          <t xml:space="preserve">INTC</t>
        </is>
      </c>
      <c r="B502" t="inlineStr">
        <is>
          <t xml:space="preserve">Table 2 -- Terminal growth</t>
        </is>
      </c>
      <c r="C502" t="inlineStr">
        <is>
          <t xml:space="preserve">g=2.5000%</t>
        </is>
      </c>
      <c r="D502" t="inlineStr">
        <is>
          <t xml:space="preserve">Intrinsic Value per Share</t>
        </is>
      </c>
      <c r="E502" s="7">
        <v>-6.55942609896238</v>
      </c>
      <c r="F502" s="7">
        <v>-6.55942609896238</v>
      </c>
      <c r="G502" s="12">
        <f>ABS(E502-F502)</f>
        <v>0.0</v>
      </c>
      <c r="H502" s="10">
        <f>IF(F502=0,"n/a (zero denom)",G502/ABS(F502))</f>
        <v>0.0</v>
      </c>
      <c r="I502" s="10">
        <f>'Tolerances'!$B$13</f>
        <v>0.005</v>
      </c>
      <c r="J502" s="15" t="str">
        <f>IF(F502=0,IF(G502&lt;=0.000001,"PASS","FAIL"),IF(H502&lt;=I502,"PASS","FAIL"))</f>
        <v>PASS</v>
      </c>
      <c r="K502" t="inlineStr">
        <is>
          <t xml:space="preserve"/>
        </is>
      </c>
    </row>
    <row r="503">
      <c r="A503" t="inlineStr">
        <is>
          <t xml:space="preserve">INTC</t>
        </is>
      </c>
      <c r="B503" t="inlineStr">
        <is>
          <t xml:space="preserve">Table 2 -- Terminal growth</t>
        </is>
      </c>
      <c r="C503" t="inlineStr">
        <is>
          <t xml:space="preserve">g=3.0000%</t>
        </is>
      </c>
      <c r="D503" t="inlineStr">
        <is>
          <t xml:space="preserve">Terminal Value</t>
        </is>
      </c>
      <c r="E503" s="6">
        <v>-2423463705.785587</v>
      </c>
      <c r="F503" s="6">
        <v>-2423463705.785587</v>
      </c>
      <c r="G503" s="11">
        <f>ABS(E503-F503)</f>
        <v>0.0</v>
      </c>
      <c r="H503" s="10">
        <f>IF(F503=0,"n/a (zero denom)",G503/ABS(F503))</f>
        <v>0.0</v>
      </c>
      <c r="I503" s="10">
        <f>'Tolerances'!$B$7</f>
        <v>0.002</v>
      </c>
      <c r="J503" s="15" t="str">
        <f>IF(F503=0,IF(G503&lt;=0.000001,"PASS","FAIL"),IF(H503&lt;=I503,"PASS","FAIL"))</f>
        <v>PASS</v>
      </c>
      <c r="K503" t="inlineStr">
        <is>
          <t xml:space="preserve"/>
        </is>
      </c>
    </row>
    <row r="504">
      <c r="A504" t="inlineStr">
        <is>
          <t xml:space="preserve">INTC</t>
        </is>
      </c>
      <c r="B504" t="inlineStr">
        <is>
          <t xml:space="preserve">Table 2 -- Terminal growth</t>
        </is>
      </c>
      <c r="C504" t="inlineStr">
        <is>
          <t xml:space="preserve">g=3.0000%</t>
        </is>
      </c>
      <c r="D504" t="inlineStr">
        <is>
          <t xml:space="preserve">Enterprise Value</t>
        </is>
      </c>
      <c r="E504" s="6">
        <v>-2407291505.006509</v>
      </c>
      <c r="F504" s="6">
        <v>-2407291505.006509</v>
      </c>
      <c r="G504" s="11">
        <f>ABS(E504-F504)</f>
        <v>0.0</v>
      </c>
      <c r="H504" s="10">
        <f>IF(F504=0,"n/a (zero denom)",G504/ABS(F504))</f>
        <v>0.0</v>
      </c>
      <c r="I504" s="10">
        <f>'Tolerances'!$B$10</f>
        <v>0.002</v>
      </c>
      <c r="J504" s="15" t="str">
        <f>IF(F504=0,IF(G504&lt;=0.000001,"PASS","FAIL"),IF(H504&lt;=I504,"PASS","FAIL"))</f>
        <v>PASS</v>
      </c>
      <c r="K504" t="inlineStr">
        <is>
          <t xml:space="preserve"/>
        </is>
      </c>
    </row>
    <row r="505">
      <c r="A505" t="inlineStr">
        <is>
          <t xml:space="preserve">INTC</t>
        </is>
      </c>
      <c r="B505" t="inlineStr">
        <is>
          <t xml:space="preserve">Table 2 -- Terminal growth</t>
        </is>
      </c>
      <c r="C505" t="inlineStr">
        <is>
          <t xml:space="preserve">g=3.0000%</t>
        </is>
      </c>
      <c r="D505" t="inlineStr">
        <is>
          <t xml:space="preserve">Equity Value</t>
        </is>
      </c>
      <c r="E505" s="6">
        <v>-34727291505.00651</v>
      </c>
      <c r="F505" s="6">
        <v>-34727291505.00651</v>
      </c>
      <c r="G505" s="11">
        <f>ABS(E505-F505)</f>
        <v>0.0</v>
      </c>
      <c r="H505" s="10">
        <f>IF(F505=0,"n/a (zero denom)",G505/ABS(F505))</f>
        <v>0.0</v>
      </c>
      <c r="I505" s="10">
        <f>'Tolerances'!$B$11</f>
        <v>0.002</v>
      </c>
      <c r="J505" s="15" t="str">
        <f>IF(F505=0,IF(G505&lt;=0.000001,"PASS","FAIL"),IF(H505&lt;=I505,"PASS","FAIL"))</f>
        <v>PASS</v>
      </c>
      <c r="K505" t="inlineStr">
        <is>
          <t xml:space="preserve"/>
        </is>
      </c>
    </row>
    <row r="506">
      <c r="A506" t="inlineStr">
        <is>
          <t xml:space="preserve">INTC</t>
        </is>
      </c>
      <c r="B506" t="inlineStr">
        <is>
          <t xml:space="preserve">Table 2 -- Terminal growth</t>
        </is>
      </c>
      <c r="C506" t="inlineStr">
        <is>
          <t xml:space="preserve">g=3.0000%</t>
        </is>
      </c>
      <c r="D506" t="inlineStr">
        <is>
          <t xml:space="preserve">Intrinsic Value per Share</t>
        </is>
      </c>
      <c r="E506" s="7">
        <v>-6.569542183476578</v>
      </c>
      <c r="F506" s="7">
        <v>-6.569542183476578</v>
      </c>
      <c r="G506" s="12">
        <f>ABS(E506-F506)</f>
        <v>0.0</v>
      </c>
      <c r="H506" s="10">
        <f>IF(F506=0,"n/a (zero denom)",G506/ABS(F506))</f>
        <v>0.0</v>
      </c>
      <c r="I506" s="10">
        <f>'Tolerances'!$B$13</f>
        <v>0.005</v>
      </c>
      <c r="J506" s="15" t="str">
        <f>IF(F506=0,IF(G506&lt;=0.000001,"PASS","FAIL"),IF(H506&lt;=I506,"PASS","FAIL"))</f>
        <v>PASS</v>
      </c>
      <c r="K506" t="inlineStr">
        <is>
          <t xml:space="preserve"/>
        </is>
      </c>
    </row>
    <row r="507">
      <c r="A507" t="inlineStr">
        <is>
          <t xml:space="preserve">INTC</t>
        </is>
      </c>
      <c r="B507" t="inlineStr">
        <is>
          <t xml:space="preserve">Table 2 -- Terminal growth</t>
        </is>
      </c>
      <c r="C507" t="inlineStr">
        <is>
          <t xml:space="preserve">g=4.0000%</t>
        </is>
      </c>
      <c r="D507" t="inlineStr">
        <is>
          <t xml:space="preserve">Terminal Value</t>
        </is>
      </c>
      <c r="E507" s="6">
        <v>-2668346722.089786</v>
      </c>
      <c r="F507" s="6">
        <v>-2668346722.089786</v>
      </c>
      <c r="G507" s="11">
        <f>ABS(E507-F507)</f>
        <v>0.0</v>
      </c>
      <c r="H507" s="10">
        <f>IF(F507=0,"n/a (zero denom)",G507/ABS(F507))</f>
        <v>0.0</v>
      </c>
      <c r="I507" s="10">
        <f>'Tolerances'!$B$7</f>
        <v>0.002</v>
      </c>
      <c r="J507" s="15" t="str">
        <f>IF(F507=0,IF(G507&lt;=0.000001,"PASS","FAIL"),IF(H507&lt;=I507,"PASS","FAIL"))</f>
        <v>PASS</v>
      </c>
      <c r="K507" t="inlineStr">
        <is>
          <t xml:space="preserve"/>
        </is>
      </c>
    </row>
    <row r="508">
      <c r="A508" t="inlineStr">
        <is>
          <t xml:space="preserve">INTC</t>
        </is>
      </c>
      <c r="B508" t="inlineStr">
        <is>
          <t xml:space="preserve">Table 2 -- Terminal growth</t>
        </is>
      </c>
      <c r="C508" t="inlineStr">
        <is>
          <t xml:space="preserve">g=4.0000%</t>
        </is>
      </c>
      <c r="D508" t="inlineStr">
        <is>
          <t xml:space="preserve">Enterprise Value</t>
        </is>
      </c>
      <c r="E508" s="6">
        <v>-2528752795.173812</v>
      </c>
      <c r="F508" s="6">
        <v>-2528752795.173812</v>
      </c>
      <c r="G508" s="11">
        <f>ABS(E508-F508)</f>
        <v>0.0</v>
      </c>
      <c r="H508" s="10">
        <f>IF(F508=0,"n/a (zero denom)",G508/ABS(F508))</f>
        <v>0.0</v>
      </c>
      <c r="I508" s="10">
        <f>'Tolerances'!$B$10</f>
        <v>0.002</v>
      </c>
      <c r="J508" s="15" t="str">
        <f>IF(F508=0,IF(G508&lt;=0.000001,"PASS","FAIL"),IF(H508&lt;=I508,"PASS","FAIL"))</f>
        <v>PASS</v>
      </c>
      <c r="K508" t="inlineStr">
        <is>
          <t xml:space="preserve"/>
        </is>
      </c>
    </row>
    <row r="509">
      <c r="A509" t="inlineStr">
        <is>
          <t xml:space="preserve">INTC</t>
        </is>
      </c>
      <c r="B509" t="inlineStr">
        <is>
          <t xml:space="preserve">Table 2 -- Terminal growth</t>
        </is>
      </c>
      <c r="C509" t="inlineStr">
        <is>
          <t xml:space="preserve">g=4.0000%</t>
        </is>
      </c>
      <c r="D509" t="inlineStr">
        <is>
          <t xml:space="preserve">Equity Value</t>
        </is>
      </c>
      <c r="E509" s="6">
        <v>-34848752795.17381</v>
      </c>
      <c r="F509" s="6">
        <v>-34848752795.17381</v>
      </c>
      <c r="G509" s="11">
        <f>ABS(E509-F509)</f>
        <v>0.0</v>
      </c>
      <c r="H509" s="10">
        <f>IF(F509=0,"n/a (zero denom)",G509/ABS(F509))</f>
        <v>0.0</v>
      </c>
      <c r="I509" s="10">
        <f>'Tolerances'!$B$11</f>
        <v>0.002</v>
      </c>
      <c r="J509" s="15" t="str">
        <f>IF(F509=0,IF(G509&lt;=0.000001,"PASS","FAIL"),IF(H509&lt;=I509,"PASS","FAIL"))</f>
        <v>PASS</v>
      </c>
      <c r="K509" t="inlineStr">
        <is>
          <t xml:space="preserve"/>
        </is>
      </c>
    </row>
    <row r="510">
      <c r="A510" t="inlineStr">
        <is>
          <t xml:space="preserve">INTC</t>
        </is>
      </c>
      <c r="B510" t="inlineStr">
        <is>
          <t xml:space="preserve">Table 2 -- Terminal growth</t>
        </is>
      </c>
      <c r="C510" t="inlineStr">
        <is>
          <t xml:space="preserve">g=4.0000%</t>
        </is>
      </c>
      <c r="D510" t="inlineStr">
        <is>
          <t xml:space="preserve">Intrinsic Value per Share</t>
        </is>
      </c>
      <c r="E510" s="7">
        <v>-6.592519646873012</v>
      </c>
      <c r="F510" s="7">
        <v>-6.592519646873012</v>
      </c>
      <c r="G510" s="12">
        <f>ABS(E510-F510)</f>
        <v>0.0</v>
      </c>
      <c r="H510" s="10">
        <f>IF(F510=0,"n/a (zero denom)",G510/ABS(F510))</f>
        <v>0.0</v>
      </c>
      <c r="I510" s="10">
        <f>'Tolerances'!$B$13</f>
        <v>0.005</v>
      </c>
      <c r="J510" s="15" t="str">
        <f>IF(F510=0,IF(G510&lt;=0.000001,"PASS","FAIL"),IF(H510&lt;=I510,"PASS","FAIL"))</f>
        <v>PASS</v>
      </c>
      <c r="K510" t="inlineStr">
        <is>
          <t xml:space="preserve"/>
        </is>
      </c>
    </row>
    <row r="511">
      <c r="A511" t="inlineStr">
        <is>
          <t xml:space="preserve">INTC</t>
        </is>
      </c>
      <c r="B511" t="inlineStr">
        <is>
          <t xml:space="preserve">Table 2 -- Terminal growth</t>
        </is>
      </c>
      <c r="C511" t="inlineStr">
        <is>
          <t xml:space="preserve">g=5.0000%</t>
        </is>
      </c>
      <c r="D511" t="inlineStr">
        <is>
          <t xml:space="preserve">Terminal Value</t>
        </is>
      </c>
      <c r="E511" s="6">
        <v>-2961940165.507011</v>
      </c>
      <c r="F511" s="6">
        <v>-2961940165.507011</v>
      </c>
      <c r="G511" s="11">
        <f>ABS(E511-F511)</f>
        <v>0.0</v>
      </c>
      <c r="H511" s="10">
        <f>IF(F511=0,"n/a (zero denom)",G511/ABS(F511))</f>
        <v>0.0</v>
      </c>
      <c r="I511" s="10">
        <f>'Tolerances'!$B$7</f>
        <v>0.002</v>
      </c>
      <c r="J511" s="15" t="str">
        <f>IF(F511=0,IF(G511&lt;=0.000001,"PASS","FAIL"),IF(H511&lt;=I511,"PASS","FAIL"))</f>
        <v>PASS</v>
      </c>
      <c r="K511" t="inlineStr">
        <is>
          <t xml:space="preserve"/>
        </is>
      </c>
    </row>
    <row r="512">
      <c r="A512" t="inlineStr">
        <is>
          <t xml:space="preserve">INTC</t>
        </is>
      </c>
      <c r="B512" t="inlineStr">
        <is>
          <t xml:space="preserve">Table 2 -- Terminal growth</t>
        </is>
      </c>
      <c r="C512" t="inlineStr">
        <is>
          <t xml:space="preserve">g=5.0000%</t>
        </is>
      </c>
      <c r="D512" t="inlineStr">
        <is>
          <t xml:space="preserve">Enterprise Value</t>
        </is>
      </c>
      <c r="E512" s="6">
        <v>-2674374320.750821</v>
      </c>
      <c r="F512" s="6">
        <v>-2674374320.750821</v>
      </c>
      <c r="G512" s="11">
        <f>ABS(E512-F512)</f>
        <v>0.0</v>
      </c>
      <c r="H512" s="10">
        <f>IF(F512=0,"n/a (zero denom)",G512/ABS(F512))</f>
        <v>0.0</v>
      </c>
      <c r="I512" s="10">
        <f>'Tolerances'!$B$10</f>
        <v>0.002</v>
      </c>
      <c r="J512" s="15" t="str">
        <f>IF(F512=0,IF(G512&lt;=0.000001,"PASS","FAIL"),IF(H512&lt;=I512,"PASS","FAIL"))</f>
        <v>PASS</v>
      </c>
      <c r="K512" t="inlineStr">
        <is>
          <t xml:space="preserve"/>
        </is>
      </c>
    </row>
    <row r="513">
      <c r="A513" t="inlineStr">
        <is>
          <t xml:space="preserve">INTC</t>
        </is>
      </c>
      <c r="B513" t="inlineStr">
        <is>
          <t xml:space="preserve">Table 2 -- Terminal growth</t>
        </is>
      </c>
      <c r="C513" t="inlineStr">
        <is>
          <t xml:space="preserve">g=5.0000%</t>
        </is>
      </c>
      <c r="D513" t="inlineStr">
        <is>
          <t xml:space="preserve">Equity Value</t>
        </is>
      </c>
      <c r="E513" s="6">
        <v>-34994374320.750824</v>
      </c>
      <c r="F513" s="6">
        <v>-34994374320.750824</v>
      </c>
      <c r="G513" s="11">
        <f>ABS(E513-F513)</f>
        <v>0.0</v>
      </c>
      <c r="H513" s="10">
        <f>IF(F513=0,"n/a (zero denom)",G513/ABS(F513))</f>
        <v>0.0</v>
      </c>
      <c r="I513" s="10">
        <f>'Tolerances'!$B$11</f>
        <v>0.002</v>
      </c>
      <c r="J513" s="15" t="str">
        <f>IF(F513=0,IF(G513&lt;=0.000001,"PASS","FAIL"),IF(H513&lt;=I513,"PASS","FAIL"))</f>
        <v>PASS</v>
      </c>
      <c r="K513" t="inlineStr">
        <is>
          <t xml:space="preserve"/>
        </is>
      </c>
    </row>
    <row r="514">
      <c r="A514" t="inlineStr">
        <is>
          <t xml:space="preserve">INTC</t>
        </is>
      </c>
      <c r="B514" t="inlineStr">
        <is>
          <t xml:space="preserve">Table 2 -- Terminal growth</t>
        </is>
      </c>
      <c r="C514" t="inlineStr">
        <is>
          <t xml:space="preserve">g=5.0000%</t>
        </is>
      </c>
      <c r="D514" t="inlineStr">
        <is>
          <t xml:space="preserve">Intrinsic Value per Share</t>
        </is>
      </c>
      <c r="E514" s="7">
        <v>-6.620067627542984</v>
      </c>
      <c r="F514" s="7">
        <v>-6.620067627542984</v>
      </c>
      <c r="G514" s="12">
        <f>ABS(E514-F514)</f>
        <v>0.0</v>
      </c>
      <c r="H514" s="10">
        <f>IF(F514=0,"n/a (zero denom)",G514/ABS(F514))</f>
        <v>0.0</v>
      </c>
      <c r="I514" s="10">
        <f>'Tolerances'!$B$13</f>
        <v>0.005</v>
      </c>
      <c r="J514" s="15" t="str">
        <f>IF(F514=0,IF(G514&lt;=0.000001,"PASS","FAIL"),IF(H514&lt;=I514,"PASS","FAIL"))</f>
        <v>PASS</v>
      </c>
      <c r="K514" t="inlineStr">
        <is>
          <t xml:space="preserve"/>
        </is>
      </c>
    </row>
    <row r="515">
      <c r="A515" t="inlineStr">
        <is>
          <t xml:space="preserve">INTC</t>
        </is>
      </c>
      <c r="B515" t="inlineStr">
        <is>
          <t xml:space="preserve">Table 3 -- Revenue growth</t>
        </is>
      </c>
      <c r="C515" t="inlineStr">
        <is>
          <t xml:space="preserve">RevGrowth=-10.0000%</t>
        </is>
      </c>
      <c r="D515" t="inlineStr">
        <is>
          <t xml:space="preserve">FCF Year 1</t>
        </is>
      </c>
      <c r="E515" s="6">
        <v>-419150375.9960079</v>
      </c>
      <c r="F515" s="6">
        <v>-419150375.9960079</v>
      </c>
      <c r="G515" s="11">
        <f>ABS(E515-F515)</f>
        <v>0.0</v>
      </c>
      <c r="H515" s="10">
        <f>IF(F515=0,"n/a (zero denom)",G515/ABS(F515))</f>
        <v>0.0</v>
      </c>
      <c r="I515" s="10">
        <f>'Tolerances'!$B$6</f>
        <v>0.001</v>
      </c>
      <c r="J515" s="15" t="str">
        <f>IF(F515=0,IF(G515&lt;=0.000001,"PASS","FAIL"),IF(H515&lt;=I515,"PASS","FAIL"))</f>
        <v>PASS</v>
      </c>
      <c r="K515" t="inlineStr">
        <is>
          <t xml:space="preserve"/>
        </is>
      </c>
    </row>
    <row r="516">
      <c r="A516" t="inlineStr">
        <is>
          <t xml:space="preserve">INTC</t>
        </is>
      </c>
      <c r="B516" t="inlineStr">
        <is>
          <t xml:space="preserve">Table 3 -- Revenue growth</t>
        </is>
      </c>
      <c r="C516" t="inlineStr">
        <is>
          <t xml:space="preserve">RevGrowth=-10.0000%</t>
        </is>
      </c>
      <c r="D516" t="inlineStr">
        <is>
          <t xml:space="preserve">FCF Year 2</t>
        </is>
      </c>
      <c r="E516" s="6">
        <v>-377235338.3964071</v>
      </c>
      <c r="F516" s="6">
        <v>-377235338.3964071</v>
      </c>
      <c r="G516" s="11">
        <f>ABS(E516-F516)</f>
        <v>0.0</v>
      </c>
      <c r="H516" s="10">
        <f>IF(F516=0,"n/a (zero denom)",G516/ABS(F516))</f>
        <v>0.0</v>
      </c>
      <c r="I516" s="10">
        <f>'Tolerances'!$B$6</f>
        <v>0.001</v>
      </c>
      <c r="J516" s="15" t="str">
        <f>IF(F516=0,IF(G516&lt;=0.000001,"PASS","FAIL"),IF(H516&lt;=I516,"PASS","FAIL"))</f>
        <v>PASS</v>
      </c>
      <c r="K516" t="inlineStr">
        <is>
          <t xml:space="preserve"/>
        </is>
      </c>
    </row>
    <row r="517">
      <c r="A517" t="inlineStr">
        <is>
          <t xml:space="preserve">INTC</t>
        </is>
      </c>
      <c r="B517" t="inlineStr">
        <is>
          <t xml:space="preserve">Table 3 -- Revenue growth</t>
        </is>
      </c>
      <c r="C517" t="inlineStr">
        <is>
          <t xml:space="preserve">RevGrowth=-10.0000%</t>
        </is>
      </c>
      <c r="D517" t="inlineStr">
        <is>
          <t xml:space="preserve">FCF Year 3</t>
        </is>
      </c>
      <c r="E517" s="6">
        <v>-339511804.5567665</v>
      </c>
      <c r="F517" s="6">
        <v>-339511804.5567665</v>
      </c>
      <c r="G517" s="11">
        <f>ABS(E517-F517)</f>
        <v>0.0</v>
      </c>
      <c r="H517" s="10">
        <f>IF(F517=0,"n/a (zero denom)",G517/ABS(F517))</f>
        <v>0.0</v>
      </c>
      <c r="I517" s="10">
        <f>'Tolerances'!$B$6</f>
        <v>0.001</v>
      </c>
      <c r="J517" s="15" t="str">
        <f>IF(F517=0,IF(G517&lt;=0.000001,"PASS","FAIL"),IF(H517&lt;=I517,"PASS","FAIL"))</f>
        <v>PASS</v>
      </c>
      <c r="K517" t="inlineStr">
        <is>
          <t xml:space="preserve"/>
        </is>
      </c>
    </row>
    <row r="518">
      <c r="A518" t="inlineStr">
        <is>
          <t xml:space="preserve">INTC</t>
        </is>
      </c>
      <c r="B518" t="inlineStr">
        <is>
          <t xml:space="preserve">Table 3 -- Revenue growth</t>
        </is>
      </c>
      <c r="C518" t="inlineStr">
        <is>
          <t xml:space="preserve">RevGrowth=-10.0000%</t>
        </is>
      </c>
      <c r="D518" t="inlineStr">
        <is>
          <t xml:space="preserve">FCF Year 4</t>
        </is>
      </c>
      <c r="E518" s="6">
        <v>-305560624.10108984</v>
      </c>
      <c r="F518" s="6">
        <v>-305560624.10108984</v>
      </c>
      <c r="G518" s="11">
        <f>ABS(E518-F518)</f>
        <v>0.0</v>
      </c>
      <c r="H518" s="10">
        <f>IF(F518=0,"n/a (zero denom)",G518/ABS(F518))</f>
        <v>0.0</v>
      </c>
      <c r="I518" s="10">
        <f>'Tolerances'!$B$6</f>
        <v>0.001</v>
      </c>
      <c r="J518" s="15" t="str">
        <f>IF(F518=0,IF(G518&lt;=0.000001,"PASS","FAIL"),IF(H518&lt;=I518,"PASS","FAIL"))</f>
        <v>PASS</v>
      </c>
      <c r="K518" t="inlineStr">
        <is>
          <t xml:space="preserve"/>
        </is>
      </c>
    </row>
    <row r="519">
      <c r="A519" t="inlineStr">
        <is>
          <t xml:space="preserve">INTC</t>
        </is>
      </c>
      <c r="B519" t="inlineStr">
        <is>
          <t xml:space="preserve">Table 3 -- Revenue growth</t>
        </is>
      </c>
      <c r="C519" t="inlineStr">
        <is>
          <t xml:space="preserve">RevGrowth=-10.0000%</t>
        </is>
      </c>
      <c r="D519" t="inlineStr">
        <is>
          <t xml:space="preserve">FCF Year 5</t>
        </is>
      </c>
      <c r="E519" s="6">
        <v>-275004561.69098073</v>
      </c>
      <c r="F519" s="6">
        <v>-275004561.69098073</v>
      </c>
      <c r="G519" s="11">
        <f>ABS(E519-F519)</f>
        <v>0.0</v>
      </c>
      <c r="H519" s="10">
        <f>IF(F519=0,"n/a (zero denom)",G519/ABS(F519))</f>
        <v>0.0</v>
      </c>
      <c r="I519" s="10">
        <f>'Tolerances'!$B$6</f>
        <v>0.001</v>
      </c>
      <c r="J519" s="15" t="str">
        <f>IF(F519=0,IF(G519&lt;=0.000001,"PASS","FAIL"),IF(H519&lt;=I519,"PASS","FAIL"))</f>
        <v>PASS</v>
      </c>
      <c r="K519" t="inlineStr">
        <is>
          <t xml:space="preserve"/>
        </is>
      </c>
    </row>
    <row r="520">
      <c r="A520" t="inlineStr">
        <is>
          <t xml:space="preserve">INTC</t>
        </is>
      </c>
      <c r="B520" t="inlineStr">
        <is>
          <t xml:space="preserve">Table 3 -- Revenue growth</t>
        </is>
      </c>
      <c r="C520" t="inlineStr">
        <is>
          <t xml:space="preserve">RevGrowth=-10.0000%</t>
        </is>
      </c>
      <c r="D520" t="inlineStr">
        <is>
          <t xml:space="preserve">Terminal Value</t>
        </is>
      </c>
      <c r="E520" s="6">
        <v>-2245222265.265173</v>
      </c>
      <c r="F520" s="6">
        <v>-2245222265.265173</v>
      </c>
      <c r="G520" s="11">
        <f>ABS(E520-F520)</f>
        <v>0.0</v>
      </c>
      <c r="H520" s="10">
        <f>IF(F520=0,"n/a (zero denom)",G520/ABS(F520))</f>
        <v>0.0</v>
      </c>
      <c r="I520" s="10">
        <f>'Tolerances'!$B$7</f>
        <v>0.002</v>
      </c>
      <c r="J520" s="15" t="str">
        <f>IF(F520=0,IF(G520&lt;=0.000001,"PASS","FAIL"),IF(H520&lt;=I520,"PASS","FAIL"))</f>
        <v>PASS</v>
      </c>
      <c r="K520" t="inlineStr">
        <is>
          <t xml:space="preserve"/>
        </is>
      </c>
    </row>
    <row r="521">
      <c r="A521" t="inlineStr">
        <is>
          <t xml:space="preserve">INTC</t>
        </is>
      </c>
      <c r="B521" t="inlineStr">
        <is>
          <t xml:space="preserve">Table 3 -- Revenue growth</t>
        </is>
      </c>
      <c r="C521" t="inlineStr">
        <is>
          <t xml:space="preserve">RevGrowth=-10.0000%</t>
        </is>
      </c>
      <c r="D521" t="inlineStr">
        <is>
          <t xml:space="preserve">Enterprise Value</t>
        </is>
      </c>
      <c r="E521" s="6">
        <v>-2296594368.871166</v>
      </c>
      <c r="F521" s="6">
        <v>-2296594368.871166</v>
      </c>
      <c r="G521" s="11">
        <f>ABS(E521-F521)</f>
        <v>0.0</v>
      </c>
      <c r="H521" s="10">
        <f>IF(F521=0,"n/a (zero denom)",G521/ABS(F521))</f>
        <v>0.0</v>
      </c>
      <c r="I521" s="10">
        <f>'Tolerances'!$B$10</f>
        <v>0.002</v>
      </c>
      <c r="J521" s="15" t="str">
        <f>IF(F521=0,IF(G521&lt;=0.000001,"PASS","FAIL"),IF(H521&lt;=I521,"PASS","FAIL"))</f>
        <v>PASS</v>
      </c>
      <c r="K521" t="inlineStr">
        <is>
          <t xml:space="preserve"/>
        </is>
      </c>
    </row>
    <row r="522">
      <c r="A522" t="inlineStr">
        <is>
          <t xml:space="preserve">INTC</t>
        </is>
      </c>
      <c r="B522" t="inlineStr">
        <is>
          <t xml:space="preserve">Table 3 -- Revenue growth</t>
        </is>
      </c>
      <c r="C522" t="inlineStr">
        <is>
          <t xml:space="preserve">RevGrowth=-10.0000%</t>
        </is>
      </c>
      <c r="D522" t="inlineStr">
        <is>
          <t xml:space="preserve">Equity Value</t>
        </is>
      </c>
      <c r="E522" s="6">
        <v>-34616594368.87117</v>
      </c>
      <c r="F522" s="6">
        <v>-34616594368.87117</v>
      </c>
      <c r="G522" s="11">
        <f>ABS(E522-F522)</f>
        <v>0.0</v>
      </c>
      <c r="H522" s="10">
        <f>IF(F522=0,"n/a (zero denom)",G522/ABS(F522))</f>
        <v>0.0</v>
      </c>
      <c r="I522" s="10">
        <f>'Tolerances'!$B$11</f>
        <v>0.002</v>
      </c>
      <c r="J522" s="15" t="str">
        <f>IF(F522=0,IF(G522&lt;=0.000001,"PASS","FAIL"),IF(H522&lt;=I522,"PASS","FAIL"))</f>
        <v>PASS</v>
      </c>
      <c r="K522" t="inlineStr">
        <is>
          <t xml:space="preserve"/>
        </is>
      </c>
    </row>
    <row r="523">
      <c r="A523" t="inlineStr">
        <is>
          <t xml:space="preserve">INTC</t>
        </is>
      </c>
      <c r="B523" t="inlineStr">
        <is>
          <t xml:space="preserve">Table 3 -- Revenue growth</t>
        </is>
      </c>
      <c r="C523" t="inlineStr">
        <is>
          <t xml:space="preserve">RevGrowth=-10.0000%</t>
        </is>
      </c>
      <c r="D523" t="inlineStr">
        <is>
          <t xml:space="preserve">Intrinsic Value per Share</t>
        </is>
      </c>
      <c r="E523" s="7">
        <v>-6.54860103103092</v>
      </c>
      <c r="F523" s="7">
        <v>-6.54860103103092</v>
      </c>
      <c r="G523" s="12">
        <f>ABS(E523-F523)</f>
        <v>0.0</v>
      </c>
      <c r="H523" s="10">
        <f>IF(F523=0,"n/a (zero denom)",G523/ABS(F523))</f>
        <v>0.0</v>
      </c>
      <c r="I523" s="10">
        <f>'Tolerances'!$B$13</f>
        <v>0.005</v>
      </c>
      <c r="J523" s="15" t="str">
        <f>IF(F523=0,IF(G523&lt;=0.000001,"PASS","FAIL"),IF(H523&lt;=I523,"PASS","FAIL"))</f>
        <v>PASS</v>
      </c>
      <c r="K523" t="inlineStr">
        <is>
          <t xml:space="preserve"/>
        </is>
      </c>
    </row>
    <row r="524">
      <c r="A524" t="inlineStr">
        <is>
          <t xml:space="preserve">INTC</t>
        </is>
      </c>
      <c r="B524" t="inlineStr">
        <is>
          <t xml:space="preserve">Table 3 -- Revenue growth</t>
        </is>
      </c>
      <c r="C524" t="inlineStr">
        <is>
          <t xml:space="preserve">RevGrowth=-5.0000%</t>
        </is>
      </c>
      <c r="D524" t="inlineStr">
        <is>
          <t xml:space="preserve">FCF Year 1</t>
        </is>
      </c>
      <c r="E524" s="6">
        <v>-471799285.77356386</v>
      </c>
      <c r="F524" s="6">
        <v>-471799285.77356386</v>
      </c>
      <c r="G524" s="11">
        <f>ABS(E524-F524)</f>
        <v>0.0</v>
      </c>
      <c r="H524" s="10">
        <f>IF(F524=0,"n/a (zero denom)",G524/ABS(F524))</f>
        <v>0.0</v>
      </c>
      <c r="I524" s="10">
        <f>'Tolerances'!$B$6</f>
        <v>0.001</v>
      </c>
      <c r="J524" s="15" t="str">
        <f>IF(F524=0,IF(G524&lt;=0.000001,"PASS","FAIL"),IF(H524&lt;=I524,"PASS","FAIL"))</f>
        <v>PASS</v>
      </c>
      <c r="K524" t="inlineStr">
        <is>
          <t xml:space="preserve"/>
        </is>
      </c>
    </row>
    <row r="525">
      <c r="A525" t="inlineStr">
        <is>
          <t xml:space="preserve">INTC</t>
        </is>
      </c>
      <c r="B525" t="inlineStr">
        <is>
          <t xml:space="preserve">Table 3 -- Revenue growth</t>
        </is>
      </c>
      <c r="C525" t="inlineStr">
        <is>
          <t xml:space="preserve">RevGrowth=-5.0000%</t>
        </is>
      </c>
      <c r="D525" t="inlineStr">
        <is>
          <t xml:space="preserve">FCF Year 2</t>
        </is>
      </c>
      <c r="E525" s="6">
        <v>-448209321.4848857</v>
      </c>
      <c r="F525" s="6">
        <v>-448209321.4848857</v>
      </c>
      <c r="G525" s="11">
        <f>ABS(E525-F525)</f>
        <v>0.0</v>
      </c>
      <c r="H525" s="10">
        <f>IF(F525=0,"n/a (zero denom)",G525/ABS(F525))</f>
        <v>0.0</v>
      </c>
      <c r="I525" s="10">
        <f>'Tolerances'!$B$6</f>
        <v>0.001</v>
      </c>
      <c r="J525" s="15" t="str">
        <f>IF(F525=0,IF(G525&lt;=0.000001,"PASS","FAIL"),IF(H525&lt;=I525,"PASS","FAIL"))</f>
        <v>PASS</v>
      </c>
      <c r="K525" t="inlineStr">
        <is>
          <t xml:space="preserve"/>
        </is>
      </c>
    </row>
    <row r="526">
      <c r="A526" t="inlineStr">
        <is>
          <t xml:space="preserve">INTC</t>
        </is>
      </c>
      <c r="B526" t="inlineStr">
        <is>
          <t xml:space="preserve">Table 3 -- Revenue growth</t>
        </is>
      </c>
      <c r="C526" t="inlineStr">
        <is>
          <t xml:space="preserve">RevGrowth=-5.0000%</t>
        </is>
      </c>
      <c r="D526" t="inlineStr">
        <is>
          <t xml:space="preserve">FCF Year 3</t>
        </is>
      </c>
      <c r="E526" s="6">
        <v>-425798855.41064143</v>
      </c>
      <c r="F526" s="6">
        <v>-425798855.41064143</v>
      </c>
      <c r="G526" s="11">
        <f>ABS(E526-F526)</f>
        <v>0.0</v>
      </c>
      <c r="H526" s="10">
        <f>IF(F526=0,"n/a (zero denom)",G526/ABS(F526))</f>
        <v>0.0</v>
      </c>
      <c r="I526" s="10">
        <f>'Tolerances'!$B$6</f>
        <v>0.001</v>
      </c>
      <c r="J526" s="15" t="str">
        <f>IF(F526=0,IF(G526&lt;=0.000001,"PASS","FAIL"),IF(H526&lt;=I526,"PASS","FAIL"))</f>
        <v>PASS</v>
      </c>
      <c r="K526" t="inlineStr">
        <is>
          <t xml:space="preserve"/>
        </is>
      </c>
    </row>
    <row r="527">
      <c r="A527" t="inlineStr">
        <is>
          <t xml:space="preserve">INTC</t>
        </is>
      </c>
      <c r="B527" t="inlineStr">
        <is>
          <t xml:space="preserve">Table 3 -- Revenue growth</t>
        </is>
      </c>
      <c r="C527" t="inlineStr">
        <is>
          <t xml:space="preserve">RevGrowth=-5.0000%</t>
        </is>
      </c>
      <c r="D527" t="inlineStr">
        <is>
          <t xml:space="preserve">FCF Year 4</t>
        </is>
      </c>
      <c r="E527" s="6">
        <v>-404508912.6401093</v>
      </c>
      <c r="F527" s="6">
        <v>-404508912.6401093</v>
      </c>
      <c r="G527" s="11">
        <f>ABS(E527-F527)</f>
        <v>0.0</v>
      </c>
      <c r="H527" s="10">
        <f>IF(F527=0,"n/a (zero denom)",G527/ABS(F527))</f>
        <v>0.0</v>
      </c>
      <c r="I527" s="10">
        <f>'Tolerances'!$B$6</f>
        <v>0.001</v>
      </c>
      <c r="J527" s="15" t="str">
        <f>IF(F527=0,IF(G527&lt;=0.000001,"PASS","FAIL"),IF(H527&lt;=I527,"PASS","FAIL"))</f>
        <v>PASS</v>
      </c>
      <c r="K527" t="inlineStr">
        <is>
          <t xml:space="preserve"/>
        </is>
      </c>
    </row>
    <row r="528">
      <c r="A528" t="inlineStr">
        <is>
          <t xml:space="preserve">INTC</t>
        </is>
      </c>
      <c r="B528" t="inlineStr">
        <is>
          <t xml:space="preserve">Table 3 -- Revenue growth</t>
        </is>
      </c>
      <c r="C528" t="inlineStr">
        <is>
          <t xml:space="preserve">RevGrowth=-5.0000%</t>
        </is>
      </c>
      <c r="D528" t="inlineStr">
        <is>
          <t xml:space="preserve">FCF Year 5</t>
        </is>
      </c>
      <c r="E528" s="6">
        <v>-384283467.0081042</v>
      </c>
      <c r="F528" s="6">
        <v>-384283467.0081042</v>
      </c>
      <c r="G528" s="11">
        <f>ABS(E528-F528)</f>
        <v>0.0</v>
      </c>
      <c r="H528" s="10">
        <f>IF(F528=0,"n/a (zero denom)",G528/ABS(F528))</f>
        <v>0.0</v>
      </c>
      <c r="I528" s="10">
        <f>'Tolerances'!$B$6</f>
        <v>0.001</v>
      </c>
      <c r="J528" s="15" t="str">
        <f>IF(F528=0,IF(G528&lt;=0.000001,"PASS","FAIL"),IF(H528&lt;=I528,"PASS","FAIL"))</f>
        <v>PASS</v>
      </c>
      <c r="K528" t="inlineStr">
        <is>
          <t xml:space="preserve"/>
        </is>
      </c>
    </row>
    <row r="529">
      <c r="A529" t="inlineStr">
        <is>
          <t xml:space="preserve">INTC</t>
        </is>
      </c>
      <c r="B529" t="inlineStr">
        <is>
          <t xml:space="preserve">Table 3 -- Revenue growth</t>
        </is>
      </c>
      <c r="C529" t="inlineStr">
        <is>
          <t xml:space="preserve">RevGrowth=-5.0000%</t>
        </is>
      </c>
      <c r="D529" t="inlineStr">
        <is>
          <t xml:space="preserve">Terminal Value</t>
        </is>
      </c>
      <c r="E529" s="6">
        <v>-3137409034.2159843</v>
      </c>
      <c r="F529" s="6">
        <v>-3137409034.2159843</v>
      </c>
      <c r="G529" s="11">
        <f>ABS(E529-F529)</f>
        <v>0.0</v>
      </c>
      <c r="H529" s="10">
        <f>IF(F529=0,"n/a (zero denom)",G529/ABS(F529))</f>
        <v>0.0</v>
      </c>
      <c r="I529" s="10">
        <f>'Tolerances'!$B$7</f>
        <v>0.002</v>
      </c>
      <c r="J529" s="15" t="str">
        <f>IF(F529=0,IF(G529&lt;=0.000001,"PASS","FAIL"),IF(H529&lt;=I529,"PASS","FAIL"))</f>
        <v>PASS</v>
      </c>
      <c r="K529" t="inlineStr">
        <is>
          <t xml:space="preserve"/>
        </is>
      </c>
    </row>
    <row r="530">
      <c r="A530" t="inlineStr">
        <is>
          <t xml:space="preserve">INTC</t>
        </is>
      </c>
      <c r="B530" t="inlineStr">
        <is>
          <t xml:space="preserve">Table 3 -- Revenue growth</t>
        </is>
      </c>
      <c r="C530" t="inlineStr">
        <is>
          <t xml:space="preserve">RevGrowth=-5.0000%</t>
        </is>
      </c>
      <c r="D530" t="inlineStr">
        <is>
          <t xml:space="preserve">Enterprise Value</t>
        </is>
      </c>
      <c r="E530" s="6">
        <v>-3005814958.1921806</v>
      </c>
      <c r="F530" s="6">
        <v>-3005814958.1921806</v>
      </c>
      <c r="G530" s="11">
        <f>ABS(E530-F530)</f>
        <v>0.0</v>
      </c>
      <c r="H530" s="10">
        <f>IF(F530=0,"n/a (zero denom)",G530/ABS(F530))</f>
        <v>0.0</v>
      </c>
      <c r="I530" s="10">
        <f>'Tolerances'!$B$10</f>
        <v>0.002</v>
      </c>
      <c r="J530" s="15" t="str">
        <f>IF(F530=0,IF(G530&lt;=0.000001,"PASS","FAIL"),IF(H530&lt;=I530,"PASS","FAIL"))</f>
        <v>PASS</v>
      </c>
      <c r="K530" t="inlineStr">
        <is>
          <t xml:space="preserve"/>
        </is>
      </c>
    </row>
    <row r="531">
      <c r="A531" t="inlineStr">
        <is>
          <t xml:space="preserve">INTC</t>
        </is>
      </c>
      <c r="B531" t="inlineStr">
        <is>
          <t xml:space="preserve">Table 3 -- Revenue growth</t>
        </is>
      </c>
      <c r="C531" t="inlineStr">
        <is>
          <t xml:space="preserve">RevGrowth=-5.0000%</t>
        </is>
      </c>
      <c r="D531" t="inlineStr">
        <is>
          <t xml:space="preserve">Equity Value</t>
        </is>
      </c>
      <c r="E531" s="6">
        <v>-35325814958.192184</v>
      </c>
      <c r="F531" s="6">
        <v>-35325814958.192184</v>
      </c>
      <c r="G531" s="11">
        <f>ABS(E531-F531)</f>
        <v>0.0</v>
      </c>
      <c r="H531" s="10">
        <f>IF(F531=0,"n/a (zero denom)",G531/ABS(F531))</f>
        <v>0.0</v>
      </c>
      <c r="I531" s="10">
        <f>'Tolerances'!$B$11</f>
        <v>0.002</v>
      </c>
      <c r="J531" s="15" t="str">
        <f>IF(F531=0,IF(G531&lt;=0.000001,"PASS","FAIL"),IF(H531&lt;=I531,"PASS","FAIL"))</f>
        <v>PASS</v>
      </c>
      <c r="K531" t="inlineStr">
        <is>
          <t xml:space="preserve"/>
        </is>
      </c>
    </row>
    <row r="532">
      <c r="A532" t="inlineStr">
        <is>
          <t xml:space="preserve">INTC</t>
        </is>
      </c>
      <c r="B532" t="inlineStr">
        <is>
          <t xml:space="preserve">Table 3 -- Revenue growth</t>
        </is>
      </c>
      <c r="C532" t="inlineStr">
        <is>
          <t xml:space="preserve">RevGrowth=-5.0000%</t>
        </is>
      </c>
      <c r="D532" t="inlineStr">
        <is>
          <t xml:space="preserve">Intrinsic Value per Share</t>
        </is>
      </c>
      <c r="E532" s="7">
        <v>-6.682767975155048</v>
      </c>
      <c r="F532" s="7">
        <v>-6.682767975155048</v>
      </c>
      <c r="G532" s="12">
        <f>ABS(E532-F532)</f>
        <v>0.0</v>
      </c>
      <c r="H532" s="10">
        <f>IF(F532=0,"n/a (zero denom)",G532/ABS(F532))</f>
        <v>0.0</v>
      </c>
      <c r="I532" s="10">
        <f>'Tolerances'!$B$13</f>
        <v>0.005</v>
      </c>
      <c r="J532" s="15" t="str">
        <f>IF(F532=0,IF(G532&lt;=0.000001,"PASS","FAIL"),IF(H532&lt;=I532,"PASS","FAIL"))</f>
        <v>PASS</v>
      </c>
      <c r="K532" t="inlineStr">
        <is>
          <t xml:space="preserve"/>
        </is>
      </c>
    </row>
    <row r="533">
      <c r="A533" t="inlineStr">
        <is>
          <t xml:space="preserve">INTC</t>
        </is>
      </c>
      <c r="B533" t="inlineStr">
        <is>
          <t xml:space="preserve">Table 3 -- Revenue growth</t>
        </is>
      </c>
      <c r="C533" t="inlineStr">
        <is>
          <t xml:space="preserve">RevGrowth=0.0000%</t>
        </is>
      </c>
      <c r="D533" t="inlineStr">
        <is>
          <t xml:space="preserve">FCF Year 1</t>
        </is>
      </c>
      <c r="E533" s="6">
        <v>-524448195.55112004</v>
      </c>
      <c r="F533" s="6">
        <v>-524448195.55112004</v>
      </c>
      <c r="G533" s="11">
        <f>ABS(E533-F533)</f>
        <v>0.0</v>
      </c>
      <c r="H533" s="10">
        <f>IF(F533=0,"n/a (zero denom)",G533/ABS(F533))</f>
        <v>0.0</v>
      </c>
      <c r="I533" s="10">
        <f>'Tolerances'!$B$6</f>
        <v>0.001</v>
      </c>
      <c r="J533" s="15" t="str">
        <f>IF(F533=0,IF(G533&lt;=0.000001,"PASS","FAIL"),IF(H533&lt;=I533,"PASS","FAIL"))</f>
        <v>PASS</v>
      </c>
      <c r="K533" t="inlineStr">
        <is>
          <t xml:space="preserve"/>
        </is>
      </c>
    </row>
    <row r="534">
      <c r="A534" t="inlineStr">
        <is>
          <t xml:space="preserve">INTC</t>
        </is>
      </c>
      <c r="B534" t="inlineStr">
        <is>
          <t xml:space="preserve">Table 3 -- Revenue growth</t>
        </is>
      </c>
      <c r="C534" t="inlineStr">
        <is>
          <t xml:space="preserve">RevGrowth=0.0000%</t>
        </is>
      </c>
      <c r="D534" t="inlineStr">
        <is>
          <t xml:space="preserve">FCF Year 2</t>
        </is>
      </c>
      <c r="E534" s="6">
        <v>-524448195.55112004</v>
      </c>
      <c r="F534" s="6">
        <v>-524448195.55112004</v>
      </c>
      <c r="G534" s="11">
        <f>ABS(E534-F534)</f>
        <v>0.0</v>
      </c>
      <c r="H534" s="10">
        <f>IF(F534=0,"n/a (zero denom)",G534/ABS(F534))</f>
        <v>0.0</v>
      </c>
      <c r="I534" s="10">
        <f>'Tolerances'!$B$6</f>
        <v>0.001</v>
      </c>
      <c r="J534" s="15" t="str">
        <f>IF(F534=0,IF(G534&lt;=0.000001,"PASS","FAIL"),IF(H534&lt;=I534,"PASS","FAIL"))</f>
        <v>PASS</v>
      </c>
      <c r="K534" t="inlineStr">
        <is>
          <t xml:space="preserve"/>
        </is>
      </c>
    </row>
    <row r="535">
      <c r="A535" t="inlineStr">
        <is>
          <t xml:space="preserve">INTC</t>
        </is>
      </c>
      <c r="B535" t="inlineStr">
        <is>
          <t xml:space="preserve">Table 3 -- Revenue growth</t>
        </is>
      </c>
      <c r="C535" t="inlineStr">
        <is>
          <t xml:space="preserve">RevGrowth=0.0000%</t>
        </is>
      </c>
      <c r="D535" t="inlineStr">
        <is>
          <t xml:space="preserve">FCF Year 3</t>
        </is>
      </c>
      <c r="E535" s="6">
        <v>-524448195.55112004</v>
      </c>
      <c r="F535" s="6">
        <v>-524448195.55112004</v>
      </c>
      <c r="G535" s="11">
        <f>ABS(E535-F535)</f>
        <v>0.0</v>
      </c>
      <c r="H535" s="10">
        <f>IF(F535=0,"n/a (zero denom)",G535/ABS(F535))</f>
        <v>0.0</v>
      </c>
      <c r="I535" s="10">
        <f>'Tolerances'!$B$6</f>
        <v>0.001</v>
      </c>
      <c r="J535" s="15" t="str">
        <f>IF(F535=0,IF(G535&lt;=0.000001,"PASS","FAIL"),IF(H535&lt;=I535,"PASS","FAIL"))</f>
        <v>PASS</v>
      </c>
      <c r="K535" t="inlineStr">
        <is>
          <t xml:space="preserve"/>
        </is>
      </c>
    </row>
    <row r="536">
      <c r="A536" t="inlineStr">
        <is>
          <t xml:space="preserve">INTC</t>
        </is>
      </c>
      <c r="B536" t="inlineStr">
        <is>
          <t xml:space="preserve">Table 3 -- Revenue growth</t>
        </is>
      </c>
      <c r="C536" t="inlineStr">
        <is>
          <t xml:space="preserve">RevGrowth=0.0000%</t>
        </is>
      </c>
      <c r="D536" t="inlineStr">
        <is>
          <t xml:space="preserve">FCF Year 4</t>
        </is>
      </c>
      <c r="E536" s="6">
        <v>-524448195.55112004</v>
      </c>
      <c r="F536" s="6">
        <v>-524448195.55112004</v>
      </c>
      <c r="G536" s="11">
        <f>ABS(E536-F536)</f>
        <v>0.0</v>
      </c>
      <c r="H536" s="10">
        <f>IF(F536=0,"n/a (zero denom)",G536/ABS(F536))</f>
        <v>0.0</v>
      </c>
      <c r="I536" s="10">
        <f>'Tolerances'!$B$6</f>
        <v>0.001</v>
      </c>
      <c r="J536" s="15" t="str">
        <f>IF(F536=0,IF(G536&lt;=0.000001,"PASS","FAIL"),IF(H536&lt;=I536,"PASS","FAIL"))</f>
        <v>PASS</v>
      </c>
      <c r="K536" t="inlineStr">
        <is>
          <t xml:space="preserve"/>
        </is>
      </c>
    </row>
    <row r="537">
      <c r="A537" t="inlineStr">
        <is>
          <t xml:space="preserve">INTC</t>
        </is>
      </c>
      <c r="B537" t="inlineStr">
        <is>
          <t xml:space="preserve">Table 3 -- Revenue growth</t>
        </is>
      </c>
      <c r="C537" t="inlineStr">
        <is>
          <t xml:space="preserve">RevGrowth=0.0000%</t>
        </is>
      </c>
      <c r="D537" t="inlineStr">
        <is>
          <t xml:space="preserve">FCF Year 5</t>
        </is>
      </c>
      <c r="E537" s="6">
        <v>-524448195.55112004</v>
      </c>
      <c r="F537" s="6">
        <v>-524448195.55112004</v>
      </c>
      <c r="G537" s="11">
        <f>ABS(E537-F537)</f>
        <v>0.0</v>
      </c>
      <c r="H537" s="10">
        <f>IF(F537=0,"n/a (zero denom)",G537/ABS(F537))</f>
        <v>0.0</v>
      </c>
      <c r="I537" s="10">
        <f>'Tolerances'!$B$6</f>
        <v>0.001</v>
      </c>
      <c r="J537" s="15" t="str">
        <f>IF(F537=0,IF(G537&lt;=0.000001,"PASS","FAIL"),IF(H537&lt;=I537,"PASS","FAIL"))</f>
        <v>PASS</v>
      </c>
      <c r="K537" t="inlineStr">
        <is>
          <t xml:space="preserve"/>
        </is>
      </c>
    </row>
    <row r="538">
      <c r="A538" t="inlineStr">
        <is>
          <t xml:space="preserve">INTC</t>
        </is>
      </c>
      <c r="B538" t="inlineStr">
        <is>
          <t xml:space="preserve">Table 3 -- Revenue growth</t>
        </is>
      </c>
      <c r="C538" t="inlineStr">
        <is>
          <t xml:space="preserve">RevGrowth=0.0000%</t>
        </is>
      </c>
      <c r="D538" t="inlineStr">
        <is>
          <t xml:space="preserve">Terminal Value</t>
        </is>
      </c>
      <c r="E538" s="6">
        <v>-4281757213.0045743</v>
      </c>
      <c r="F538" s="6">
        <v>-4281757213.0045743</v>
      </c>
      <c r="G538" s="11">
        <f>ABS(E538-F538)</f>
        <v>0.0</v>
      </c>
      <c r="H538" s="10">
        <f>IF(F538=0,"n/a (zero denom)",G538/ABS(F538))</f>
        <v>0.0</v>
      </c>
      <c r="I538" s="10">
        <f>'Tolerances'!$B$7</f>
        <v>0.002</v>
      </c>
      <c r="J538" s="15" t="str">
        <f>IF(F538=0,IF(G538&lt;=0.000001,"PASS","FAIL"),IF(H538&lt;=I538,"PASS","FAIL"))</f>
        <v>PASS</v>
      </c>
      <c r="K538" t="inlineStr">
        <is>
          <t xml:space="preserve"/>
        </is>
      </c>
    </row>
    <row r="539">
      <c r="A539" t="inlineStr">
        <is>
          <t xml:space="preserve">INTC</t>
        </is>
      </c>
      <c r="B539" t="inlineStr">
        <is>
          <t xml:space="preserve">Table 3 -- Revenue growth</t>
        </is>
      </c>
      <c r="C539" t="inlineStr">
        <is>
          <t xml:space="preserve">RevGrowth=0.0000%</t>
        </is>
      </c>
      <c r="D539" t="inlineStr">
        <is>
          <t xml:space="preserve">Enterprise Value</t>
        </is>
      </c>
      <c r="E539" s="6">
        <v>-3879499130.2699747</v>
      </c>
      <c r="F539" s="6">
        <v>-3879499130.2699747</v>
      </c>
      <c r="G539" s="11">
        <f>ABS(E539-F539)</f>
        <v>0.0</v>
      </c>
      <c r="H539" s="10">
        <f>IF(F539=0,"n/a (zero denom)",G539/ABS(F539))</f>
        <v>0.0</v>
      </c>
      <c r="I539" s="10">
        <f>'Tolerances'!$B$10</f>
        <v>0.002</v>
      </c>
      <c r="J539" s="15" t="str">
        <f>IF(F539=0,IF(G539&lt;=0.000001,"PASS","FAIL"),IF(H539&lt;=I539,"PASS","FAIL"))</f>
        <v>PASS</v>
      </c>
      <c r="K539" t="inlineStr">
        <is>
          <t xml:space="preserve"/>
        </is>
      </c>
    </row>
    <row r="540">
      <c r="A540" t="inlineStr">
        <is>
          <t xml:space="preserve">INTC</t>
        </is>
      </c>
      <c r="B540" t="inlineStr">
        <is>
          <t xml:space="preserve">Table 3 -- Revenue growth</t>
        </is>
      </c>
      <c r="C540" t="inlineStr">
        <is>
          <t xml:space="preserve">RevGrowth=0.0000%</t>
        </is>
      </c>
      <c r="D540" t="inlineStr">
        <is>
          <t xml:space="preserve">Equity Value</t>
        </is>
      </c>
      <c r="E540" s="6">
        <v>-36199499130.26997</v>
      </c>
      <c r="F540" s="6">
        <v>-36199499130.26997</v>
      </c>
      <c r="G540" s="11">
        <f>ABS(E540-F540)</f>
        <v>0.0</v>
      </c>
      <c r="H540" s="10">
        <f>IF(F540=0,"n/a (zero denom)",G540/ABS(F540))</f>
        <v>0.0</v>
      </c>
      <c r="I540" s="10">
        <f>'Tolerances'!$B$11</f>
        <v>0.002</v>
      </c>
      <c r="J540" s="15" t="str">
        <f>IF(F540=0,IF(G540&lt;=0.000001,"PASS","FAIL"),IF(H540&lt;=I540,"PASS","FAIL"))</f>
        <v>PASS</v>
      </c>
      <c r="K540" t="inlineStr">
        <is>
          <t xml:space="preserve"/>
        </is>
      </c>
    </row>
    <row r="541">
      <c r="A541" t="inlineStr">
        <is>
          <t xml:space="preserve">INTC</t>
        </is>
      </c>
      <c r="B541" t="inlineStr">
        <is>
          <t xml:space="preserve">Table 3 -- Revenue growth</t>
        </is>
      </c>
      <c r="C541" t="inlineStr">
        <is>
          <t xml:space="preserve">RevGrowth=0.0000%</t>
        </is>
      </c>
      <c r="D541" t="inlineStr">
        <is>
          <t xml:space="preserve">Intrinsic Value per Share</t>
        </is>
      </c>
      <c r="E541" s="7">
        <v>-6.848047349812682</v>
      </c>
      <c r="F541" s="7">
        <v>-6.848047349812682</v>
      </c>
      <c r="G541" s="12">
        <f>ABS(E541-F541)</f>
        <v>0.0</v>
      </c>
      <c r="H541" s="10">
        <f>IF(F541=0,"n/a (zero denom)",G541/ABS(F541))</f>
        <v>0.0</v>
      </c>
      <c r="I541" s="10">
        <f>'Tolerances'!$B$13</f>
        <v>0.005</v>
      </c>
      <c r="J541" s="15" t="str">
        <f>IF(F541=0,IF(G541&lt;=0.000001,"PASS","FAIL"),IF(H541&lt;=I541,"PASS","FAIL"))</f>
        <v>PASS</v>
      </c>
      <c r="K541" t="inlineStr">
        <is>
          <t xml:space="preserve"/>
        </is>
      </c>
    </row>
    <row r="542">
      <c r="A542" t="inlineStr">
        <is>
          <t xml:space="preserve">INTC</t>
        </is>
      </c>
      <c r="B542" t="inlineStr">
        <is>
          <t xml:space="preserve">Table 3 -- Revenue growth</t>
        </is>
      </c>
      <c r="C542" t="inlineStr">
        <is>
          <t xml:space="preserve">RevGrowth=5.0000%</t>
        </is>
      </c>
      <c r="D542" t="inlineStr">
        <is>
          <t xml:space="preserve">FCF Year 1</t>
        </is>
      </c>
      <c r="E542" s="6">
        <v>-577097105.328676</v>
      </c>
      <c r="F542" s="6">
        <v>-577097105.328676</v>
      </c>
      <c r="G542" s="11">
        <f>ABS(E542-F542)</f>
        <v>0.0</v>
      </c>
      <c r="H542" s="10">
        <f>IF(F542=0,"n/a (zero denom)",G542/ABS(F542))</f>
        <v>0.0</v>
      </c>
      <c r="I542" s="10">
        <f>'Tolerances'!$B$6</f>
        <v>0.001</v>
      </c>
      <c r="J542" s="15" t="str">
        <f>IF(F542=0,IF(G542&lt;=0.000001,"PASS","FAIL"),IF(H542&lt;=I542,"PASS","FAIL"))</f>
        <v>PASS</v>
      </c>
      <c r="K542" t="inlineStr">
        <is>
          <t xml:space="preserve"/>
        </is>
      </c>
    </row>
    <row r="543">
      <c r="A543" t="inlineStr">
        <is>
          <t xml:space="preserve">INTC</t>
        </is>
      </c>
      <c r="B543" t="inlineStr">
        <is>
          <t xml:space="preserve">Table 3 -- Revenue growth</t>
        </is>
      </c>
      <c r="C543" t="inlineStr">
        <is>
          <t xml:space="preserve">RevGrowth=5.0000%</t>
        </is>
      </c>
      <c r="D543" t="inlineStr">
        <is>
          <t xml:space="preserve">FCF Year 2</t>
        </is>
      </c>
      <c r="E543" s="6">
        <v>-605951960.5951097</v>
      </c>
      <c r="F543" s="6">
        <v>-605951960.5951097</v>
      </c>
      <c r="G543" s="11">
        <f>ABS(E543-F543)</f>
        <v>0.0</v>
      </c>
      <c r="H543" s="10">
        <f>IF(F543=0,"n/a (zero denom)",G543/ABS(F543))</f>
        <v>0.0</v>
      </c>
      <c r="I543" s="10">
        <f>'Tolerances'!$B$6</f>
        <v>0.001</v>
      </c>
      <c r="J543" s="15" t="str">
        <f>IF(F543=0,IF(G543&lt;=0.000001,"PASS","FAIL"),IF(H543&lt;=I543,"PASS","FAIL"))</f>
        <v>PASS</v>
      </c>
      <c r="K543" t="inlineStr">
        <is>
          <t xml:space="preserve"/>
        </is>
      </c>
    </row>
    <row r="544">
      <c r="A544" t="inlineStr">
        <is>
          <t xml:space="preserve">INTC</t>
        </is>
      </c>
      <c r="B544" t="inlineStr">
        <is>
          <t xml:space="preserve">Table 3 -- Revenue growth</t>
        </is>
      </c>
      <c r="C544" t="inlineStr">
        <is>
          <t xml:space="preserve">RevGrowth=5.0000%</t>
        </is>
      </c>
      <c r="D544" t="inlineStr">
        <is>
          <t xml:space="preserve">FCF Year 3</t>
        </is>
      </c>
      <c r="E544" s="6">
        <v>-636249558.6248653</v>
      </c>
      <c r="F544" s="6">
        <v>-636249558.6248653</v>
      </c>
      <c r="G544" s="11">
        <f>ABS(E544-F544)</f>
        <v>0.0</v>
      </c>
      <c r="H544" s="10">
        <f>IF(F544=0,"n/a (zero denom)",G544/ABS(F544))</f>
        <v>0.0</v>
      </c>
      <c r="I544" s="10">
        <f>'Tolerances'!$B$6</f>
        <v>0.001</v>
      </c>
      <c r="J544" s="15" t="str">
        <f>IF(F544=0,IF(G544&lt;=0.000001,"PASS","FAIL"),IF(H544&lt;=I544,"PASS","FAIL"))</f>
        <v>PASS</v>
      </c>
      <c r="K544" t="inlineStr">
        <is>
          <t xml:space="preserve"/>
        </is>
      </c>
    </row>
    <row r="545">
      <c r="A545" t="inlineStr">
        <is>
          <t xml:space="preserve">INTC</t>
        </is>
      </c>
      <c r="B545" t="inlineStr">
        <is>
          <t xml:space="preserve">Table 3 -- Revenue growth</t>
        </is>
      </c>
      <c r="C545" t="inlineStr">
        <is>
          <t xml:space="preserve">RevGrowth=5.0000%</t>
        </is>
      </c>
      <c r="D545" t="inlineStr">
        <is>
          <t xml:space="preserve">FCF Year 4</t>
        </is>
      </c>
      <c r="E545" s="6">
        <v>-668062036.5561085</v>
      </c>
      <c r="F545" s="6">
        <v>-668062036.5561085</v>
      </c>
      <c r="G545" s="11">
        <f>ABS(E545-F545)</f>
        <v>0.0</v>
      </c>
      <c r="H545" s="10">
        <f>IF(F545=0,"n/a (zero denom)",G545/ABS(F545))</f>
        <v>0.0</v>
      </c>
      <c r="I545" s="10">
        <f>'Tolerances'!$B$6</f>
        <v>0.001</v>
      </c>
      <c r="J545" s="15" t="str">
        <f>IF(F545=0,IF(G545&lt;=0.000001,"PASS","FAIL"),IF(H545&lt;=I545,"PASS","FAIL"))</f>
        <v>PASS</v>
      </c>
      <c r="K545" t="inlineStr">
        <is>
          <t xml:space="preserve"/>
        </is>
      </c>
    </row>
    <row r="546">
      <c r="A546" t="inlineStr">
        <is>
          <t xml:space="preserve">INTC</t>
        </is>
      </c>
      <c r="B546" t="inlineStr">
        <is>
          <t xml:space="preserve">Table 3 -- Revenue growth</t>
        </is>
      </c>
      <c r="C546" t="inlineStr">
        <is>
          <t xml:space="preserve">RevGrowth=5.0000%</t>
        </is>
      </c>
      <c r="D546" t="inlineStr">
        <is>
          <t xml:space="preserve">FCF Year 5</t>
        </is>
      </c>
      <c r="E546" s="6">
        <v>-701465138.3839139</v>
      </c>
      <c r="F546" s="6">
        <v>-701465138.3839139</v>
      </c>
      <c r="G546" s="11">
        <f>ABS(E546-F546)</f>
        <v>0.0</v>
      </c>
      <c r="H546" s="10">
        <f>IF(F546=0,"n/a (zero denom)",G546/ABS(F546))</f>
        <v>0.0</v>
      </c>
      <c r="I546" s="10">
        <f>'Tolerances'!$B$6</f>
        <v>0.001</v>
      </c>
      <c r="J546" s="15" t="str">
        <f>IF(F546=0,IF(G546&lt;=0.000001,"PASS","FAIL"),IF(H546&lt;=I546,"PASS","FAIL"))</f>
        <v>PASS</v>
      </c>
      <c r="K546" t="inlineStr">
        <is>
          <t xml:space="preserve"/>
        </is>
      </c>
    </row>
    <row r="547">
      <c r="A547" t="inlineStr">
        <is>
          <t xml:space="preserve">INTC</t>
        </is>
      </c>
      <c r="B547" t="inlineStr">
        <is>
          <t xml:space="preserve">Table 3 -- Revenue growth</t>
        </is>
      </c>
      <c r="C547" t="inlineStr">
        <is>
          <t xml:space="preserve">RevGrowth=5.0000%</t>
        </is>
      </c>
      <c r="D547" t="inlineStr">
        <is>
          <t xml:space="preserve">Terminal Value</t>
        </is>
      </c>
      <c r="E547" s="6">
        <v>-5726978262.915602</v>
      </c>
      <c r="F547" s="6">
        <v>-5726978262.915602</v>
      </c>
      <c r="G547" s="11">
        <f>ABS(E547-F547)</f>
        <v>0.0</v>
      </c>
      <c r="H547" s="10">
        <f>IF(F547=0,"n/a (zero denom)",G547/ABS(F547))</f>
        <v>0.0</v>
      </c>
      <c r="I547" s="10">
        <f>'Tolerances'!$B$7</f>
        <v>0.002</v>
      </c>
      <c r="J547" s="15" t="str">
        <f>IF(F547=0,IF(G547&lt;=0.000001,"PASS","FAIL"),IF(H547&lt;=I547,"PASS","FAIL"))</f>
        <v>PASS</v>
      </c>
      <c r="K547" t="inlineStr">
        <is>
          <t xml:space="preserve"/>
        </is>
      </c>
    </row>
    <row r="548">
      <c r="A548" t="inlineStr">
        <is>
          <t xml:space="preserve">INTC</t>
        </is>
      </c>
      <c r="B548" t="inlineStr">
        <is>
          <t xml:space="preserve">Table 3 -- Revenue growth</t>
        </is>
      </c>
      <c r="C548" t="inlineStr">
        <is>
          <t xml:space="preserve">RevGrowth=5.0000%</t>
        </is>
      </c>
      <c r="D548" t="inlineStr">
        <is>
          <t xml:space="preserve">Enterprise Value</t>
        </is>
      </c>
      <c r="E548" s="6">
        <v>-4946816893.340666</v>
      </c>
      <c r="F548" s="6">
        <v>-4946816893.340665</v>
      </c>
      <c r="G548" s="11">
        <f>ABS(E548-F548)</f>
        <v>9.5367431640625e-07</v>
      </c>
      <c r="H548" s="10">
        <f>IF(F548=0,"n/a (zero denom)",G548/ABS(F548))</f>
        <v>1.9278544910163806e-16</v>
      </c>
      <c r="I548" s="10">
        <f>'Tolerances'!$B$10</f>
        <v>0.002</v>
      </c>
      <c r="J548" s="15" t="str">
        <f>IF(F548=0,IF(G548&lt;=0.000001,"PASS","FAIL"),IF(H548&lt;=I548,"PASS","FAIL"))</f>
        <v>PASS</v>
      </c>
      <c r="K548" t="inlineStr">
        <is>
          <t xml:space="preserve"/>
        </is>
      </c>
    </row>
    <row r="549">
      <c r="A549" t="inlineStr">
        <is>
          <t xml:space="preserve">INTC</t>
        </is>
      </c>
      <c r="B549" t="inlineStr">
        <is>
          <t xml:space="preserve">Table 3 -- Revenue growth</t>
        </is>
      </c>
      <c r="C549" t="inlineStr">
        <is>
          <t xml:space="preserve">RevGrowth=5.0000%</t>
        </is>
      </c>
      <c r="D549" t="inlineStr">
        <is>
          <t xml:space="preserve">Equity Value</t>
        </is>
      </c>
      <c r="E549" s="6">
        <v>-37266816893.34067</v>
      </c>
      <c r="F549" s="6">
        <v>-37266816893.34067</v>
      </c>
      <c r="G549" s="11">
        <f>ABS(E549-F549)</f>
        <v>0.0</v>
      </c>
      <c r="H549" s="10">
        <f>IF(F549=0,"n/a (zero denom)",G549/ABS(F549))</f>
        <v>0.0</v>
      </c>
      <c r="I549" s="10">
        <f>'Tolerances'!$B$11</f>
        <v>0.002</v>
      </c>
      <c r="J549" s="15" t="str">
        <f>IF(F549=0,IF(G549&lt;=0.000001,"PASS","FAIL"),IF(H549&lt;=I549,"PASS","FAIL"))</f>
        <v>PASS</v>
      </c>
      <c r="K549" t="inlineStr">
        <is>
          <t xml:space="preserve"/>
        </is>
      </c>
    </row>
    <row r="550">
      <c r="A550" t="inlineStr">
        <is>
          <t xml:space="preserve">INTC</t>
        </is>
      </c>
      <c r="B550" t="inlineStr">
        <is>
          <t xml:space="preserve">Table 3 -- Revenue growth</t>
        </is>
      </c>
      <c r="C550" t="inlineStr">
        <is>
          <t xml:space="preserve">RevGrowth=5.0000%</t>
        </is>
      </c>
      <c r="D550" t="inlineStr">
        <is>
          <t xml:space="preserve">Intrinsic Value per Share</t>
        </is>
      </c>
      <c r="E550" s="7">
        <v>-7.049957397034646</v>
      </c>
      <c r="F550" s="7">
        <v>-7.049957397034646</v>
      </c>
      <c r="G550" s="12">
        <f>ABS(E550-F550)</f>
        <v>0.0</v>
      </c>
      <c r="H550" s="10">
        <f>IF(F550=0,"n/a (zero denom)",G550/ABS(F550))</f>
        <v>0.0</v>
      </c>
      <c r="I550" s="10">
        <f>'Tolerances'!$B$13</f>
        <v>0.005</v>
      </c>
      <c r="J550" s="15" t="str">
        <f>IF(F550=0,IF(G550&lt;=0.000001,"PASS","FAIL"),IF(H550&lt;=I550,"PASS","FAIL"))</f>
        <v>PASS</v>
      </c>
      <c r="K550" t="inlineStr">
        <is>
          <t xml:space="preserve"/>
        </is>
      </c>
    </row>
    <row r="551">
      <c r="A551" t="inlineStr">
        <is>
          <t xml:space="preserve">INTC</t>
        </is>
      </c>
      <c r="B551" t="inlineStr">
        <is>
          <t xml:space="preserve">Table 3 -- Revenue growth</t>
        </is>
      </c>
      <c r="C551" t="inlineStr">
        <is>
          <t xml:space="preserve">RevGrowth=10.0000%</t>
        </is>
      </c>
      <c r="D551" t="inlineStr">
        <is>
          <t xml:space="preserve">FCF Year 1</t>
        </is>
      </c>
      <c r="E551" s="6">
        <v>-629746015.1062323</v>
      </c>
      <c r="F551" s="6">
        <v>-629746015.1062323</v>
      </c>
      <c r="G551" s="11">
        <f>ABS(E551-F551)</f>
        <v>0.0</v>
      </c>
      <c r="H551" s="10">
        <f>IF(F551=0,"n/a (zero denom)",G551/ABS(F551))</f>
        <v>0.0</v>
      </c>
      <c r="I551" s="10">
        <f>'Tolerances'!$B$6</f>
        <v>0.001</v>
      </c>
      <c r="J551" s="15" t="str">
        <f>IF(F551=0,IF(G551&lt;=0.000001,"PASS","FAIL"),IF(H551&lt;=I551,"PASS","FAIL"))</f>
        <v>PASS</v>
      </c>
      <c r="K551" t="inlineStr">
        <is>
          <t xml:space="preserve"/>
        </is>
      </c>
    </row>
    <row r="552">
      <c r="A552" t="inlineStr">
        <is>
          <t xml:space="preserve">INTC</t>
        </is>
      </c>
      <c r="B552" t="inlineStr">
        <is>
          <t xml:space="preserve">Table 3 -- Revenue growth</t>
        </is>
      </c>
      <c r="C552" t="inlineStr">
        <is>
          <t xml:space="preserve">RevGrowth=10.0000%</t>
        </is>
      </c>
      <c r="D552" t="inlineStr">
        <is>
          <t xml:space="preserve">FCF Year 2</t>
        </is>
      </c>
      <c r="E552" s="6">
        <v>-692720616.6168553</v>
      </c>
      <c r="F552" s="6">
        <v>-692720616.6168553</v>
      </c>
      <c r="G552" s="11">
        <f>ABS(E552-F552)</f>
        <v>0.0</v>
      </c>
      <c r="H552" s="10">
        <f>IF(F552=0,"n/a (zero denom)",G552/ABS(F552))</f>
        <v>0.0</v>
      </c>
      <c r="I552" s="10">
        <f>'Tolerances'!$B$6</f>
        <v>0.001</v>
      </c>
      <c r="J552" s="15" t="str">
        <f>IF(F552=0,IF(G552&lt;=0.000001,"PASS","FAIL"),IF(H552&lt;=I552,"PASS","FAIL"))</f>
        <v>PASS</v>
      </c>
      <c r="K552" t="inlineStr">
        <is>
          <t xml:space="preserve"/>
        </is>
      </c>
    </row>
    <row r="553">
      <c r="A553" t="inlineStr">
        <is>
          <t xml:space="preserve">INTC</t>
        </is>
      </c>
      <c r="B553" t="inlineStr">
        <is>
          <t xml:space="preserve">Table 3 -- Revenue growth</t>
        </is>
      </c>
      <c r="C553" t="inlineStr">
        <is>
          <t xml:space="preserve">RevGrowth=10.0000%</t>
        </is>
      </c>
      <c r="D553" t="inlineStr">
        <is>
          <t xml:space="preserve">FCF Year 3</t>
        </is>
      </c>
      <c r="E553" s="6">
        <v>-761992678.2785406</v>
      </c>
      <c r="F553" s="6">
        <v>-761992678.2785406</v>
      </c>
      <c r="G553" s="11">
        <f>ABS(E553-F553)</f>
        <v>0.0</v>
      </c>
      <c r="H553" s="10">
        <f>IF(F553=0,"n/a (zero denom)",G553/ABS(F553))</f>
        <v>0.0</v>
      </c>
      <c r="I553" s="10">
        <f>'Tolerances'!$B$6</f>
        <v>0.001</v>
      </c>
      <c r="J553" s="15" t="str">
        <f>IF(F553=0,IF(G553&lt;=0.000001,"PASS","FAIL"),IF(H553&lt;=I553,"PASS","FAIL"))</f>
        <v>PASS</v>
      </c>
      <c r="K553" t="inlineStr">
        <is>
          <t xml:space="preserve"/>
        </is>
      </c>
    </row>
    <row r="554">
      <c r="A554" t="inlineStr">
        <is>
          <t xml:space="preserve">INTC</t>
        </is>
      </c>
      <c r="B554" t="inlineStr">
        <is>
          <t xml:space="preserve">Table 3 -- Revenue growth</t>
        </is>
      </c>
      <c r="C554" t="inlineStr">
        <is>
          <t xml:space="preserve">RevGrowth=10.0000%</t>
        </is>
      </c>
      <c r="D554" t="inlineStr">
        <is>
          <t xml:space="preserve">FCF Year 4</t>
        </is>
      </c>
      <c r="E554" s="6">
        <v>-838191946.1063954</v>
      </c>
      <c r="F554" s="6">
        <v>-838191946.1063954</v>
      </c>
      <c r="G554" s="11">
        <f>ABS(E554-F554)</f>
        <v>0.0</v>
      </c>
      <c r="H554" s="10">
        <f>IF(F554=0,"n/a (zero denom)",G554/ABS(F554))</f>
        <v>0.0</v>
      </c>
      <c r="I554" s="10">
        <f>'Tolerances'!$B$6</f>
        <v>0.001</v>
      </c>
      <c r="J554" s="15" t="str">
        <f>IF(F554=0,IF(G554&lt;=0.000001,"PASS","FAIL"),IF(H554&lt;=I554,"PASS","FAIL"))</f>
        <v>PASS</v>
      </c>
      <c r="K554" t="inlineStr">
        <is>
          <t xml:space="preserve"/>
        </is>
      </c>
    </row>
    <row r="555">
      <c r="A555" t="inlineStr">
        <is>
          <t xml:space="preserve">INTC</t>
        </is>
      </c>
      <c r="B555" t="inlineStr">
        <is>
          <t xml:space="preserve">Table 3 -- Revenue growth</t>
        </is>
      </c>
      <c r="C555" t="inlineStr">
        <is>
          <t xml:space="preserve">RevGrowth=10.0000%</t>
        </is>
      </c>
      <c r="D555" t="inlineStr">
        <is>
          <t xml:space="preserve">FCF Year 5</t>
        </is>
      </c>
      <c r="E555" s="6">
        <v>-922011140.7170348</v>
      </c>
      <c r="F555" s="6">
        <v>-922011140.7170348</v>
      </c>
      <c r="G555" s="11">
        <f>ABS(E555-F555)</f>
        <v>0.0</v>
      </c>
      <c r="H555" s="10">
        <f>IF(F555=0,"n/a (zero denom)",G555/ABS(F555))</f>
        <v>0.0</v>
      </c>
      <c r="I555" s="10">
        <f>'Tolerances'!$B$6</f>
        <v>0.001</v>
      </c>
      <c r="J555" s="15" t="str">
        <f>IF(F555=0,IF(G555&lt;=0.000001,"PASS","FAIL"),IF(H555&lt;=I555,"PASS","FAIL"))</f>
        <v>PASS</v>
      </c>
      <c r="K555" t="inlineStr">
        <is>
          <t xml:space="preserve"/>
        </is>
      </c>
    </row>
    <row r="556">
      <c r="A556" t="inlineStr">
        <is>
          <t xml:space="preserve">INTC</t>
        </is>
      </c>
      <c r="B556" t="inlineStr">
        <is>
          <t xml:space="preserve">Table 3 -- Revenue growth</t>
        </is>
      </c>
      <c r="C556" t="inlineStr">
        <is>
          <t xml:space="preserve">RevGrowth=10.0000%</t>
        </is>
      </c>
      <c r="D556" t="inlineStr">
        <is>
          <t xml:space="preserve">Terminal Value</t>
        </is>
      </c>
      <c r="E556" s="6">
        <v>-7527584012.539383</v>
      </c>
      <c r="F556" s="6">
        <v>-7527584012.539383</v>
      </c>
      <c r="G556" s="11">
        <f>ABS(E556-F556)</f>
        <v>0.0</v>
      </c>
      <c r="H556" s="10">
        <f>IF(F556=0,"n/a (zero denom)",G556/ABS(F556))</f>
        <v>0.0</v>
      </c>
      <c r="I556" s="10">
        <f>'Tolerances'!$B$7</f>
        <v>0.002</v>
      </c>
      <c r="J556" s="15" t="str">
        <f>IF(F556=0,IF(G556&lt;=0.000001,"PASS","FAIL"),IF(H556&lt;=I556,"PASS","FAIL"))</f>
        <v>PASS</v>
      </c>
      <c r="K556" t="inlineStr">
        <is>
          <t xml:space="preserve"/>
        </is>
      </c>
    </row>
    <row r="557">
      <c r="A557" t="inlineStr">
        <is>
          <t xml:space="preserve">INTC</t>
        </is>
      </c>
      <c r="B557" t="inlineStr">
        <is>
          <t xml:space="preserve">Table 3 -- Revenue growth</t>
        </is>
      </c>
      <c r="C557" t="inlineStr">
        <is>
          <t xml:space="preserve">RevGrowth=10.0000%</t>
        </is>
      </c>
      <c r="D557" t="inlineStr">
        <is>
          <t xml:space="preserve">Enterprise Value</t>
        </is>
      </c>
      <c r="E557" s="6">
        <v>-6240257739.958687</v>
      </c>
      <c r="F557" s="6">
        <v>-6240257739.958687</v>
      </c>
      <c r="G557" s="11">
        <f>ABS(E557-F557)</f>
        <v>0.0</v>
      </c>
      <c r="H557" s="10">
        <f>IF(F557=0,"n/a (zero denom)",G557/ABS(F557))</f>
        <v>0.0</v>
      </c>
      <c r="I557" s="10">
        <f>'Tolerances'!$B$10</f>
        <v>0.002</v>
      </c>
      <c r="J557" s="15" t="str">
        <f>IF(F557=0,IF(G557&lt;=0.000001,"PASS","FAIL"),IF(H557&lt;=I557,"PASS","FAIL"))</f>
        <v>PASS</v>
      </c>
      <c r="K557" t="inlineStr">
        <is>
          <t xml:space="preserve"/>
        </is>
      </c>
    </row>
    <row r="558">
      <c r="A558" t="inlineStr">
        <is>
          <t xml:space="preserve">INTC</t>
        </is>
      </c>
      <c r="B558" t="inlineStr">
        <is>
          <t xml:space="preserve">Table 3 -- Revenue growth</t>
        </is>
      </c>
      <c r="C558" t="inlineStr">
        <is>
          <t xml:space="preserve">RevGrowth=10.0000%</t>
        </is>
      </c>
      <c r="D558" t="inlineStr">
        <is>
          <t xml:space="preserve">Equity Value</t>
        </is>
      </c>
      <c r="E558" s="6">
        <v>-38560257739.95869</v>
      </c>
      <c r="F558" s="6">
        <v>-38560257739.95869</v>
      </c>
      <c r="G558" s="11">
        <f>ABS(E558-F558)</f>
        <v>0.0</v>
      </c>
      <c r="H558" s="10">
        <f>IF(F558=0,"n/a (zero denom)",G558/ABS(F558))</f>
        <v>0.0</v>
      </c>
      <c r="I558" s="10">
        <f>'Tolerances'!$B$11</f>
        <v>0.002</v>
      </c>
      <c r="J558" s="15" t="str">
        <f>IF(F558=0,IF(G558&lt;=0.000001,"PASS","FAIL"),IF(H558&lt;=I558,"PASS","FAIL"))</f>
        <v>PASS</v>
      </c>
      <c r="K558" t="inlineStr">
        <is>
          <t xml:space="preserve"/>
        </is>
      </c>
    </row>
    <row r="559">
      <c r="A559" t="inlineStr">
        <is>
          <t xml:space="preserve">INTC</t>
        </is>
      </c>
      <c r="B559" t="inlineStr">
        <is>
          <t xml:space="preserve">Table 3 -- Revenue growth</t>
        </is>
      </c>
      <c r="C559" t="inlineStr">
        <is>
          <t xml:space="preserve">RevGrowth=10.0000%</t>
        </is>
      </c>
      <c r="D559" t="inlineStr">
        <is>
          <t xml:space="preserve">Intrinsic Value per Share</t>
        </is>
      </c>
      <c r="E559" s="7">
        <v>-7.294644322948915</v>
      </c>
      <c r="F559" s="7">
        <v>-7.294644322948915</v>
      </c>
      <c r="G559" s="12">
        <f>ABS(E559-F559)</f>
        <v>0.0</v>
      </c>
      <c r="H559" s="10">
        <f>IF(F559=0,"n/a (zero denom)",G559/ABS(F559))</f>
        <v>0.0</v>
      </c>
      <c r="I559" s="10">
        <f>'Tolerances'!$B$13</f>
        <v>0.005</v>
      </c>
      <c r="J559" s="15" t="str">
        <f>IF(F559=0,IF(G559&lt;=0.000001,"PASS","FAIL"),IF(H559&lt;=I559,"PASS","FAIL"))</f>
        <v>PASS</v>
      </c>
      <c r="K559" t="inlineStr">
        <is>
          <t xml:space="preserve"/>
        </is>
      </c>
    </row>
    <row r="560">
      <c r="A560" t="inlineStr">
        <is>
          <t xml:space="preserve">INTC</t>
        </is>
      </c>
      <c r="B560" t="inlineStr">
        <is>
          <t xml:space="preserve">Table 3 -- Revenue growth</t>
        </is>
      </c>
      <c r="C560" t="inlineStr">
        <is>
          <t xml:space="preserve">RevGrowth=20.0000%</t>
        </is>
      </c>
      <c r="D560" t="inlineStr">
        <is>
          <t xml:space="preserve">FCF Year 1</t>
        </is>
      </c>
      <c r="E560" s="6">
        <v>-735043834.661344</v>
      </c>
      <c r="F560" s="6">
        <v>-735043834.661344</v>
      </c>
      <c r="G560" s="11">
        <f>ABS(E560-F560)</f>
        <v>0.0</v>
      </c>
      <c r="H560" s="10">
        <f>IF(F560=0,"n/a (zero denom)",G560/ABS(F560))</f>
        <v>0.0</v>
      </c>
      <c r="I560" s="10">
        <f>'Tolerances'!$B$6</f>
        <v>0.001</v>
      </c>
      <c r="J560" s="15" t="str">
        <f>IF(F560=0,IF(G560&lt;=0.000001,"PASS","FAIL"),IF(H560&lt;=I560,"PASS","FAIL"))</f>
        <v>PASS</v>
      </c>
      <c r="K560" t="inlineStr">
        <is>
          <t xml:space="preserve"/>
        </is>
      </c>
    </row>
    <row r="561">
      <c r="A561" t="inlineStr">
        <is>
          <t xml:space="preserve">INTC</t>
        </is>
      </c>
      <c r="B561" t="inlineStr">
        <is>
          <t xml:space="preserve">Table 3 -- Revenue growth</t>
        </is>
      </c>
      <c r="C561" t="inlineStr">
        <is>
          <t xml:space="preserve">RevGrowth=20.0000%</t>
        </is>
      </c>
      <c r="D561" t="inlineStr">
        <is>
          <t xml:space="preserve">FCF Year 2</t>
        </is>
      </c>
      <c r="E561" s="6">
        <v>-882052601.5936127</v>
      </c>
      <c r="F561" s="6">
        <v>-882052601.5936127</v>
      </c>
      <c r="G561" s="11">
        <f>ABS(E561-F561)</f>
        <v>0.0</v>
      </c>
      <c r="H561" s="10">
        <f>IF(F561=0,"n/a (zero denom)",G561/ABS(F561))</f>
        <v>0.0</v>
      </c>
      <c r="I561" s="10">
        <f>'Tolerances'!$B$6</f>
        <v>0.001</v>
      </c>
      <c r="J561" s="15" t="str">
        <f>IF(F561=0,IF(G561&lt;=0.000001,"PASS","FAIL"),IF(H561&lt;=I561,"PASS","FAIL"))</f>
        <v>PASS</v>
      </c>
      <c r="K561" t="inlineStr">
        <is>
          <t xml:space="preserve"/>
        </is>
      </c>
    </row>
    <row r="562">
      <c r="A562" t="inlineStr">
        <is>
          <t xml:space="preserve">INTC</t>
        </is>
      </c>
      <c r="B562" t="inlineStr">
        <is>
          <t xml:space="preserve">Table 3 -- Revenue growth</t>
        </is>
      </c>
      <c r="C562" t="inlineStr">
        <is>
          <t xml:space="preserve">RevGrowth=20.0000%</t>
        </is>
      </c>
      <c r="D562" t="inlineStr">
        <is>
          <t xml:space="preserve">FCF Year 3</t>
        </is>
      </c>
      <c r="E562" s="6">
        <v>-1058463121.9123354</v>
      </c>
      <c r="F562" s="6">
        <v>-1058463121.9123354</v>
      </c>
      <c r="G562" s="11">
        <f>ABS(E562-F562)</f>
        <v>0.0</v>
      </c>
      <c r="H562" s="10">
        <f>IF(F562=0,"n/a (zero denom)",G562/ABS(F562))</f>
        <v>0.0</v>
      </c>
      <c r="I562" s="10">
        <f>'Tolerances'!$B$6</f>
        <v>0.001</v>
      </c>
      <c r="J562" s="15" t="str">
        <f>IF(F562=0,IF(G562&lt;=0.000001,"PASS","FAIL"),IF(H562&lt;=I562,"PASS","FAIL"))</f>
        <v>PASS</v>
      </c>
      <c r="K562" t="inlineStr">
        <is>
          <t xml:space="preserve"/>
        </is>
      </c>
    </row>
    <row r="563">
      <c r="A563" t="inlineStr">
        <is>
          <t xml:space="preserve">INTC</t>
        </is>
      </c>
      <c r="B563" t="inlineStr">
        <is>
          <t xml:space="preserve">Table 3 -- Revenue growth</t>
        </is>
      </c>
      <c r="C563" t="inlineStr">
        <is>
          <t xml:space="preserve">RevGrowth=20.0000%</t>
        </is>
      </c>
      <c r="D563" t="inlineStr">
        <is>
          <t xml:space="preserve">FCF Year 4</t>
        </is>
      </c>
      <c r="E563" s="6">
        <v>-1270155746.2948022</v>
      </c>
      <c r="F563" s="6">
        <v>-1270155746.2948022</v>
      </c>
      <c r="G563" s="11">
        <f>ABS(E563-F563)</f>
        <v>0.0</v>
      </c>
      <c r="H563" s="10">
        <f>IF(F563=0,"n/a (zero denom)",G563/ABS(F563))</f>
        <v>0.0</v>
      </c>
      <c r="I563" s="10">
        <f>'Tolerances'!$B$6</f>
        <v>0.001</v>
      </c>
      <c r="J563" s="15" t="str">
        <f>IF(F563=0,IF(G563&lt;=0.000001,"PASS","FAIL"),IF(H563&lt;=I563,"PASS","FAIL"))</f>
        <v>PASS</v>
      </c>
      <c r="K563" t="inlineStr">
        <is>
          <t xml:space="preserve"/>
        </is>
      </c>
    </row>
    <row r="564">
      <c r="A564" t="inlineStr">
        <is>
          <t xml:space="preserve">INTC</t>
        </is>
      </c>
      <c r="B564" t="inlineStr">
        <is>
          <t xml:space="preserve">Table 3 -- Revenue growth</t>
        </is>
      </c>
      <c r="C564" t="inlineStr">
        <is>
          <t xml:space="preserve">RevGrowth=20.0000%</t>
        </is>
      </c>
      <c r="D564" t="inlineStr">
        <is>
          <t xml:space="preserve">FCF Year 5</t>
        </is>
      </c>
      <c r="E564" s="6">
        <v>-1524186895.5537634</v>
      </c>
      <c r="F564" s="6">
        <v>-1524186895.5537634</v>
      </c>
      <c r="G564" s="11">
        <f>ABS(E564-F564)</f>
        <v>0.0</v>
      </c>
      <c r="H564" s="10">
        <f>IF(F564=0,"n/a (zero denom)",G564/ABS(F564))</f>
        <v>0.0</v>
      </c>
      <c r="I564" s="10">
        <f>'Tolerances'!$B$6</f>
        <v>0.001</v>
      </c>
      <c r="J564" s="15" t="str">
        <f>IF(F564=0,IF(G564&lt;=0.000001,"PASS","FAIL"),IF(H564&lt;=I564,"PASS","FAIL"))</f>
        <v>PASS</v>
      </c>
      <c r="K564" t="inlineStr">
        <is>
          <t xml:space="preserve"/>
        </is>
      </c>
    </row>
    <row r="565">
      <c r="A565" t="inlineStr">
        <is>
          <t xml:space="preserve">INTC</t>
        </is>
      </c>
      <c r="B565" t="inlineStr">
        <is>
          <t xml:space="preserve">Table 3 -- Revenue growth</t>
        </is>
      </c>
      <c r="C565" t="inlineStr">
        <is>
          <t xml:space="preserve">RevGrowth=20.0000%</t>
        </is>
      </c>
      <c r="D565" t="inlineStr">
        <is>
          <t xml:space="preserve">Terminal Value</t>
        </is>
      </c>
      <c r="E565" s="6">
        <v>-12443933050.71109</v>
      </c>
      <c r="F565" s="6">
        <v>-12443933050.71109</v>
      </c>
      <c r="G565" s="11">
        <f>ABS(E565-F565)</f>
        <v>0.0</v>
      </c>
      <c r="H565" s="10">
        <f>IF(F565=0,"n/a (zero denom)",G565/ABS(F565))</f>
        <v>0.0</v>
      </c>
      <c r="I565" s="10">
        <f>'Tolerances'!$B$7</f>
        <v>0.002</v>
      </c>
      <c r="J565" s="15" t="str">
        <f>IF(F565=0,IF(G565&lt;=0.000001,"PASS","FAIL"),IF(H565&lt;=I565,"PASS","FAIL"))</f>
        <v>PASS</v>
      </c>
      <c r="K565" t="inlineStr">
        <is>
          <t xml:space="preserve"/>
        </is>
      </c>
    </row>
    <row r="566">
      <c r="A566" t="inlineStr">
        <is>
          <t xml:space="preserve">INTC</t>
        </is>
      </c>
      <c r="B566" t="inlineStr">
        <is>
          <t xml:space="preserve">Table 3 -- Revenue growth</t>
        </is>
      </c>
      <c r="C566" t="inlineStr">
        <is>
          <t xml:space="preserve">RevGrowth=20.0000%</t>
        </is>
      </c>
      <c r="D566" t="inlineStr">
        <is>
          <t xml:space="preserve">Enterprise Value</t>
        </is>
      </c>
      <c r="E566" s="6">
        <v>-9653140989.223644</v>
      </c>
      <c r="F566" s="6">
        <v>-9653140989.223644</v>
      </c>
      <c r="G566" s="11">
        <f>ABS(E566-F566)</f>
        <v>0.0</v>
      </c>
      <c r="H566" s="10">
        <f>IF(F566=0,"n/a (zero denom)",G566/ABS(F566))</f>
        <v>0.0</v>
      </c>
      <c r="I566" s="10">
        <f>'Tolerances'!$B$10</f>
        <v>0.002</v>
      </c>
      <c r="J566" s="15" t="str">
        <f>IF(F566=0,IF(G566&lt;=0.000001,"PASS","FAIL"),IF(H566&lt;=I566,"PASS","FAIL"))</f>
        <v>PASS</v>
      </c>
      <c r="K566" t="inlineStr">
        <is>
          <t xml:space="preserve"/>
        </is>
      </c>
    </row>
    <row r="567">
      <c r="A567" t="inlineStr">
        <is>
          <t xml:space="preserve">INTC</t>
        </is>
      </c>
      <c r="B567" t="inlineStr">
        <is>
          <t xml:space="preserve">Table 3 -- Revenue growth</t>
        </is>
      </c>
      <c r="C567" t="inlineStr">
        <is>
          <t xml:space="preserve">RevGrowth=20.0000%</t>
        </is>
      </c>
      <c r="D567" t="inlineStr">
        <is>
          <t xml:space="preserve">Equity Value</t>
        </is>
      </c>
      <c r="E567" s="6">
        <v>-41973140989.22365</v>
      </c>
      <c r="F567" s="6">
        <v>-41973140989.22365</v>
      </c>
      <c r="G567" s="11">
        <f>ABS(E567-F567)</f>
        <v>0.0</v>
      </c>
      <c r="H567" s="10">
        <f>IF(F567=0,"n/a (zero denom)",G567/ABS(F567))</f>
        <v>0.0</v>
      </c>
      <c r="I567" s="10">
        <f>'Tolerances'!$B$11</f>
        <v>0.002</v>
      </c>
      <c r="J567" s="15" t="str">
        <f>IF(F567=0,IF(G567&lt;=0.000001,"PASS","FAIL"),IF(H567&lt;=I567,"PASS","FAIL"))</f>
        <v>PASS</v>
      </c>
      <c r="K567" t="inlineStr">
        <is>
          <t xml:space="preserve"/>
        </is>
      </c>
    </row>
    <row r="568">
      <c r="A568" t="inlineStr">
        <is>
          <t xml:space="preserve">INTC</t>
        </is>
      </c>
      <c r="B568" t="inlineStr">
        <is>
          <t xml:space="preserve">Table 3 -- Revenue growth</t>
        </is>
      </c>
      <c r="C568" t="inlineStr">
        <is>
          <t xml:space="preserve">RevGrowth=20.0000%</t>
        </is>
      </c>
      <c r="D568" t="inlineStr">
        <is>
          <t xml:space="preserve">Intrinsic Value per Share</t>
        </is>
      </c>
      <c r="E568" s="7">
        <v>-7.940277181189368</v>
      </c>
      <c r="F568" s="7">
        <v>-7.940277181189368</v>
      </c>
      <c r="G568" s="12">
        <f>ABS(E568-F568)</f>
        <v>0.0</v>
      </c>
      <c r="H568" s="10">
        <f>IF(F568=0,"n/a (zero denom)",G568/ABS(F568))</f>
        <v>0.0</v>
      </c>
      <c r="I568" s="10">
        <f>'Tolerances'!$B$13</f>
        <v>0.005</v>
      </c>
      <c r="J568" s="15" t="str">
        <f>IF(F568=0,IF(G568&lt;=0.000001,"PASS","FAIL"),IF(H568&lt;=I568,"PASS","FAIL"))</f>
        <v>PASS</v>
      </c>
      <c r="K568" t="inlineStr">
        <is>
          <t xml:space="preserve"/>
        </is>
      </c>
    </row>
    <row r="569">
      <c r="A569" t="inlineStr">
        <is>
          <t xml:space="preserve">INTC</t>
        </is>
      </c>
      <c r="B569" t="inlineStr">
        <is>
          <t xml:space="preserve">Table 3 -- Revenue growth</t>
        </is>
      </c>
      <c r="C569" t="inlineStr">
        <is>
          <t xml:space="preserve">RevGrowth=30.0000%</t>
        </is>
      </c>
      <c r="D569" t="inlineStr">
        <is>
          <t xml:space="preserve">FCF Year 1</t>
        </is>
      </c>
      <c r="E569" s="6">
        <v>-840341654.2164559</v>
      </c>
      <c r="F569" s="6">
        <v>-840341654.2164559</v>
      </c>
      <c r="G569" s="11">
        <f>ABS(E569-F569)</f>
        <v>0.0</v>
      </c>
      <c r="H569" s="10">
        <f>IF(F569=0,"n/a (zero denom)",G569/ABS(F569))</f>
        <v>0.0</v>
      </c>
      <c r="I569" s="10">
        <f>'Tolerances'!$B$6</f>
        <v>0.001</v>
      </c>
      <c r="J569" s="15" t="str">
        <f>IF(F569=0,IF(G569&lt;=0.000001,"PASS","FAIL"),IF(H569&lt;=I569,"PASS","FAIL"))</f>
        <v>PASS</v>
      </c>
      <c r="K569" t="inlineStr">
        <is>
          <t xml:space="preserve"/>
        </is>
      </c>
    </row>
    <row r="570">
      <c r="A570" t="inlineStr">
        <is>
          <t xml:space="preserve">INTC</t>
        </is>
      </c>
      <c r="B570" t="inlineStr">
        <is>
          <t xml:space="preserve">Table 3 -- Revenue growth</t>
        </is>
      </c>
      <c r="C570" t="inlineStr">
        <is>
          <t xml:space="preserve">RevGrowth=30.0000%</t>
        </is>
      </c>
      <c r="D570" t="inlineStr">
        <is>
          <t xml:space="preserve">FCF Year 2</t>
        </is>
      </c>
      <c r="E570" s="6">
        <v>-1092444150.4813929</v>
      </c>
      <c r="F570" s="6">
        <v>-1092444150.4813929</v>
      </c>
      <c r="G570" s="11">
        <f>ABS(E570-F570)</f>
        <v>0.0</v>
      </c>
      <c r="H570" s="10">
        <f>IF(F570=0,"n/a (zero denom)",G570/ABS(F570))</f>
        <v>0.0</v>
      </c>
      <c r="I570" s="10">
        <f>'Tolerances'!$B$6</f>
        <v>0.001</v>
      </c>
      <c r="J570" s="15" t="str">
        <f>IF(F570=0,IF(G570&lt;=0.000001,"PASS","FAIL"),IF(H570&lt;=I570,"PASS","FAIL"))</f>
        <v>PASS</v>
      </c>
      <c r="K570" t="inlineStr">
        <is>
          <t xml:space="preserve"/>
        </is>
      </c>
    </row>
    <row r="571">
      <c r="A571" t="inlineStr">
        <is>
          <t xml:space="preserve">INTC</t>
        </is>
      </c>
      <c r="B571" t="inlineStr">
        <is>
          <t xml:space="preserve">Table 3 -- Revenue growth</t>
        </is>
      </c>
      <c r="C571" t="inlineStr">
        <is>
          <t xml:space="preserve">RevGrowth=30.0000%</t>
        </is>
      </c>
      <c r="D571" t="inlineStr">
        <is>
          <t xml:space="preserve">FCF Year 3</t>
        </is>
      </c>
      <c r="E571" s="6">
        <v>-1420177395.6258106</v>
      </c>
      <c r="F571" s="6">
        <v>-1420177395.6258106</v>
      </c>
      <c r="G571" s="11">
        <f>ABS(E571-F571)</f>
        <v>0.0</v>
      </c>
      <c r="H571" s="10">
        <f>IF(F571=0,"n/a (zero denom)",G571/ABS(F571))</f>
        <v>0.0</v>
      </c>
      <c r="I571" s="10">
        <f>'Tolerances'!$B$6</f>
        <v>0.001</v>
      </c>
      <c r="J571" s="15" t="str">
        <f>IF(F571=0,IF(G571&lt;=0.000001,"PASS","FAIL"),IF(H571&lt;=I571,"PASS","FAIL"))</f>
        <v>PASS</v>
      </c>
      <c r="K571" t="inlineStr">
        <is>
          <t xml:space="preserve"/>
        </is>
      </c>
    </row>
    <row r="572">
      <c r="A572" t="inlineStr">
        <is>
          <t xml:space="preserve">INTC</t>
        </is>
      </c>
      <c r="B572" t="inlineStr">
        <is>
          <t xml:space="preserve">Table 3 -- Revenue growth</t>
        </is>
      </c>
      <c r="C572" t="inlineStr">
        <is>
          <t xml:space="preserve">RevGrowth=30.0000%</t>
        </is>
      </c>
      <c r="D572" t="inlineStr">
        <is>
          <t xml:space="preserve">FCF Year 4</t>
        </is>
      </c>
      <c r="E572" s="6">
        <v>-1846230614.3135538</v>
      </c>
      <c r="F572" s="6">
        <v>-1846230614.3135538</v>
      </c>
      <c r="G572" s="11">
        <f>ABS(E572-F572)</f>
        <v>0.0</v>
      </c>
      <c r="H572" s="10">
        <f>IF(F572=0,"n/a (zero denom)",G572/ABS(F572))</f>
        <v>0.0</v>
      </c>
      <c r="I572" s="10">
        <f>'Tolerances'!$B$6</f>
        <v>0.001</v>
      </c>
      <c r="J572" s="15" t="str">
        <f>IF(F572=0,IF(G572&lt;=0.000001,"PASS","FAIL"),IF(H572&lt;=I572,"PASS","FAIL"))</f>
        <v>PASS</v>
      </c>
      <c r="K572" t="inlineStr">
        <is>
          <t xml:space="preserve"/>
        </is>
      </c>
    </row>
    <row r="573">
      <c r="A573" t="inlineStr">
        <is>
          <t xml:space="preserve">INTC</t>
        </is>
      </c>
      <c r="B573" t="inlineStr">
        <is>
          <t xml:space="preserve">Table 3 -- Revenue growth</t>
        </is>
      </c>
      <c r="C573" t="inlineStr">
        <is>
          <t xml:space="preserve">RevGrowth=30.0000%</t>
        </is>
      </c>
      <c r="D573" t="inlineStr">
        <is>
          <t xml:space="preserve">FCF Year 5</t>
        </is>
      </c>
      <c r="E573" s="6">
        <v>-2400099798.6076207</v>
      </c>
      <c r="F573" s="6">
        <v>-2400099798.6076207</v>
      </c>
      <c r="G573" s="11">
        <f>ABS(E573-F573)</f>
        <v>0.0</v>
      </c>
      <c r="H573" s="10">
        <f>IF(F573=0,"n/a (zero denom)",G573/ABS(F573))</f>
        <v>0.0</v>
      </c>
      <c r="I573" s="10">
        <f>'Tolerances'!$B$6</f>
        <v>0.001</v>
      </c>
      <c r="J573" s="15" t="str">
        <f>IF(F573=0,IF(G573&lt;=0.000001,"PASS","FAIL"),IF(H573&lt;=I573,"PASS","FAIL"))</f>
        <v>PASS</v>
      </c>
      <c r="K573" t="inlineStr">
        <is>
          <t xml:space="preserve"/>
        </is>
      </c>
    </row>
    <row r="574">
      <c r="A574" t="inlineStr">
        <is>
          <t xml:space="preserve">INTC</t>
        </is>
      </c>
      <c r="B574" t="inlineStr">
        <is>
          <t xml:space="preserve">Table 3 -- Revenue growth</t>
        </is>
      </c>
      <c r="C574" t="inlineStr">
        <is>
          <t xml:space="preserve">RevGrowth=30.0000%</t>
        </is>
      </c>
      <c r="D574" t="inlineStr">
        <is>
          <t xml:space="preserve">Terminal Value</t>
        </is>
      </c>
      <c r="E574" s="6">
        <v>-19595156798.6991</v>
      </c>
      <c r="F574" s="6">
        <v>-19595156798.6991</v>
      </c>
      <c r="G574" s="11">
        <f>ABS(E574-F574)</f>
        <v>0.0</v>
      </c>
      <c r="H574" s="10">
        <f>IF(F574=0,"n/a (zero denom)",G574/ABS(F574))</f>
        <v>0.0</v>
      </c>
      <c r="I574" s="10">
        <f>'Tolerances'!$B$7</f>
        <v>0.002</v>
      </c>
      <c r="J574" s="15" t="str">
        <f>IF(F574=0,IF(G574&lt;=0.000001,"PASS","FAIL"),IF(H574&lt;=I574,"PASS","FAIL"))</f>
        <v>PASS</v>
      </c>
      <c r="K574" t="inlineStr">
        <is>
          <t xml:space="preserve"/>
        </is>
      </c>
    </row>
    <row r="575">
      <c r="A575" t="inlineStr">
        <is>
          <t xml:space="preserve">INTC</t>
        </is>
      </c>
      <c r="B575" t="inlineStr">
        <is>
          <t xml:space="preserve">Table 3 -- Revenue growth</t>
        </is>
      </c>
      <c r="C575" t="inlineStr">
        <is>
          <t xml:space="preserve">RevGrowth=30.0000%</t>
        </is>
      </c>
      <c r="D575" t="inlineStr">
        <is>
          <t xml:space="preserve">Enterprise Value</t>
        </is>
      </c>
      <c r="E575" s="6">
        <v>-14451274957.525059</v>
      </c>
      <c r="F575" s="6">
        <v>-14451274957.52506</v>
      </c>
      <c r="G575" s="11">
        <f>ABS(E575-F575)</f>
        <v>1.9073486328125e-06</v>
      </c>
      <c r="H575" s="10">
        <f>IF(F575=0,"n/a (zero denom)",G575/ABS(F575))</f>
        <v>1.319847998476637e-16</v>
      </c>
      <c r="I575" s="10">
        <f>'Tolerances'!$B$10</f>
        <v>0.002</v>
      </c>
      <c r="J575" s="15" t="str">
        <f>IF(F575=0,IF(G575&lt;=0.000001,"PASS","FAIL"),IF(H575&lt;=I575,"PASS","FAIL"))</f>
        <v>PASS</v>
      </c>
      <c r="K575" t="inlineStr">
        <is>
          <t xml:space="preserve"/>
        </is>
      </c>
    </row>
    <row r="576">
      <c r="A576" t="inlineStr">
        <is>
          <t xml:space="preserve">INTC</t>
        </is>
      </c>
      <c r="B576" t="inlineStr">
        <is>
          <t xml:space="preserve">Table 3 -- Revenue growth</t>
        </is>
      </c>
      <c r="C576" t="inlineStr">
        <is>
          <t xml:space="preserve">RevGrowth=30.0000%</t>
        </is>
      </c>
      <c r="D576" t="inlineStr">
        <is>
          <t xml:space="preserve">Equity Value</t>
        </is>
      </c>
      <c r="E576" s="6">
        <v>-46771274957.525055</v>
      </c>
      <c r="F576" s="6">
        <v>-46771274957.52506</v>
      </c>
      <c r="G576" s="11">
        <f>ABS(E576-F576)</f>
        <v>7.62939453125e-06</v>
      </c>
      <c r="H576" s="10">
        <f>IF(F576=0,"n/a (zero denom)",G576/ABS(F576))</f>
        <v>1.6312137178596415e-16</v>
      </c>
      <c r="I576" s="10">
        <f>'Tolerances'!$B$11</f>
        <v>0.002</v>
      </c>
      <c r="J576" s="15" t="str">
        <f>IF(F576=0,IF(G576&lt;=0.000001,"PASS","FAIL"),IF(H576&lt;=I576,"PASS","FAIL"))</f>
        <v>PASS</v>
      </c>
      <c r="K576" t="inlineStr">
        <is>
          <t xml:space="preserve"/>
        </is>
      </c>
    </row>
    <row r="577">
      <c r="A577" t="inlineStr">
        <is>
          <t xml:space="preserve">INTC</t>
        </is>
      </c>
      <c r="B577" t="inlineStr">
        <is>
          <t xml:space="preserve">Table 3 -- Revenue growth</t>
        </is>
      </c>
      <c r="C577" t="inlineStr">
        <is>
          <t xml:space="preserve">RevGrowth=30.0000%</t>
        </is>
      </c>
      <c r="D577" t="inlineStr">
        <is>
          <t xml:space="preserve">Intrinsic Value per Share</t>
        </is>
      </c>
      <c r="E577" s="7">
        <v>-8.84796511597068</v>
      </c>
      <c r="F577" s="7">
        <v>-8.847965115970682</v>
      </c>
      <c r="G577" s="12">
        <f>ABS(E577-F577)</f>
        <v>1.7763568394002505e-15</v>
      </c>
      <c r="H577" s="10">
        <f>IF(F577=0,"n/a (zero denom)",G577/ABS(F577))</f>
        <v>2.007644487876546e-16</v>
      </c>
      <c r="I577" s="10">
        <f>'Tolerances'!$B$13</f>
        <v>0.005</v>
      </c>
      <c r="J577" s="15" t="str">
        <f>IF(F577=0,IF(G577&lt;=0.000001,"PASS","FAIL"),IF(H577&lt;=I577,"PASS","FAIL"))</f>
        <v>PASS</v>
      </c>
      <c r="K577" t="inlineStr">
        <is>
          <t xml:space="preserve"/>
        </is>
      </c>
    </row>
    <row r="578">
      <c r="A578" t="inlineStr">
        <is>
          <t xml:space="preserve">INTC</t>
        </is>
      </c>
      <c r="B578" t="inlineStr">
        <is>
          <t xml:space="preserve">Table 3 -- Revenue growth</t>
        </is>
      </c>
      <c r="C578" t="inlineStr">
        <is>
          <t xml:space="preserve">RevGrowth=40.0000%</t>
        </is>
      </c>
      <c r="D578" t="inlineStr">
        <is>
          <t xml:space="preserve">FCF Year 1</t>
        </is>
      </c>
      <c r="E578" s="6">
        <v>-945639473.7715678</v>
      </c>
      <c r="F578" s="6">
        <v>-945639473.7715678</v>
      </c>
      <c r="G578" s="11">
        <f>ABS(E578-F578)</f>
        <v>0.0</v>
      </c>
      <c r="H578" s="10">
        <f>IF(F578=0,"n/a (zero denom)",G578/ABS(F578))</f>
        <v>0.0</v>
      </c>
      <c r="I578" s="10">
        <f>'Tolerances'!$B$6</f>
        <v>0.001</v>
      </c>
      <c r="J578" s="15" t="str">
        <f>IF(F578=0,IF(G578&lt;=0.000001,"PASS","FAIL"),IF(H578&lt;=I578,"PASS","FAIL"))</f>
        <v>PASS</v>
      </c>
      <c r="K578" t="inlineStr">
        <is>
          <t xml:space="preserve"/>
        </is>
      </c>
    </row>
    <row r="579">
      <c r="A579" t="inlineStr">
        <is>
          <t xml:space="preserve">INTC</t>
        </is>
      </c>
      <c r="B579" t="inlineStr">
        <is>
          <t xml:space="preserve">Table 3 -- Revenue growth</t>
        </is>
      </c>
      <c r="C579" t="inlineStr">
        <is>
          <t xml:space="preserve">RevGrowth=40.0000%</t>
        </is>
      </c>
      <c r="D579" t="inlineStr">
        <is>
          <t xml:space="preserve">FCF Year 2</t>
        </is>
      </c>
      <c r="E579" s="6">
        <v>-1323895263.2801952</v>
      </c>
      <c r="F579" s="6">
        <v>-1323895263.2801952</v>
      </c>
      <c r="G579" s="11">
        <f>ABS(E579-F579)</f>
        <v>0.0</v>
      </c>
      <c r="H579" s="10">
        <f>IF(F579=0,"n/a (zero denom)",G579/ABS(F579))</f>
        <v>0.0</v>
      </c>
      <c r="I579" s="10">
        <f>'Tolerances'!$B$6</f>
        <v>0.001</v>
      </c>
      <c r="J579" s="15" t="str">
        <f>IF(F579=0,IF(G579&lt;=0.000001,"PASS","FAIL"),IF(H579&lt;=I579,"PASS","FAIL"))</f>
        <v>PASS</v>
      </c>
      <c r="K579" t="inlineStr">
        <is>
          <t xml:space="preserve"/>
        </is>
      </c>
    </row>
    <row r="580">
      <c r="A580" t="inlineStr">
        <is>
          <t xml:space="preserve">INTC</t>
        </is>
      </c>
      <c r="B580" t="inlineStr">
        <is>
          <t xml:space="preserve">Table 3 -- Revenue growth</t>
        </is>
      </c>
      <c r="C580" t="inlineStr">
        <is>
          <t xml:space="preserve">RevGrowth=40.0000%</t>
        </is>
      </c>
      <c r="D580" t="inlineStr">
        <is>
          <t xml:space="preserve">FCF Year 3</t>
        </is>
      </c>
      <c r="E580" s="6">
        <v>-1853453368.5922728</v>
      </c>
      <c r="F580" s="6">
        <v>-1853453368.5922728</v>
      </c>
      <c r="G580" s="11">
        <f>ABS(E580-F580)</f>
        <v>0.0</v>
      </c>
      <c r="H580" s="10">
        <f>IF(F580=0,"n/a (zero denom)",G580/ABS(F580))</f>
        <v>0.0</v>
      </c>
      <c r="I580" s="10">
        <f>'Tolerances'!$B$6</f>
        <v>0.001</v>
      </c>
      <c r="J580" s="15" t="str">
        <f>IF(F580=0,IF(G580&lt;=0.000001,"PASS","FAIL"),IF(H580&lt;=I580,"PASS","FAIL"))</f>
        <v>PASS</v>
      </c>
      <c r="K580" t="inlineStr">
        <is>
          <t xml:space="preserve"/>
        </is>
      </c>
    </row>
    <row r="581">
      <c r="A581" t="inlineStr">
        <is>
          <t xml:space="preserve">INTC</t>
        </is>
      </c>
      <c r="B581" t="inlineStr">
        <is>
          <t xml:space="preserve">Table 3 -- Revenue growth</t>
        </is>
      </c>
      <c r="C581" t="inlineStr">
        <is>
          <t xml:space="preserve">RevGrowth=40.0000%</t>
        </is>
      </c>
      <c r="D581" t="inlineStr">
        <is>
          <t xml:space="preserve">FCF Year 4</t>
        </is>
      </c>
      <c r="E581" s="6">
        <v>-2594834716.0291824</v>
      </c>
      <c r="F581" s="6">
        <v>-2594834716.0291824</v>
      </c>
      <c r="G581" s="11">
        <f>ABS(E581-F581)</f>
        <v>0.0</v>
      </c>
      <c r="H581" s="10">
        <f>IF(F581=0,"n/a (zero denom)",G581/ABS(F581))</f>
        <v>0.0</v>
      </c>
      <c r="I581" s="10">
        <f>'Tolerances'!$B$6</f>
        <v>0.001</v>
      </c>
      <c r="J581" s="15" t="str">
        <f>IF(F581=0,IF(G581&lt;=0.000001,"PASS","FAIL"),IF(H581&lt;=I581,"PASS","FAIL"))</f>
        <v>PASS</v>
      </c>
      <c r="K581" t="inlineStr">
        <is>
          <t xml:space="preserve"/>
        </is>
      </c>
    </row>
    <row r="582">
      <c r="A582" t="inlineStr">
        <is>
          <t xml:space="preserve">INTC</t>
        </is>
      </c>
      <c r="B582" t="inlineStr">
        <is>
          <t xml:space="preserve">Table 3 -- Revenue growth</t>
        </is>
      </c>
      <c r="C582" t="inlineStr">
        <is>
          <t xml:space="preserve">RevGrowth=40.0000%</t>
        </is>
      </c>
      <c r="D582" t="inlineStr">
        <is>
          <t xml:space="preserve">FCF Year 5</t>
        </is>
      </c>
      <c r="E582" s="6">
        <v>-3632768602.440857</v>
      </c>
      <c r="F582" s="6">
        <v>-3632768602.440857</v>
      </c>
      <c r="G582" s="11">
        <f>ABS(E582-F582)</f>
        <v>0.0</v>
      </c>
      <c r="H582" s="10">
        <f>IF(F582=0,"n/a (zero denom)",G582/ABS(F582))</f>
        <v>0.0</v>
      </c>
      <c r="I582" s="10">
        <f>'Tolerances'!$B$6</f>
        <v>0.001</v>
      </c>
      <c r="J582" s="15" t="str">
        <f>IF(F582=0,IF(G582&lt;=0.000001,"PASS","FAIL"),IF(H582&lt;=I582,"PASS","FAIL"))</f>
        <v>PASS</v>
      </c>
      <c r="K582" t="inlineStr">
        <is>
          <t xml:space="preserve"/>
        </is>
      </c>
    </row>
    <row r="583">
      <c r="A583" t="inlineStr">
        <is>
          <t xml:space="preserve">INTC</t>
        </is>
      </c>
      <c r="B583" t="inlineStr">
        <is>
          <t xml:space="preserve">Table 3 -- Revenue growth</t>
        </is>
      </c>
      <c r="C583" t="inlineStr">
        <is>
          <t xml:space="preserve">RevGrowth=40.0000%</t>
        </is>
      </c>
      <c r="D583" t="inlineStr">
        <is>
          <t xml:space="preserve">Terminal Value</t>
        </is>
      </c>
      <c r="E583" s="6">
        <v>-29659046019.46812</v>
      </c>
      <c r="F583" s="6">
        <v>-29659046019.46812</v>
      </c>
      <c r="G583" s="11">
        <f>ABS(E583-F583)</f>
        <v>0.0</v>
      </c>
      <c r="H583" s="10">
        <f>IF(F583=0,"n/a (zero denom)",G583/ABS(F583))</f>
        <v>0.0</v>
      </c>
      <c r="I583" s="10">
        <f>'Tolerances'!$B$7</f>
        <v>0.002</v>
      </c>
      <c r="J583" s="15" t="str">
        <f>IF(F583=0,IF(G583&lt;=0.000001,"PASS","FAIL"),IF(H583&lt;=I583,"PASS","FAIL"))</f>
        <v>PASS</v>
      </c>
      <c r="K583" t="inlineStr">
        <is>
          <t xml:space="preserve"/>
        </is>
      </c>
    </row>
    <row r="584">
      <c r="A584" t="inlineStr">
        <is>
          <t xml:space="preserve">INTC</t>
        </is>
      </c>
      <c r="B584" t="inlineStr">
        <is>
          <t xml:space="preserve">Table 3 -- Revenue growth</t>
        </is>
      </c>
      <c r="C584" t="inlineStr">
        <is>
          <t xml:space="preserve">RevGrowth=40.0000%</t>
        </is>
      </c>
      <c r="D584" t="inlineStr">
        <is>
          <t xml:space="preserve">Enterprise Value</t>
        </is>
      </c>
      <c r="E584" s="6">
        <v>-21032384551.577824</v>
      </c>
      <c r="F584" s="6">
        <v>-21032384551.57782</v>
      </c>
      <c r="G584" s="11">
        <f>ABS(E584-F584)</f>
        <v>3.814697265625e-06</v>
      </c>
      <c r="H584" s="10">
        <f>IF(F584=0,"n/a (zero denom)",G584/ABS(F584))</f>
        <v>1.813725522310701e-16</v>
      </c>
      <c r="I584" s="10">
        <f>'Tolerances'!$B$10</f>
        <v>0.002</v>
      </c>
      <c r="J584" s="15" t="str">
        <f>IF(F584=0,IF(G584&lt;=0.000001,"PASS","FAIL"),IF(H584&lt;=I584,"PASS","FAIL"))</f>
        <v>PASS</v>
      </c>
      <c r="K584" t="inlineStr">
        <is>
          <t xml:space="preserve"/>
        </is>
      </c>
    </row>
    <row r="585">
      <c r="A585" t="inlineStr">
        <is>
          <t xml:space="preserve">INTC</t>
        </is>
      </c>
      <c r="B585" t="inlineStr">
        <is>
          <t xml:space="preserve">Table 3 -- Revenue growth</t>
        </is>
      </c>
      <c r="C585" t="inlineStr">
        <is>
          <t xml:space="preserve">RevGrowth=40.0000%</t>
        </is>
      </c>
      <c r="D585" t="inlineStr">
        <is>
          <t xml:space="preserve">Equity Value</t>
        </is>
      </c>
      <c r="E585" s="6">
        <v>-53352384551.57782</v>
      </c>
      <c r="F585" s="6">
        <v>-53352384551.57782</v>
      </c>
      <c r="G585" s="11">
        <f>ABS(E585-F585)</f>
        <v>0.0</v>
      </c>
      <c r="H585" s="10">
        <f>IF(F585=0,"n/a (zero denom)",G585/ABS(F585))</f>
        <v>0.0</v>
      </c>
      <c r="I585" s="10">
        <f>'Tolerances'!$B$11</f>
        <v>0.002</v>
      </c>
      <c r="J585" s="15" t="str">
        <f>IF(F585=0,IF(G585&lt;=0.000001,"PASS","FAIL"),IF(H585&lt;=I585,"PASS","FAIL"))</f>
        <v>PASS</v>
      </c>
      <c r="K585" t="inlineStr">
        <is>
          <t xml:space="preserve"/>
        </is>
      </c>
    </row>
    <row r="586">
      <c r="A586" t="inlineStr">
        <is>
          <t xml:space="preserve">INTC</t>
        </is>
      </c>
      <c r="B586" t="inlineStr">
        <is>
          <t xml:space="preserve">Table 3 -- Revenue growth</t>
        </is>
      </c>
      <c r="C586" t="inlineStr">
        <is>
          <t xml:space="preserve">RevGrowth=40.0000%</t>
        </is>
      </c>
      <c r="D586" t="inlineStr">
        <is>
          <t xml:space="preserve">Intrinsic Value per Share</t>
        </is>
      </c>
      <c r="E586" s="7">
        <v>-10.092947814548802</v>
      </c>
      <c r="F586" s="7">
        <v>-10.092947814548802</v>
      </c>
      <c r="G586" s="12">
        <f>ABS(E586-F586)</f>
        <v>0.0</v>
      </c>
      <c r="H586" s="10">
        <f>IF(F586=0,"n/a (zero denom)",G586/ABS(F586))</f>
        <v>0.0</v>
      </c>
      <c r="I586" s="10">
        <f>'Tolerances'!$B$13</f>
        <v>0.005</v>
      </c>
      <c r="J586" s="15" t="str">
        <f>IF(F586=0,IF(G586&lt;=0.000001,"PASS","FAIL"),IF(H586&lt;=I586,"PASS","FAIL"))</f>
        <v>PASS</v>
      </c>
      <c r="K586" t="inlineStr">
        <is>
          <t xml:space="preserve"/>
        </is>
      </c>
    </row>
    <row r="587">
      <c r="A587" t="inlineStr">
        <is>
          <t xml:space="preserve">INTC</t>
        </is>
      </c>
      <c r="B587" t="inlineStr">
        <is>
          <t xml:space="preserve">Table 4 -- Operating margin</t>
        </is>
      </c>
      <c r="C587" t="inlineStr">
        <is>
          <t xml:space="preserve">Margin=0.0000%</t>
        </is>
      </c>
      <c r="D587" t="inlineStr">
        <is>
          <t xml:space="preserve">FCF Year 1</t>
        </is>
      </c>
      <c r="E587" s="6">
        <v>-427534076.5538749</v>
      </c>
      <c r="F587" s="6">
        <v>-427534076.5538749</v>
      </c>
      <c r="G587" s="11">
        <f>ABS(E587-F587)</f>
        <v>0.0</v>
      </c>
      <c r="H587" s="10">
        <f>IF(F587=0,"n/a (zero denom)",G587/ABS(F587))</f>
        <v>0.0</v>
      </c>
      <c r="I587" s="10">
        <f>'Tolerances'!$B$6</f>
        <v>0.001</v>
      </c>
      <c r="J587" s="15" t="str">
        <f>IF(F587=0,IF(G587&lt;=0.000001,"PASS","FAIL"),IF(H587&lt;=I587,"PASS","FAIL"))</f>
        <v>PASS</v>
      </c>
      <c r="K587" t="inlineStr">
        <is>
          <t xml:space="preserve"/>
        </is>
      </c>
    </row>
    <row r="588">
      <c r="A588" t="inlineStr">
        <is>
          <t xml:space="preserve">INTC</t>
        </is>
      </c>
      <c r="B588" t="inlineStr">
        <is>
          <t xml:space="preserve">Table 4 -- Operating margin</t>
        </is>
      </c>
      <c r="C588" t="inlineStr">
        <is>
          <t xml:space="preserve">Margin=0.0000%</t>
        </is>
      </c>
      <c r="D588" t="inlineStr">
        <is>
          <t xml:space="preserve">FCF Year 2</t>
        </is>
      </c>
      <c r="E588" s="6">
        <v>-386685686.8066088</v>
      </c>
      <c r="F588" s="6">
        <v>-386685686.8066088</v>
      </c>
      <c r="G588" s="11">
        <f>ABS(E588-F588)</f>
        <v>0.0</v>
      </c>
      <c r="H588" s="10">
        <f>IF(F588=0,"n/a (zero denom)",G588/ABS(F588))</f>
        <v>0.0</v>
      </c>
      <c r="I588" s="10">
        <f>'Tolerances'!$B$6</f>
        <v>0.001</v>
      </c>
      <c r="J588" s="15" t="str">
        <f>IF(F588=0,IF(G588&lt;=0.000001,"PASS","FAIL"),IF(H588&lt;=I588,"PASS","FAIL"))</f>
        <v>PASS</v>
      </c>
      <c r="K588" t="inlineStr">
        <is>
          <t xml:space="preserve"/>
        </is>
      </c>
    </row>
    <row r="589">
      <c r="A589" t="inlineStr">
        <is>
          <t xml:space="preserve">INTC</t>
        </is>
      </c>
      <c r="B589" t="inlineStr">
        <is>
          <t xml:space="preserve">Table 4 -- Operating margin</t>
        </is>
      </c>
      <c r="C589" t="inlineStr">
        <is>
          <t xml:space="preserve">Margin=0.0000%</t>
        </is>
      </c>
      <c r="D589" t="inlineStr">
        <is>
          <t xml:space="preserve">FCF Year 3</t>
        </is>
      </c>
      <c r="E589" s="6">
        <v>-349740122.6736055</v>
      </c>
      <c r="F589" s="6">
        <v>-349740122.6736055</v>
      </c>
      <c r="G589" s="11">
        <f>ABS(E589-F589)</f>
        <v>0.0</v>
      </c>
      <c r="H589" s="10">
        <f>IF(F589=0,"n/a (zero denom)",G589/ABS(F589))</f>
        <v>0.0</v>
      </c>
      <c r="I589" s="10">
        <f>'Tolerances'!$B$6</f>
        <v>0.001</v>
      </c>
      <c r="J589" s="15" t="str">
        <f>IF(F589=0,IF(G589&lt;=0.000001,"PASS","FAIL"),IF(H589&lt;=I589,"PASS","FAIL"))</f>
        <v>PASS</v>
      </c>
      <c r="K589" t="inlineStr">
        <is>
          <t xml:space="preserve"/>
        </is>
      </c>
    </row>
    <row r="590">
      <c r="A590" t="inlineStr">
        <is>
          <t xml:space="preserve">INTC</t>
        </is>
      </c>
      <c r="B590" t="inlineStr">
        <is>
          <t xml:space="preserve">Table 4 -- Operating margin</t>
        </is>
      </c>
      <c r="C590" t="inlineStr">
        <is>
          <t xml:space="preserve">Margin=0.0000%</t>
        </is>
      </c>
      <c r="D590" t="inlineStr">
        <is>
          <t xml:space="preserve">FCF Year 4</t>
        </is>
      </c>
      <c r="E590" s="6">
        <v>-316324491.90942764</v>
      </c>
      <c r="F590" s="6">
        <v>-316324491.90942764</v>
      </c>
      <c r="G590" s="11">
        <f>ABS(E590-F590)</f>
        <v>0.0</v>
      </c>
      <c r="H590" s="10">
        <f>IF(F590=0,"n/a (zero denom)",G590/ABS(F590))</f>
        <v>0.0</v>
      </c>
      <c r="I590" s="10">
        <f>'Tolerances'!$B$6</f>
        <v>0.001</v>
      </c>
      <c r="J590" s="15" t="str">
        <f>IF(F590=0,IF(G590&lt;=0.000001,"PASS","FAIL"),IF(H590&lt;=I590,"PASS","FAIL"))</f>
        <v>PASS</v>
      </c>
      <c r="K590" t="inlineStr">
        <is>
          <t xml:space="preserve"/>
        </is>
      </c>
    </row>
    <row r="591">
      <c r="A591" t="inlineStr">
        <is>
          <t xml:space="preserve">INTC</t>
        </is>
      </c>
      <c r="B591" t="inlineStr">
        <is>
          <t xml:space="preserve">Table 4 -- Operating margin</t>
        </is>
      </c>
      <c r="C591" t="inlineStr">
        <is>
          <t xml:space="preserve">Margin=0.0000%</t>
        </is>
      </c>
      <c r="D591" t="inlineStr">
        <is>
          <t xml:space="preserve">FCF Year 5</t>
        </is>
      </c>
      <c r="E591" s="6">
        <v>-286101529.9498236</v>
      </c>
      <c r="F591" s="6">
        <v>-286101529.9498236</v>
      </c>
      <c r="G591" s="11">
        <f>ABS(E591-F591)</f>
        <v>0.0</v>
      </c>
      <c r="H591" s="10">
        <f>IF(F591=0,"n/a (zero denom)",G591/ABS(F591))</f>
        <v>0.0</v>
      </c>
      <c r="I591" s="10">
        <f>'Tolerances'!$B$6</f>
        <v>0.001</v>
      </c>
      <c r="J591" s="15" t="str">
        <f>IF(F591=0,IF(G591&lt;=0.000001,"PASS","FAIL"),IF(H591&lt;=I591,"PASS","FAIL"))</f>
        <v>PASS</v>
      </c>
      <c r="K591" t="inlineStr">
        <is>
          <t xml:space="preserve"/>
        </is>
      </c>
    </row>
    <row r="592">
      <c r="A592" t="inlineStr">
        <is>
          <t xml:space="preserve">INTC</t>
        </is>
      </c>
      <c r="B592" t="inlineStr">
        <is>
          <t xml:space="preserve">Table 4 -- Operating margin</t>
        </is>
      </c>
      <c r="C592" t="inlineStr">
        <is>
          <t xml:space="preserve">Margin=0.0000%</t>
        </is>
      </c>
      <c r="D592" t="inlineStr">
        <is>
          <t xml:space="preserve">Terminal Value</t>
        </is>
      </c>
      <c r="E592" s="6">
        <v>-2335821344.9985914</v>
      </c>
      <c r="F592" s="6">
        <v>-2335821344.9985914</v>
      </c>
      <c r="G592" s="11">
        <f>ABS(E592-F592)</f>
        <v>0.0</v>
      </c>
      <c r="H592" s="10">
        <f>IF(F592=0,"n/a (zero denom)",G592/ABS(F592))</f>
        <v>0.0</v>
      </c>
      <c r="I592" s="10">
        <f>'Tolerances'!$B$7</f>
        <v>0.002</v>
      </c>
      <c r="J592" s="15" t="str">
        <f>IF(F592=0,IF(G592&lt;=0.000001,"PASS","FAIL"),IF(H592&lt;=I592,"PASS","FAIL"))</f>
        <v>PASS</v>
      </c>
      <c r="K592" t="inlineStr">
        <is>
          <t xml:space="preserve"/>
        </is>
      </c>
    </row>
    <row r="593">
      <c r="A593" t="inlineStr">
        <is>
          <t xml:space="preserve">INTC</t>
        </is>
      </c>
      <c r="B593" t="inlineStr">
        <is>
          <t xml:space="preserve">Table 4 -- Operating margin</t>
        </is>
      </c>
      <c r="C593" t="inlineStr">
        <is>
          <t xml:space="preserve">Margin=0.0000%</t>
        </is>
      </c>
      <c r="D593" t="inlineStr">
        <is>
          <t xml:space="preserve">Enterprise Value</t>
        </is>
      </c>
      <c r="E593" s="6">
        <v>-2374319371.013336</v>
      </c>
      <c r="F593" s="6">
        <v>-2374319371.013336</v>
      </c>
      <c r="G593" s="11">
        <f>ABS(E593-F593)</f>
        <v>0.0</v>
      </c>
      <c r="H593" s="10">
        <f>IF(F593=0,"n/a (zero denom)",G593/ABS(F593))</f>
        <v>0.0</v>
      </c>
      <c r="I593" s="10">
        <f>'Tolerances'!$B$10</f>
        <v>0.002</v>
      </c>
      <c r="J593" s="15" t="str">
        <f>IF(F593=0,IF(G593&lt;=0.000001,"PASS","FAIL"),IF(H593&lt;=I593,"PASS","FAIL"))</f>
        <v>PASS</v>
      </c>
      <c r="K593" t="inlineStr">
        <is>
          <t xml:space="preserve"/>
        </is>
      </c>
    </row>
    <row r="594">
      <c r="A594" t="inlineStr">
        <is>
          <t xml:space="preserve">INTC</t>
        </is>
      </c>
      <c r="B594" t="inlineStr">
        <is>
          <t xml:space="preserve">Table 4 -- Operating margin</t>
        </is>
      </c>
      <c r="C594" t="inlineStr">
        <is>
          <t xml:space="preserve">Margin=0.0000%</t>
        </is>
      </c>
      <c r="D594" t="inlineStr">
        <is>
          <t xml:space="preserve">Equity Value</t>
        </is>
      </c>
      <c r="E594" s="6">
        <v>-34694319371.013336</v>
      </c>
      <c r="F594" s="6">
        <v>-34694319371.013336</v>
      </c>
      <c r="G594" s="11">
        <f>ABS(E594-F594)</f>
        <v>0.0</v>
      </c>
      <c r="H594" s="10">
        <f>IF(F594=0,"n/a (zero denom)",G594/ABS(F594))</f>
        <v>0.0</v>
      </c>
      <c r="I594" s="10">
        <f>'Tolerances'!$B$11</f>
        <v>0.002</v>
      </c>
      <c r="J594" s="15" t="str">
        <f>IF(F594=0,IF(G594&lt;=0.000001,"PASS","FAIL"),IF(H594&lt;=I594,"PASS","FAIL"))</f>
        <v>PASS</v>
      </c>
      <c r="K594" t="inlineStr">
        <is>
          <t xml:space="preserve"/>
        </is>
      </c>
    </row>
    <row r="595">
      <c r="A595" t="inlineStr">
        <is>
          <t xml:space="preserve">INTC</t>
        </is>
      </c>
      <c r="B595" t="inlineStr">
        <is>
          <t xml:space="preserve">Table 4 -- Operating margin</t>
        </is>
      </c>
      <c r="C595" t="inlineStr">
        <is>
          <t xml:space="preserve">Margin=0.0000%</t>
        </is>
      </c>
      <c r="D595" t="inlineStr">
        <is>
          <t xml:space="preserve">Intrinsic Value per Share</t>
        </is>
      </c>
      <c r="E595" s="7">
        <v>-6.56330467355974</v>
      </c>
      <c r="F595" s="7">
        <v>-6.56330467355974</v>
      </c>
      <c r="G595" s="12">
        <f>ABS(E595-F595)</f>
        <v>0.0</v>
      </c>
      <c r="H595" s="10">
        <f>IF(F595=0,"n/a (zero denom)",G595/ABS(F595))</f>
        <v>0.0</v>
      </c>
      <c r="I595" s="10">
        <f>'Tolerances'!$B$13</f>
        <v>0.005</v>
      </c>
      <c r="J595" s="15" t="str">
        <f>IF(F595=0,IF(G595&lt;=0.000001,"PASS","FAIL"),IF(H595&lt;=I595,"PASS","FAIL"))</f>
        <v>PASS</v>
      </c>
      <c r="K595" t="inlineStr">
        <is>
          <t xml:space="preserve"/>
        </is>
      </c>
    </row>
    <row r="596">
      <c r="A596" t="inlineStr">
        <is>
          <t xml:space="preserve">INTC</t>
        </is>
      </c>
      <c r="B596" t="inlineStr">
        <is>
          <t xml:space="preserve">Table 4 -- Operating margin</t>
        </is>
      </c>
      <c r="C596" t="inlineStr">
        <is>
          <t xml:space="preserve">Margin=10.0000%</t>
        </is>
      </c>
      <c r="D596" t="inlineStr">
        <is>
          <t xml:space="preserve">FCF Year 1</t>
        </is>
      </c>
      <c r="E596" s="6">
        <v>-347708559.56479114</v>
      </c>
      <c r="F596" s="6">
        <v>-347708559.56479114</v>
      </c>
      <c r="G596" s="11">
        <f>ABS(E596-F596)</f>
        <v>0.0</v>
      </c>
      <c r="H596" s="10">
        <f>IF(F596=0,"n/a (zero denom)",G596/ABS(F596))</f>
        <v>0.0</v>
      </c>
      <c r="I596" s="10">
        <f>'Tolerances'!$B$6</f>
        <v>0.001</v>
      </c>
      <c r="J596" s="15" t="str">
        <f>IF(F596=0,IF(G596&lt;=0.000001,"PASS","FAIL"),IF(H596&lt;=I596,"PASS","FAIL"))</f>
        <v>PASS</v>
      </c>
      <c r="K596" t="inlineStr">
        <is>
          <t xml:space="preserve"/>
        </is>
      </c>
    </row>
    <row r="597">
      <c r="A597" t="inlineStr">
        <is>
          <t xml:space="preserve">INTC</t>
        </is>
      </c>
      <c r="B597" t="inlineStr">
        <is>
          <t xml:space="preserve">Table 4 -- Operating margin</t>
        </is>
      </c>
      <c r="C597" t="inlineStr">
        <is>
          <t xml:space="preserve">Margin=10.0000%</t>
        </is>
      </c>
      <c r="D597" t="inlineStr">
        <is>
          <t xml:space="preserve">FCF Year 2</t>
        </is>
      </c>
      <c r="E597" s="6">
        <v>-314487032.8176166</v>
      </c>
      <c r="F597" s="6">
        <v>-314487032.8176166</v>
      </c>
      <c r="G597" s="11">
        <f>ABS(E597-F597)</f>
        <v>0.0</v>
      </c>
      <c r="H597" s="10">
        <f>IF(F597=0,"n/a (zero denom)",G597/ABS(F597))</f>
        <v>0.0</v>
      </c>
      <c r="I597" s="10">
        <f>'Tolerances'!$B$6</f>
        <v>0.001</v>
      </c>
      <c r="J597" s="15" t="str">
        <f>IF(F597=0,IF(G597&lt;=0.000001,"PASS","FAIL"),IF(H597&lt;=I597,"PASS","FAIL"))</f>
        <v>PASS</v>
      </c>
      <c r="K597" t="inlineStr">
        <is>
          <t xml:space="preserve"/>
        </is>
      </c>
    </row>
    <row r="598">
      <c r="A598" t="inlineStr">
        <is>
          <t xml:space="preserve">INTC</t>
        </is>
      </c>
      <c r="B598" t="inlineStr">
        <is>
          <t xml:space="preserve">Table 4 -- Operating margin</t>
        </is>
      </c>
      <c r="C598" t="inlineStr">
        <is>
          <t xml:space="preserve">Margin=10.0000%</t>
        </is>
      </c>
      <c r="D598" t="inlineStr">
        <is>
          <t xml:space="preserve">FCF Year 3</t>
        </is>
      </c>
      <c r="E598" s="6">
        <v>-284439629.36724764</v>
      </c>
      <c r="F598" s="6">
        <v>-284439629.36724764</v>
      </c>
      <c r="G598" s="11">
        <f>ABS(E598-F598)</f>
        <v>0.0</v>
      </c>
      <c r="H598" s="10">
        <f>IF(F598=0,"n/a (zero denom)",G598/ABS(F598))</f>
        <v>0.0</v>
      </c>
      <c r="I598" s="10">
        <f>'Tolerances'!$B$6</f>
        <v>0.001</v>
      </c>
      <c r="J598" s="15" t="str">
        <f>IF(F598=0,IF(G598&lt;=0.000001,"PASS","FAIL"),IF(H598&lt;=I598,"PASS","FAIL"))</f>
        <v>PASS</v>
      </c>
      <c r="K598" t="inlineStr">
        <is>
          <t xml:space="preserve"/>
        </is>
      </c>
    </row>
    <row r="599">
      <c r="A599" t="inlineStr">
        <is>
          <t xml:space="preserve">INTC</t>
        </is>
      </c>
      <c r="B599" t="inlineStr">
        <is>
          <t xml:space="preserve">Table 4 -- Operating margin</t>
        </is>
      </c>
      <c r="C599" t="inlineStr">
        <is>
          <t xml:space="preserve">Margin=10.0000%</t>
        </is>
      </c>
      <c r="D599" t="inlineStr">
        <is>
          <t xml:space="preserve">FCF Year 4</t>
        </is>
      </c>
      <c r="E599" s="6">
        <v>-257263080.22848678</v>
      </c>
      <c r="F599" s="6">
        <v>-257263080.22848678</v>
      </c>
      <c r="G599" s="11">
        <f>ABS(E599-F599)</f>
        <v>0.0</v>
      </c>
      <c r="H599" s="10">
        <f>IF(F599=0,"n/a (zero denom)",G599/ABS(F599))</f>
        <v>0.0</v>
      </c>
      <c r="I599" s="10">
        <f>'Tolerances'!$B$6</f>
        <v>0.001</v>
      </c>
      <c r="J599" s="15" t="str">
        <f>IF(F599=0,IF(G599&lt;=0.000001,"PASS","FAIL"),IF(H599&lt;=I599,"PASS","FAIL"))</f>
        <v>PASS</v>
      </c>
      <c r="K599" t="inlineStr">
        <is>
          <t xml:space="preserve"/>
        </is>
      </c>
    </row>
    <row r="600">
      <c r="A600" t="inlineStr">
        <is>
          <t xml:space="preserve">INTC</t>
        </is>
      </c>
      <c r="B600" t="inlineStr">
        <is>
          <t xml:space="preserve">Table 4 -- Operating margin</t>
        </is>
      </c>
      <c r="C600" t="inlineStr">
        <is>
          <t xml:space="preserve">Margin=10.0000%</t>
        </is>
      </c>
      <c r="D600" t="inlineStr">
        <is>
          <t xml:space="preserve">FCF Year 5</t>
        </is>
      </c>
      <c r="E600" s="6">
        <v>-232683092.00050473</v>
      </c>
      <c r="F600" s="6">
        <v>-232683092.00050473</v>
      </c>
      <c r="G600" s="11">
        <f>ABS(E600-F600)</f>
        <v>0.0</v>
      </c>
      <c r="H600" s="10">
        <f>IF(F600=0,"n/a (zero denom)",G600/ABS(F600))</f>
        <v>0.0</v>
      </c>
      <c r="I600" s="10">
        <f>'Tolerances'!$B$6</f>
        <v>0.001</v>
      </c>
      <c r="J600" s="15" t="str">
        <f>IF(F600=0,IF(G600&lt;=0.000001,"PASS","FAIL"),IF(H600&lt;=I600,"PASS","FAIL"))</f>
        <v>PASS</v>
      </c>
      <c r="K600" t="inlineStr">
        <is>
          <t xml:space="preserve"/>
        </is>
      </c>
    </row>
    <row r="601">
      <c r="A601" t="inlineStr">
        <is>
          <t xml:space="preserve">INTC</t>
        </is>
      </c>
      <c r="B601" t="inlineStr">
        <is>
          <t xml:space="preserve">Table 4 -- Operating margin</t>
        </is>
      </c>
      <c r="C601" t="inlineStr">
        <is>
          <t xml:space="preserve">Margin=10.0000%</t>
        </is>
      </c>
      <c r="D601" t="inlineStr">
        <is>
          <t xml:space="preserve">Terminal Value</t>
        </is>
      </c>
      <c r="E601" s="6">
        <v>-1899696702.1126025</v>
      </c>
      <c r="F601" s="6">
        <v>-1899696702.1126025</v>
      </c>
      <c r="G601" s="11">
        <f>ABS(E601-F601)</f>
        <v>0.0</v>
      </c>
      <c r="H601" s="10">
        <f>IF(F601=0,"n/a (zero denom)",G601/ABS(F601))</f>
        <v>0.0</v>
      </c>
      <c r="I601" s="10">
        <f>'Tolerances'!$B$7</f>
        <v>0.002</v>
      </c>
      <c r="J601" s="15" t="str">
        <f>IF(F601=0,IF(G601&lt;=0.000001,"PASS","FAIL"),IF(H601&lt;=I601,"PASS","FAIL"))</f>
        <v>PASS</v>
      </c>
      <c r="K601" t="inlineStr">
        <is>
          <t xml:space="preserve"/>
        </is>
      </c>
    </row>
    <row r="602">
      <c r="A602" t="inlineStr">
        <is>
          <t xml:space="preserve">INTC</t>
        </is>
      </c>
      <c r="B602" t="inlineStr">
        <is>
          <t xml:space="preserve">Table 4 -- Operating margin</t>
        </is>
      </c>
      <c r="C602" t="inlineStr">
        <is>
          <t xml:space="preserve">Margin=10.0000%</t>
        </is>
      </c>
      <c r="D602" t="inlineStr">
        <is>
          <t xml:space="preserve">Enterprise Value</t>
        </is>
      </c>
      <c r="E602" s="6">
        <v>-1931006705.0007303</v>
      </c>
      <c r="F602" s="6">
        <v>-1931006705.0007303</v>
      </c>
      <c r="G602" s="11">
        <f>ABS(E602-F602)</f>
        <v>0.0</v>
      </c>
      <c r="H602" s="10">
        <f>IF(F602=0,"n/a (zero denom)",G602/ABS(F602))</f>
        <v>0.0</v>
      </c>
      <c r="I602" s="10">
        <f>'Tolerances'!$B$10</f>
        <v>0.002</v>
      </c>
      <c r="J602" s="15" t="str">
        <f>IF(F602=0,IF(G602&lt;=0.000001,"PASS","FAIL"),IF(H602&lt;=I602,"PASS","FAIL"))</f>
        <v>PASS</v>
      </c>
      <c r="K602" t="inlineStr">
        <is>
          <t xml:space="preserve"/>
        </is>
      </c>
    </row>
    <row r="603">
      <c r="A603" t="inlineStr">
        <is>
          <t xml:space="preserve">INTC</t>
        </is>
      </c>
      <c r="B603" t="inlineStr">
        <is>
          <t xml:space="preserve">Table 4 -- Operating margin</t>
        </is>
      </c>
      <c r="C603" t="inlineStr">
        <is>
          <t xml:space="preserve">Margin=10.0000%</t>
        </is>
      </c>
      <c r="D603" t="inlineStr">
        <is>
          <t xml:space="preserve">Equity Value</t>
        </is>
      </c>
      <c r="E603" s="6">
        <v>-34251006705.000732</v>
      </c>
      <c r="F603" s="6">
        <v>-34251006705.000732</v>
      </c>
      <c r="G603" s="11">
        <f>ABS(E603-F603)</f>
        <v>0.0</v>
      </c>
      <c r="H603" s="10">
        <f>IF(F603=0,"n/a (zero denom)",G603/ABS(F603))</f>
        <v>0.0</v>
      </c>
      <c r="I603" s="10">
        <f>'Tolerances'!$B$11</f>
        <v>0.002</v>
      </c>
      <c r="J603" s="15" t="str">
        <f>IF(F603=0,IF(G603&lt;=0.000001,"PASS","FAIL"),IF(H603&lt;=I603,"PASS","FAIL"))</f>
        <v>PASS</v>
      </c>
      <c r="K603" t="inlineStr">
        <is>
          <t xml:space="preserve"/>
        </is>
      </c>
    </row>
    <row r="604">
      <c r="A604" t="inlineStr">
        <is>
          <t xml:space="preserve">INTC</t>
        </is>
      </c>
      <c r="B604" t="inlineStr">
        <is>
          <t xml:space="preserve">Table 4 -- Operating margin</t>
        </is>
      </c>
      <c r="C604" t="inlineStr">
        <is>
          <t xml:space="preserve">Margin=10.0000%</t>
        </is>
      </c>
      <c r="D604" t="inlineStr">
        <is>
          <t xml:space="preserve">Intrinsic Value per Share</t>
        </is>
      </c>
      <c r="E604" s="7">
        <v>-6.479440912994958</v>
      </c>
      <c r="F604" s="7">
        <v>-6.479440912994958</v>
      </c>
      <c r="G604" s="12">
        <f>ABS(E604-F604)</f>
        <v>0.0</v>
      </c>
      <c r="H604" s="10">
        <f>IF(F604=0,"n/a (zero denom)",G604/ABS(F604))</f>
        <v>0.0</v>
      </c>
      <c r="I604" s="10">
        <f>'Tolerances'!$B$13</f>
        <v>0.005</v>
      </c>
      <c r="J604" s="15" t="str">
        <f>IF(F604=0,IF(G604&lt;=0.000001,"PASS","FAIL"),IF(H604&lt;=I604,"PASS","FAIL"))</f>
        <v>PASS</v>
      </c>
      <c r="K604" t="inlineStr">
        <is>
          <t xml:space="preserve"/>
        </is>
      </c>
    </row>
    <row r="605">
      <c r="A605" t="inlineStr">
        <is>
          <t xml:space="preserve">INTC</t>
        </is>
      </c>
      <c r="B605" t="inlineStr">
        <is>
          <t xml:space="preserve">Table 4 -- Operating margin</t>
        </is>
      </c>
      <c r="C605" t="inlineStr">
        <is>
          <t xml:space="preserve">Margin=20.0000%</t>
        </is>
      </c>
      <c r="D605" t="inlineStr">
        <is>
          <t xml:space="preserve">FCF Year 1</t>
        </is>
      </c>
      <c r="E605" s="6">
        <v>-267883042.57570738</v>
      </c>
      <c r="F605" s="6">
        <v>-267883042.57570738</v>
      </c>
      <c r="G605" s="11">
        <f>ABS(E605-F605)</f>
        <v>0.0</v>
      </c>
      <c r="H605" s="10">
        <f>IF(F605=0,"n/a (zero denom)",G605/ABS(F605))</f>
        <v>0.0</v>
      </c>
      <c r="I605" s="10">
        <f>'Tolerances'!$B$6</f>
        <v>0.001</v>
      </c>
      <c r="J605" s="15" t="str">
        <f>IF(F605=0,IF(G605&lt;=0.000001,"PASS","FAIL"),IF(H605&lt;=I605,"PASS","FAIL"))</f>
        <v>PASS</v>
      </c>
      <c r="K605" t="inlineStr">
        <is>
          <t xml:space="preserve"/>
        </is>
      </c>
    </row>
    <row r="606">
      <c r="A606" t="inlineStr">
        <is>
          <t xml:space="preserve">INTC</t>
        </is>
      </c>
      <c r="B606" t="inlineStr">
        <is>
          <t xml:space="preserve">Table 4 -- Operating margin</t>
        </is>
      </c>
      <c r="C606" t="inlineStr">
        <is>
          <t xml:space="preserve">Margin=20.0000%</t>
        </is>
      </c>
      <c r="D606" t="inlineStr">
        <is>
          <t xml:space="preserve">FCF Year 2</t>
        </is>
      </c>
      <c r="E606" s="6">
        <v>-242288378.8286244</v>
      </c>
      <c r="F606" s="6">
        <v>-242288378.8286244</v>
      </c>
      <c r="G606" s="11">
        <f>ABS(E606-F606)</f>
        <v>0.0</v>
      </c>
      <c r="H606" s="10">
        <f>IF(F606=0,"n/a (zero denom)",G606/ABS(F606))</f>
        <v>0.0</v>
      </c>
      <c r="I606" s="10">
        <f>'Tolerances'!$B$6</f>
        <v>0.001</v>
      </c>
      <c r="J606" s="15" t="str">
        <f>IF(F606=0,IF(G606&lt;=0.000001,"PASS","FAIL"),IF(H606&lt;=I606,"PASS","FAIL"))</f>
        <v>PASS</v>
      </c>
      <c r="K606" t="inlineStr">
        <is>
          <t xml:space="preserve"/>
        </is>
      </c>
    </row>
    <row r="607">
      <c r="A607" t="inlineStr">
        <is>
          <t xml:space="preserve">INTC</t>
        </is>
      </c>
      <c r="B607" t="inlineStr">
        <is>
          <t xml:space="preserve">Table 4 -- Operating margin</t>
        </is>
      </c>
      <c r="C607" t="inlineStr">
        <is>
          <t xml:space="preserve">Margin=20.0000%</t>
        </is>
      </c>
      <c r="D607" t="inlineStr">
        <is>
          <t xml:space="preserve">FCF Year 3</t>
        </is>
      </c>
      <c r="E607" s="6">
        <v>-219139136.06089002</v>
      </c>
      <c r="F607" s="6">
        <v>-219139136.06089002</v>
      </c>
      <c r="G607" s="11">
        <f>ABS(E607-F607)</f>
        <v>0.0</v>
      </c>
      <c r="H607" s="10">
        <f>IF(F607=0,"n/a (zero denom)",G607/ABS(F607))</f>
        <v>0.0</v>
      </c>
      <c r="I607" s="10">
        <f>'Tolerances'!$B$6</f>
        <v>0.001</v>
      </c>
      <c r="J607" s="15" t="str">
        <f>IF(F607=0,IF(G607&lt;=0.000001,"PASS","FAIL"),IF(H607&lt;=I607,"PASS","FAIL"))</f>
        <v>PASS</v>
      </c>
      <c r="K607" t="inlineStr">
        <is>
          <t xml:space="preserve"/>
        </is>
      </c>
    </row>
    <row r="608">
      <c r="A608" t="inlineStr">
        <is>
          <t xml:space="preserve">INTC</t>
        </is>
      </c>
      <c r="B608" t="inlineStr">
        <is>
          <t xml:space="preserve">Table 4 -- Operating margin</t>
        </is>
      </c>
      <c r="C608" t="inlineStr">
        <is>
          <t xml:space="preserve">Margin=20.0000%</t>
        </is>
      </c>
      <c r="D608" t="inlineStr">
        <is>
          <t xml:space="preserve">FCF Year 4</t>
        </is>
      </c>
      <c r="E608" s="6">
        <v>-198201668.5475459</v>
      </c>
      <c r="F608" s="6">
        <v>-198201668.5475459</v>
      </c>
      <c r="G608" s="11">
        <f>ABS(E608-F608)</f>
        <v>0.0</v>
      </c>
      <c r="H608" s="10">
        <f>IF(F608=0,"n/a (zero denom)",G608/ABS(F608))</f>
        <v>0.0</v>
      </c>
      <c r="I608" s="10">
        <f>'Tolerances'!$B$6</f>
        <v>0.001</v>
      </c>
      <c r="J608" s="15" t="str">
        <f>IF(F608=0,IF(G608&lt;=0.000001,"PASS","FAIL"),IF(H608&lt;=I608,"PASS","FAIL"))</f>
        <v>PASS</v>
      </c>
      <c r="K608" t="inlineStr">
        <is>
          <t xml:space="preserve"/>
        </is>
      </c>
    </row>
    <row r="609">
      <c r="A609" t="inlineStr">
        <is>
          <t xml:space="preserve">INTC</t>
        </is>
      </c>
      <c r="B609" t="inlineStr">
        <is>
          <t xml:space="preserve">Table 4 -- Operating margin</t>
        </is>
      </c>
      <c r="C609" t="inlineStr">
        <is>
          <t xml:space="preserve">Margin=20.0000%</t>
        </is>
      </c>
      <c r="D609" t="inlineStr">
        <is>
          <t xml:space="preserve">FCF Year 5</t>
        </is>
      </c>
      <c r="E609" s="6">
        <v>-179264654.05118585</v>
      </c>
      <c r="F609" s="6">
        <v>-179264654.05118585</v>
      </c>
      <c r="G609" s="11">
        <f>ABS(E609-F609)</f>
        <v>0.0</v>
      </c>
      <c r="H609" s="10">
        <f>IF(F609=0,"n/a (zero denom)",G609/ABS(F609))</f>
        <v>0.0</v>
      </c>
      <c r="I609" s="10">
        <f>'Tolerances'!$B$6</f>
        <v>0.001</v>
      </c>
      <c r="J609" s="15" t="str">
        <f>IF(F609=0,IF(G609&lt;=0.000001,"PASS","FAIL"),IF(H609&lt;=I609,"PASS","FAIL"))</f>
        <v>PASS</v>
      </c>
      <c r="K609" t="inlineStr">
        <is>
          <t xml:space="preserve"/>
        </is>
      </c>
    </row>
    <row r="610">
      <c r="A610" t="inlineStr">
        <is>
          <t xml:space="preserve">INTC</t>
        </is>
      </c>
      <c r="B610" t="inlineStr">
        <is>
          <t xml:space="preserve">Table 4 -- Operating margin</t>
        </is>
      </c>
      <c r="C610" t="inlineStr">
        <is>
          <t xml:space="preserve">Margin=20.0000%</t>
        </is>
      </c>
      <c r="D610" t="inlineStr">
        <is>
          <t xml:space="preserve">Terminal Value</t>
        </is>
      </c>
      <c r="E610" s="6">
        <v>-1463572059.2266138</v>
      </c>
      <c r="F610" s="6">
        <v>-1463572059.2266138</v>
      </c>
      <c r="G610" s="11">
        <f>ABS(E610-F610)</f>
        <v>0.0</v>
      </c>
      <c r="H610" s="10">
        <f>IF(F610=0,"n/a (zero denom)",G610/ABS(F610))</f>
        <v>0.0</v>
      </c>
      <c r="I610" s="10">
        <f>'Tolerances'!$B$7</f>
        <v>0.002</v>
      </c>
      <c r="J610" s="15" t="str">
        <f>IF(F610=0,IF(G610&lt;=0.000001,"PASS","FAIL"),IF(H610&lt;=I610,"PASS","FAIL"))</f>
        <v>PASS</v>
      </c>
      <c r="K610" t="inlineStr">
        <is>
          <t xml:space="preserve"/>
        </is>
      </c>
    </row>
    <row r="611">
      <c r="A611" t="inlineStr">
        <is>
          <t xml:space="preserve">INTC</t>
        </is>
      </c>
      <c r="B611" t="inlineStr">
        <is>
          <t xml:space="preserve">Table 4 -- Operating margin</t>
        </is>
      </c>
      <c r="C611" t="inlineStr">
        <is>
          <t xml:space="preserve">Margin=20.0000%</t>
        </is>
      </c>
      <c r="D611" t="inlineStr">
        <is>
          <t xml:space="preserve">Enterprise Value</t>
        </is>
      </c>
      <c r="E611" s="6">
        <v>-1487694038.9881244</v>
      </c>
      <c r="F611" s="6">
        <v>-1487694038.9881244</v>
      </c>
      <c r="G611" s="11">
        <f>ABS(E611-F611)</f>
        <v>0.0</v>
      </c>
      <c r="H611" s="10">
        <f>IF(F611=0,"n/a (zero denom)",G611/ABS(F611))</f>
        <v>0.0</v>
      </c>
      <c r="I611" s="10">
        <f>'Tolerances'!$B$10</f>
        <v>0.002</v>
      </c>
      <c r="J611" s="15" t="str">
        <f>IF(F611=0,IF(G611&lt;=0.000001,"PASS","FAIL"),IF(H611&lt;=I611,"PASS","FAIL"))</f>
        <v>PASS</v>
      </c>
      <c r="K611" t="inlineStr">
        <is>
          <t xml:space="preserve"/>
        </is>
      </c>
    </row>
    <row r="612">
      <c r="A612" t="inlineStr">
        <is>
          <t xml:space="preserve">INTC</t>
        </is>
      </c>
      <c r="B612" t="inlineStr">
        <is>
          <t xml:space="preserve">Table 4 -- Operating margin</t>
        </is>
      </c>
      <c r="C612" t="inlineStr">
        <is>
          <t xml:space="preserve">Margin=20.0000%</t>
        </is>
      </c>
      <c r="D612" t="inlineStr">
        <is>
          <t xml:space="preserve">Equity Value</t>
        </is>
      </c>
      <c r="E612" s="6">
        <v>-33807694038.98812</v>
      </c>
      <c r="F612" s="6">
        <v>-33807694038.98812</v>
      </c>
      <c r="G612" s="11">
        <f>ABS(E612-F612)</f>
        <v>0.0</v>
      </c>
      <c r="H612" s="10">
        <f>IF(F612=0,"n/a (zero denom)",G612/ABS(F612))</f>
        <v>0.0</v>
      </c>
      <c r="I612" s="10">
        <f>'Tolerances'!$B$11</f>
        <v>0.002</v>
      </c>
      <c r="J612" s="15" t="str">
        <f>IF(F612=0,IF(G612&lt;=0.000001,"PASS","FAIL"),IF(H612&lt;=I612,"PASS","FAIL"))</f>
        <v>PASS</v>
      </c>
      <c r="K612" t="inlineStr">
        <is>
          <t xml:space="preserve"/>
        </is>
      </c>
    </row>
    <row r="613">
      <c r="A613" t="inlineStr">
        <is>
          <t xml:space="preserve">INTC</t>
        </is>
      </c>
      <c r="B613" t="inlineStr">
        <is>
          <t xml:space="preserve">Table 4 -- Operating margin</t>
        </is>
      </c>
      <c r="C613" t="inlineStr">
        <is>
          <t xml:space="preserve">Margin=20.0000%</t>
        </is>
      </c>
      <c r="D613" t="inlineStr">
        <is>
          <t xml:space="preserve">Intrinsic Value per Share</t>
        </is>
      </c>
      <c r="E613" s="7">
        <v>-6.3955771524301746</v>
      </c>
      <c r="F613" s="7">
        <v>-6.3955771524301746</v>
      </c>
      <c r="G613" s="12">
        <f>ABS(E613-F613)</f>
        <v>0.0</v>
      </c>
      <c r="H613" s="10">
        <f>IF(F613=0,"n/a (zero denom)",G613/ABS(F613))</f>
        <v>0.0</v>
      </c>
      <c r="I613" s="10">
        <f>'Tolerances'!$B$13</f>
        <v>0.005</v>
      </c>
      <c r="J613" s="15" t="str">
        <f>IF(F613=0,IF(G613&lt;=0.000001,"PASS","FAIL"),IF(H613&lt;=I613,"PASS","FAIL"))</f>
        <v>PASS</v>
      </c>
      <c r="K613" t="inlineStr">
        <is>
          <t xml:space="preserve"/>
        </is>
      </c>
    </row>
    <row r="614">
      <c r="A614" t="inlineStr">
        <is>
          <t xml:space="preserve">INTC</t>
        </is>
      </c>
      <c r="B614" t="inlineStr">
        <is>
          <t xml:space="preserve">Table 4 -- Operating margin</t>
        </is>
      </c>
      <c r="C614" t="inlineStr">
        <is>
          <t xml:space="preserve">Margin=30.0000%</t>
        </is>
      </c>
      <c r="D614" t="inlineStr">
        <is>
          <t xml:space="preserve">FCF Year 1</t>
        </is>
      </c>
      <c r="E614" s="6">
        <v>-188057525.58662337</v>
      </c>
      <c r="F614" s="6">
        <v>-188057525.58662337</v>
      </c>
      <c r="G614" s="11">
        <f>ABS(E614-F614)</f>
        <v>0.0</v>
      </c>
      <c r="H614" s="10">
        <f>IF(F614=0,"n/a (zero denom)",G614/ABS(F614))</f>
        <v>0.0</v>
      </c>
      <c r="I614" s="10">
        <f>'Tolerances'!$B$6</f>
        <v>0.001</v>
      </c>
      <c r="J614" s="15" t="str">
        <f>IF(F614=0,IF(G614&lt;=0.000001,"PASS","FAIL"),IF(H614&lt;=I614,"PASS","FAIL"))</f>
        <v>PASS</v>
      </c>
      <c r="K614" t="inlineStr">
        <is>
          <t xml:space="preserve"/>
        </is>
      </c>
    </row>
    <row r="615">
      <c r="A615" t="inlineStr">
        <is>
          <t xml:space="preserve">INTC</t>
        </is>
      </c>
      <c r="B615" t="inlineStr">
        <is>
          <t xml:space="preserve">Table 4 -- Operating margin</t>
        </is>
      </c>
      <c r="C615" t="inlineStr">
        <is>
          <t xml:space="preserve">Margin=30.0000%</t>
        </is>
      </c>
      <c r="D615" t="inlineStr">
        <is>
          <t xml:space="preserve">FCF Year 2</t>
        </is>
      </c>
      <c r="E615" s="6">
        <v>-170089724.83963242</v>
      </c>
      <c r="F615" s="6">
        <v>-170089724.83963242</v>
      </c>
      <c r="G615" s="11">
        <f>ABS(E615-F615)</f>
        <v>0.0</v>
      </c>
      <c r="H615" s="10">
        <f>IF(F615=0,"n/a (zero denom)",G615/ABS(F615))</f>
        <v>0.0</v>
      </c>
      <c r="I615" s="10">
        <f>'Tolerances'!$B$6</f>
        <v>0.001</v>
      </c>
      <c r="J615" s="15" t="str">
        <f>IF(F615=0,IF(G615&lt;=0.000001,"PASS","FAIL"),IF(H615&lt;=I615,"PASS","FAIL"))</f>
        <v>PASS</v>
      </c>
      <c r="K615" t="inlineStr">
        <is>
          <t xml:space="preserve"/>
        </is>
      </c>
    </row>
    <row r="616">
      <c r="A616" t="inlineStr">
        <is>
          <t xml:space="preserve">INTC</t>
        </is>
      </c>
      <c r="B616" t="inlineStr">
        <is>
          <t xml:space="preserve">Table 4 -- Operating margin</t>
        </is>
      </c>
      <c r="C616" t="inlineStr">
        <is>
          <t xml:space="preserve">Margin=30.0000%</t>
        </is>
      </c>
      <c r="D616" t="inlineStr">
        <is>
          <t xml:space="preserve">FCF Year 3</t>
        </is>
      </c>
      <c r="E616" s="6">
        <v>-153838642.75453216</v>
      </c>
      <c r="F616" s="6">
        <v>-153838642.75453216</v>
      </c>
      <c r="G616" s="11">
        <f>ABS(E616-F616)</f>
        <v>0.0</v>
      </c>
      <c r="H616" s="10">
        <f>IF(F616=0,"n/a (zero denom)",G616/ABS(F616))</f>
        <v>0.0</v>
      </c>
      <c r="I616" s="10">
        <f>'Tolerances'!$B$6</f>
        <v>0.001</v>
      </c>
      <c r="J616" s="15" t="str">
        <f>IF(F616=0,IF(G616&lt;=0.000001,"PASS","FAIL"),IF(H616&lt;=I616,"PASS","FAIL"))</f>
        <v>PASS</v>
      </c>
      <c r="K616" t="inlineStr">
        <is>
          <t xml:space="preserve"/>
        </is>
      </c>
    </row>
    <row r="617">
      <c r="A617" t="inlineStr">
        <is>
          <t xml:space="preserve">INTC</t>
        </is>
      </c>
      <c r="B617" t="inlineStr">
        <is>
          <t xml:space="preserve">Table 4 -- Operating margin</t>
        </is>
      </c>
      <c r="C617" t="inlineStr">
        <is>
          <t xml:space="preserve">Margin=30.0000%</t>
        </is>
      </c>
      <c r="D617" t="inlineStr">
        <is>
          <t xml:space="preserve">FCF Year 4</t>
        </is>
      </c>
      <c r="E617" s="6">
        <v>-139140256.8666048</v>
      </c>
      <c r="F617" s="6">
        <v>-139140256.8666048</v>
      </c>
      <c r="G617" s="11">
        <f>ABS(E617-F617)</f>
        <v>0.0</v>
      </c>
      <c r="H617" s="10">
        <f>IF(F617=0,"n/a (zero denom)",G617/ABS(F617))</f>
        <v>0.0</v>
      </c>
      <c r="I617" s="10">
        <f>'Tolerances'!$B$6</f>
        <v>0.001</v>
      </c>
      <c r="J617" s="15" t="str">
        <f>IF(F617=0,IF(G617&lt;=0.000001,"PASS","FAIL"),IF(H617&lt;=I617,"PASS","FAIL"))</f>
        <v>PASS</v>
      </c>
      <c r="K617" t="inlineStr">
        <is>
          <t xml:space="preserve"/>
        </is>
      </c>
    </row>
    <row r="618">
      <c r="A618" t="inlineStr">
        <is>
          <t xml:space="preserve">INTC</t>
        </is>
      </c>
      <c r="B618" t="inlineStr">
        <is>
          <t xml:space="preserve">Table 4 -- Operating margin</t>
        </is>
      </c>
      <c r="C618" t="inlineStr">
        <is>
          <t xml:space="preserve">Margin=30.0000%</t>
        </is>
      </c>
      <c r="D618" t="inlineStr">
        <is>
          <t xml:space="preserve">FCF Year 5</t>
        </is>
      </c>
      <c r="E618" s="6">
        <v>-125846216.10186696</v>
      </c>
      <c r="F618" s="6">
        <v>-125846216.10186696</v>
      </c>
      <c r="G618" s="11">
        <f>ABS(E618-F618)</f>
        <v>0.0</v>
      </c>
      <c r="H618" s="10">
        <f>IF(F618=0,"n/a (zero denom)",G618/ABS(F618))</f>
        <v>0.0</v>
      </c>
      <c r="I618" s="10">
        <f>'Tolerances'!$B$6</f>
        <v>0.001</v>
      </c>
      <c r="J618" s="15" t="str">
        <f>IF(F618=0,IF(G618&lt;=0.000001,"PASS","FAIL"),IF(H618&lt;=I618,"PASS","FAIL"))</f>
        <v>PASS</v>
      </c>
      <c r="K618" t="inlineStr">
        <is>
          <t xml:space="preserve"/>
        </is>
      </c>
    </row>
    <row r="619">
      <c r="A619" t="inlineStr">
        <is>
          <t xml:space="preserve">INTC</t>
        </is>
      </c>
      <c r="B619" t="inlineStr">
        <is>
          <t xml:space="preserve">Table 4 -- Operating margin</t>
        </is>
      </c>
      <c r="C619" t="inlineStr">
        <is>
          <t xml:space="preserve">Margin=30.0000%</t>
        </is>
      </c>
      <c r="D619" t="inlineStr">
        <is>
          <t xml:space="preserve">Terminal Value</t>
        </is>
      </c>
      <c r="E619" s="6">
        <v>-1027447416.3406252</v>
      </c>
      <c r="F619" s="6">
        <v>-1027447416.3406252</v>
      </c>
      <c r="G619" s="11">
        <f>ABS(E619-F619)</f>
        <v>0.0</v>
      </c>
      <c r="H619" s="10">
        <f>IF(F619=0,"n/a (zero denom)",G619/ABS(F619))</f>
        <v>0.0</v>
      </c>
      <c r="I619" s="10">
        <f>'Tolerances'!$B$7</f>
        <v>0.002</v>
      </c>
      <c r="J619" s="15" t="str">
        <f>IF(F619=0,IF(G619&lt;=0.000001,"PASS","FAIL"),IF(H619&lt;=I619,"PASS","FAIL"))</f>
        <v>PASS</v>
      </c>
      <c r="K619" t="inlineStr">
        <is>
          <t xml:space="preserve"/>
        </is>
      </c>
    </row>
    <row r="620">
      <c r="A620" t="inlineStr">
        <is>
          <t xml:space="preserve">INTC</t>
        </is>
      </c>
      <c r="B620" t="inlineStr">
        <is>
          <t xml:space="preserve">Table 4 -- Operating margin</t>
        </is>
      </c>
      <c r="C620" t="inlineStr">
        <is>
          <t xml:space="preserve">Margin=30.0000%</t>
        </is>
      </c>
      <c r="D620" t="inlineStr">
        <is>
          <t xml:space="preserve">Enterprise Value</t>
        </is>
      </c>
      <c r="E620" s="6">
        <v>-1044381372.9755182</v>
      </c>
      <c r="F620" s="6">
        <v>-1044381372.9755182</v>
      </c>
      <c r="G620" s="11">
        <f>ABS(E620-F620)</f>
        <v>0.0</v>
      </c>
      <c r="H620" s="10">
        <f>IF(F620=0,"n/a (zero denom)",G620/ABS(F620))</f>
        <v>0.0</v>
      </c>
      <c r="I620" s="10">
        <f>'Tolerances'!$B$10</f>
        <v>0.002</v>
      </c>
      <c r="J620" s="15" t="str">
        <f>IF(F620=0,IF(G620&lt;=0.000001,"PASS","FAIL"),IF(H620&lt;=I620,"PASS","FAIL"))</f>
        <v>PASS</v>
      </c>
      <c r="K620" t="inlineStr">
        <is>
          <t xml:space="preserve"/>
        </is>
      </c>
    </row>
    <row r="621">
      <c r="A621" t="inlineStr">
        <is>
          <t xml:space="preserve">INTC</t>
        </is>
      </c>
      <c r="B621" t="inlineStr">
        <is>
          <t xml:space="preserve">Table 4 -- Operating margin</t>
        </is>
      </c>
      <c r="C621" t="inlineStr">
        <is>
          <t xml:space="preserve">Margin=30.0000%</t>
        </is>
      </c>
      <c r="D621" t="inlineStr">
        <is>
          <t xml:space="preserve">Equity Value</t>
        </is>
      </c>
      <c r="E621" s="6">
        <v>-33364381372.975517</v>
      </c>
      <c r="F621" s="6">
        <v>-33364381372.975517</v>
      </c>
      <c r="G621" s="11">
        <f>ABS(E621-F621)</f>
        <v>0.0</v>
      </c>
      <c r="H621" s="10">
        <f>IF(F621=0,"n/a (zero denom)",G621/ABS(F621))</f>
        <v>0.0</v>
      </c>
      <c r="I621" s="10">
        <f>'Tolerances'!$B$11</f>
        <v>0.002</v>
      </c>
      <c r="J621" s="15" t="str">
        <f>IF(F621=0,IF(G621&lt;=0.000001,"PASS","FAIL"),IF(H621&lt;=I621,"PASS","FAIL"))</f>
        <v>PASS</v>
      </c>
      <c r="K621" t="inlineStr">
        <is>
          <t xml:space="preserve"/>
        </is>
      </c>
    </row>
    <row r="622">
      <c r="A622" t="inlineStr">
        <is>
          <t xml:space="preserve">INTC</t>
        </is>
      </c>
      <c r="B622" t="inlineStr">
        <is>
          <t xml:space="preserve">Table 4 -- Operating margin</t>
        </is>
      </c>
      <c r="C622" t="inlineStr">
        <is>
          <t xml:space="preserve">Margin=30.0000%</t>
        </is>
      </c>
      <c r="D622" t="inlineStr">
        <is>
          <t xml:space="preserve">Intrinsic Value per Share</t>
        </is>
      </c>
      <c r="E622" s="7">
        <v>-6.311713391865392</v>
      </c>
      <c r="F622" s="7">
        <v>-6.311713391865392</v>
      </c>
      <c r="G622" s="12">
        <f>ABS(E622-F622)</f>
        <v>0.0</v>
      </c>
      <c r="H622" s="10">
        <f>IF(F622=0,"n/a (zero denom)",G622/ABS(F622))</f>
        <v>0.0</v>
      </c>
      <c r="I622" s="10">
        <f>'Tolerances'!$B$13</f>
        <v>0.005</v>
      </c>
      <c r="J622" s="15" t="str">
        <f>IF(F622=0,IF(G622&lt;=0.000001,"PASS","FAIL"),IF(H622&lt;=I622,"PASS","FAIL"))</f>
        <v>PASS</v>
      </c>
      <c r="K622" t="inlineStr">
        <is>
          <t xml:space="preserve"/>
        </is>
      </c>
    </row>
    <row r="623">
      <c r="A623" t="inlineStr">
        <is>
          <t xml:space="preserve">INTC</t>
        </is>
      </c>
      <c r="B623" t="inlineStr">
        <is>
          <t xml:space="preserve">Table 4 -- Operating margin</t>
        </is>
      </c>
      <c r="C623" t="inlineStr">
        <is>
          <t xml:space="preserve">Margin=40.0000%</t>
        </is>
      </c>
      <c r="D623" t="inlineStr">
        <is>
          <t xml:space="preserve">FCF Year 1</t>
        </is>
      </c>
      <c r="E623" s="6">
        <v>-108232008.59753959</v>
      </c>
      <c r="F623" s="6">
        <v>-108232008.59753959</v>
      </c>
      <c r="G623" s="11">
        <f>ABS(E623-F623)</f>
        <v>0.0</v>
      </c>
      <c r="H623" s="10">
        <f>IF(F623=0,"n/a (zero denom)",G623/ABS(F623))</f>
        <v>0.0</v>
      </c>
      <c r="I623" s="10">
        <f>'Tolerances'!$B$6</f>
        <v>0.001</v>
      </c>
      <c r="J623" s="15" t="str">
        <f>IF(F623=0,IF(G623&lt;=0.000001,"PASS","FAIL"),IF(H623&lt;=I623,"PASS","FAIL"))</f>
        <v>PASS</v>
      </c>
      <c r="K623" t="inlineStr">
        <is>
          <t xml:space="preserve"/>
        </is>
      </c>
    </row>
    <row r="624">
      <c r="A624" t="inlineStr">
        <is>
          <t xml:space="preserve">INTC</t>
        </is>
      </c>
      <c r="B624" t="inlineStr">
        <is>
          <t xml:space="preserve">Table 4 -- Operating margin</t>
        </is>
      </c>
      <c r="C624" t="inlineStr">
        <is>
          <t xml:space="preserve">Margin=40.0000%</t>
        </is>
      </c>
      <c r="D624" t="inlineStr">
        <is>
          <t xml:space="preserve">FCF Year 2</t>
        </is>
      </c>
      <c r="E624" s="6">
        <v>-97891070.85064021</v>
      </c>
      <c r="F624" s="6">
        <v>-97891070.85064021</v>
      </c>
      <c r="G624" s="11">
        <f>ABS(E624-F624)</f>
        <v>0.0</v>
      </c>
      <c r="H624" s="10">
        <f>IF(F624=0,"n/a (zero denom)",G624/ABS(F624))</f>
        <v>0.0</v>
      </c>
      <c r="I624" s="10">
        <f>'Tolerances'!$B$6</f>
        <v>0.001</v>
      </c>
      <c r="J624" s="15" t="str">
        <f>IF(F624=0,IF(G624&lt;=0.000001,"PASS","FAIL"),IF(H624&lt;=I624,"PASS","FAIL"))</f>
        <v>PASS</v>
      </c>
      <c r="K624" t="inlineStr">
        <is>
          <t xml:space="preserve"/>
        </is>
      </c>
    </row>
    <row r="625">
      <c r="A625" t="inlineStr">
        <is>
          <t xml:space="preserve">INTC</t>
        </is>
      </c>
      <c r="B625" t="inlineStr">
        <is>
          <t xml:space="preserve">Table 4 -- Operating margin</t>
        </is>
      </c>
      <c r="C625" t="inlineStr">
        <is>
          <t xml:space="preserve">Margin=40.0000%</t>
        </is>
      </c>
      <c r="D625" t="inlineStr">
        <is>
          <t xml:space="preserve">FCF Year 3</t>
        </is>
      </c>
      <c r="E625" s="6">
        <v>-88538149.44817455</v>
      </c>
      <c r="F625" s="6">
        <v>-88538149.44817455</v>
      </c>
      <c r="G625" s="11">
        <f>ABS(E625-F625)</f>
        <v>0.0</v>
      </c>
      <c r="H625" s="10">
        <f>IF(F625=0,"n/a (zero denom)",G625/ABS(F625))</f>
        <v>0.0</v>
      </c>
      <c r="I625" s="10">
        <f>'Tolerances'!$B$6</f>
        <v>0.001</v>
      </c>
      <c r="J625" s="15" t="str">
        <f>IF(F625=0,IF(G625&lt;=0.000001,"PASS","FAIL"),IF(H625&lt;=I625,"PASS","FAIL"))</f>
        <v>PASS</v>
      </c>
      <c r="K625" t="inlineStr">
        <is>
          <t xml:space="preserve"/>
        </is>
      </c>
    </row>
    <row r="626">
      <c r="A626" t="inlineStr">
        <is>
          <t xml:space="preserve">INTC</t>
        </is>
      </c>
      <c r="B626" t="inlineStr">
        <is>
          <t xml:space="preserve">Table 4 -- Operating margin</t>
        </is>
      </c>
      <c r="C626" t="inlineStr">
        <is>
          <t xml:space="preserve">Margin=40.0000%</t>
        </is>
      </c>
      <c r="D626" t="inlineStr">
        <is>
          <t xml:space="preserve">FCF Year 4</t>
        </is>
      </c>
      <c r="E626" s="6">
        <v>-80078845.18566394</v>
      </c>
      <c r="F626" s="6">
        <v>-80078845.18566394</v>
      </c>
      <c r="G626" s="11">
        <f>ABS(E626-F626)</f>
        <v>0.0</v>
      </c>
      <c r="H626" s="10">
        <f>IF(F626=0,"n/a (zero denom)",G626/ABS(F626))</f>
        <v>0.0</v>
      </c>
      <c r="I626" s="10">
        <f>'Tolerances'!$B$6</f>
        <v>0.001</v>
      </c>
      <c r="J626" s="15" t="str">
        <f>IF(F626=0,IF(G626&lt;=0.000001,"PASS","FAIL"),IF(H626&lt;=I626,"PASS","FAIL"))</f>
        <v>PASS</v>
      </c>
      <c r="K626" t="inlineStr">
        <is>
          <t xml:space="preserve"/>
        </is>
      </c>
    </row>
    <row r="627">
      <c r="A627" t="inlineStr">
        <is>
          <t xml:space="preserve">INTC</t>
        </is>
      </c>
      <c r="B627" t="inlineStr">
        <is>
          <t xml:space="preserve">Table 4 -- Operating margin</t>
        </is>
      </c>
      <c r="C627" t="inlineStr">
        <is>
          <t xml:space="preserve">Margin=40.0000%</t>
        </is>
      </c>
      <c r="D627" t="inlineStr">
        <is>
          <t xml:space="preserve">FCF Year 5</t>
        </is>
      </c>
      <c r="E627" s="6">
        <v>-72427778.15254807</v>
      </c>
      <c r="F627" s="6">
        <v>-72427778.15254807</v>
      </c>
      <c r="G627" s="11">
        <f>ABS(E627-F627)</f>
        <v>0.0</v>
      </c>
      <c r="H627" s="10">
        <f>IF(F627=0,"n/a (zero denom)",G627/ABS(F627))</f>
        <v>0.0</v>
      </c>
      <c r="I627" s="10">
        <f>'Tolerances'!$B$6</f>
        <v>0.001</v>
      </c>
      <c r="J627" s="15" t="str">
        <f>IF(F627=0,IF(G627&lt;=0.000001,"PASS","FAIL"),IF(H627&lt;=I627,"PASS","FAIL"))</f>
        <v>PASS</v>
      </c>
      <c r="K627" t="inlineStr">
        <is>
          <t xml:space="preserve"/>
        </is>
      </c>
    </row>
    <row r="628">
      <c r="A628" t="inlineStr">
        <is>
          <t xml:space="preserve">INTC</t>
        </is>
      </c>
      <c r="B628" t="inlineStr">
        <is>
          <t xml:space="preserve">Table 4 -- Operating margin</t>
        </is>
      </c>
      <c r="C628" t="inlineStr">
        <is>
          <t xml:space="preserve">Margin=40.0000%</t>
        </is>
      </c>
      <c r="D628" t="inlineStr">
        <is>
          <t xml:space="preserve">Terminal Value</t>
        </is>
      </c>
      <c r="E628" s="6">
        <v>-591322773.4546365</v>
      </c>
      <c r="F628" s="6">
        <v>-591322773.4546365</v>
      </c>
      <c r="G628" s="11">
        <f>ABS(E628-F628)</f>
        <v>0.0</v>
      </c>
      <c r="H628" s="10">
        <f>IF(F628=0,"n/a (zero denom)",G628/ABS(F628))</f>
        <v>0.0</v>
      </c>
      <c r="I628" s="10">
        <f>'Tolerances'!$B$7</f>
        <v>0.002</v>
      </c>
      <c r="J628" s="15" t="str">
        <f>IF(F628=0,IF(G628&lt;=0.000001,"PASS","FAIL"),IF(H628&lt;=I628,"PASS","FAIL"))</f>
        <v>PASS</v>
      </c>
      <c r="K628" t="inlineStr">
        <is>
          <t xml:space="preserve"/>
        </is>
      </c>
    </row>
    <row r="629">
      <c r="A629" t="inlineStr">
        <is>
          <t xml:space="preserve">INTC</t>
        </is>
      </c>
      <c r="B629" t="inlineStr">
        <is>
          <t xml:space="preserve">Table 4 -- Operating margin</t>
        </is>
      </c>
      <c r="C629" t="inlineStr">
        <is>
          <t xml:space="preserve">Margin=40.0000%</t>
        </is>
      </c>
      <c r="D629" t="inlineStr">
        <is>
          <t xml:space="preserve">Enterprise Value</t>
        </is>
      </c>
      <c r="E629" s="6">
        <v>-601068706.9629123</v>
      </c>
      <c r="F629" s="6">
        <v>-601068706.9629123</v>
      </c>
      <c r="G629" s="11">
        <f>ABS(E629-F629)</f>
        <v>0.0</v>
      </c>
      <c r="H629" s="10">
        <f>IF(F629=0,"n/a (zero denom)",G629/ABS(F629))</f>
        <v>0.0</v>
      </c>
      <c r="I629" s="10">
        <f>'Tolerances'!$B$10</f>
        <v>0.002</v>
      </c>
      <c r="J629" s="15" t="str">
        <f>IF(F629=0,IF(G629&lt;=0.000001,"PASS","FAIL"),IF(H629&lt;=I629,"PASS","FAIL"))</f>
        <v>PASS</v>
      </c>
      <c r="K629" t="inlineStr">
        <is>
          <t xml:space="preserve"/>
        </is>
      </c>
    </row>
    <row r="630">
      <c r="A630" t="inlineStr">
        <is>
          <t xml:space="preserve">INTC</t>
        </is>
      </c>
      <c r="B630" t="inlineStr">
        <is>
          <t xml:space="preserve">Table 4 -- Operating margin</t>
        </is>
      </c>
      <c r="C630" t="inlineStr">
        <is>
          <t xml:space="preserve">Margin=40.0000%</t>
        </is>
      </c>
      <c r="D630" t="inlineStr">
        <is>
          <t xml:space="preserve">Equity Value</t>
        </is>
      </c>
      <c r="E630" s="6">
        <v>-32921068706.962914</v>
      </c>
      <c r="F630" s="6">
        <v>-32921068706.962914</v>
      </c>
      <c r="G630" s="11">
        <f>ABS(E630-F630)</f>
        <v>0.0</v>
      </c>
      <c r="H630" s="10">
        <f>IF(F630=0,"n/a (zero denom)",G630/ABS(F630))</f>
        <v>0.0</v>
      </c>
      <c r="I630" s="10">
        <f>'Tolerances'!$B$11</f>
        <v>0.002</v>
      </c>
      <c r="J630" s="15" t="str">
        <f>IF(F630=0,IF(G630&lt;=0.000001,"PASS","FAIL"),IF(H630&lt;=I630,"PASS","FAIL"))</f>
        <v>PASS</v>
      </c>
      <c r="K630" t="inlineStr">
        <is>
          <t xml:space="preserve"/>
        </is>
      </c>
    </row>
    <row r="631">
      <c r="A631" t="inlineStr">
        <is>
          <t xml:space="preserve">INTC</t>
        </is>
      </c>
      <c r="B631" t="inlineStr">
        <is>
          <t xml:space="preserve">Table 4 -- Operating margin</t>
        </is>
      </c>
      <c r="C631" t="inlineStr">
        <is>
          <t xml:space="preserve">Margin=40.0000%</t>
        </is>
      </c>
      <c r="D631" t="inlineStr">
        <is>
          <t xml:space="preserve">Intrinsic Value per Share</t>
        </is>
      </c>
      <c r="E631" s="7">
        <v>-6.22784963130061</v>
      </c>
      <c r="F631" s="7">
        <v>-6.22784963130061</v>
      </c>
      <c r="G631" s="12">
        <f>ABS(E631-F631)</f>
        <v>0.0</v>
      </c>
      <c r="H631" s="10">
        <f>IF(F631=0,"n/a (zero denom)",G631/ABS(F631))</f>
        <v>0.0</v>
      </c>
      <c r="I631" s="10">
        <f>'Tolerances'!$B$13</f>
        <v>0.005</v>
      </c>
      <c r="J631" s="15" t="str">
        <f>IF(F631=0,IF(G631&lt;=0.000001,"PASS","FAIL"),IF(H631&lt;=I631,"PASS","FAIL"))</f>
        <v>PASS</v>
      </c>
      <c r="K631" t="inlineStr">
        <is>
          <t xml:space="preserve"/>
        </is>
      </c>
    </row>
    <row r="632">
      <c r="A632" t="inlineStr">
        <is>
          <t xml:space="preserve">INTC</t>
        </is>
      </c>
      <c r="B632" t="inlineStr">
        <is>
          <t xml:space="preserve">Table 4 -- Operating margin</t>
        </is>
      </c>
      <c r="C632" t="inlineStr">
        <is>
          <t xml:space="preserve">Margin=50.0000%</t>
        </is>
      </c>
      <c r="D632" t="inlineStr">
        <is>
          <t xml:space="preserve">FCF Year 1</t>
        </is>
      </c>
      <c r="E632" s="6">
        <v>-28406491.608455822</v>
      </c>
      <c r="F632" s="6">
        <v>-28406491.608455822</v>
      </c>
      <c r="G632" s="11">
        <f>ABS(E632-F632)</f>
        <v>0.0</v>
      </c>
      <c r="H632" s="10">
        <f>IF(F632=0,"n/a (zero denom)",G632/ABS(F632))</f>
        <v>0.0</v>
      </c>
      <c r="I632" s="10">
        <f>'Tolerances'!$B$6</f>
        <v>0.001</v>
      </c>
      <c r="J632" s="15" t="str">
        <f>IF(F632=0,IF(G632&lt;=0.000001,"PASS","FAIL"),IF(H632&lt;=I632,"PASS","FAIL"))</f>
        <v>PASS</v>
      </c>
      <c r="K632" t="inlineStr">
        <is>
          <t xml:space="preserve"/>
        </is>
      </c>
    </row>
    <row r="633">
      <c r="A633" t="inlineStr">
        <is>
          <t xml:space="preserve">INTC</t>
        </is>
      </c>
      <c r="B633" t="inlineStr">
        <is>
          <t xml:space="preserve">Table 4 -- Operating margin</t>
        </is>
      </c>
      <c r="C633" t="inlineStr">
        <is>
          <t xml:space="preserve">Margin=50.0000%</t>
        </is>
      </c>
      <c r="D633" t="inlineStr">
        <is>
          <t xml:space="preserve">FCF Year 2</t>
        </is>
      </c>
      <c r="E633" s="6">
        <v>-25692416.861647986</v>
      </c>
      <c r="F633" s="6">
        <v>-25692416.861647986</v>
      </c>
      <c r="G633" s="11">
        <f>ABS(E633-F633)</f>
        <v>0.0</v>
      </c>
      <c r="H633" s="10">
        <f>IF(F633=0,"n/a (zero denom)",G633/ABS(F633))</f>
        <v>0.0</v>
      </c>
      <c r="I633" s="10">
        <f>'Tolerances'!$B$6</f>
        <v>0.001</v>
      </c>
      <c r="J633" s="15" t="str">
        <f>IF(F633=0,IF(G633&lt;=0.000001,"PASS","FAIL"),IF(H633&lt;=I633,"PASS","FAIL"))</f>
        <v>PASS</v>
      </c>
      <c r="K633" t="inlineStr">
        <is>
          <t xml:space="preserve"/>
        </is>
      </c>
    </row>
    <row r="634">
      <c r="A634" t="inlineStr">
        <is>
          <t xml:space="preserve">INTC</t>
        </is>
      </c>
      <c r="B634" t="inlineStr">
        <is>
          <t xml:space="preserve">Table 4 -- Operating margin</t>
        </is>
      </c>
      <c r="C634" t="inlineStr">
        <is>
          <t xml:space="preserve">Margin=50.0000%</t>
        </is>
      </c>
      <c r="D634" t="inlineStr">
        <is>
          <t xml:space="preserve">FCF Year 3</t>
        </is>
      </c>
      <c r="E634" s="6">
        <v>-23237656.14181669</v>
      </c>
      <c r="F634" s="6">
        <v>-23237656.14181669</v>
      </c>
      <c r="G634" s="11">
        <f>ABS(E634-F634)</f>
        <v>0.0</v>
      </c>
      <c r="H634" s="10">
        <f>IF(F634=0,"n/a (zero denom)",G634/ABS(F634))</f>
        <v>0.0</v>
      </c>
      <c r="I634" s="10">
        <f>'Tolerances'!$B$6</f>
        <v>0.001</v>
      </c>
      <c r="J634" s="15" t="str">
        <f>IF(F634=0,IF(G634&lt;=0.000001,"PASS","FAIL"),IF(H634&lt;=I634,"PASS","FAIL"))</f>
        <v>PASS</v>
      </c>
      <c r="K634" t="inlineStr">
        <is>
          <t xml:space="preserve"/>
        </is>
      </c>
    </row>
    <row r="635">
      <c r="A635" t="inlineStr">
        <is>
          <t xml:space="preserve">INTC</t>
        </is>
      </c>
      <c r="B635" t="inlineStr">
        <is>
          <t xml:space="preserve">Table 4 -- Operating margin</t>
        </is>
      </c>
      <c r="C635" t="inlineStr">
        <is>
          <t xml:space="preserve">Margin=50.0000%</t>
        </is>
      </c>
      <c r="D635" t="inlineStr">
        <is>
          <t xml:space="preserve">FCF Year 4</t>
        </is>
      </c>
      <c r="E635" s="6">
        <v>-21017433.50472308</v>
      </c>
      <c r="F635" s="6">
        <v>-21017433.50472308</v>
      </c>
      <c r="G635" s="11">
        <f>ABS(E635-F635)</f>
        <v>0.0</v>
      </c>
      <c r="H635" s="10">
        <f>IF(F635=0,"n/a (zero denom)",G635/ABS(F635))</f>
        <v>0.0</v>
      </c>
      <c r="I635" s="10">
        <f>'Tolerances'!$B$6</f>
        <v>0.001</v>
      </c>
      <c r="J635" s="15" t="str">
        <f>IF(F635=0,IF(G635&lt;=0.000001,"PASS","FAIL"),IF(H635&lt;=I635,"PASS","FAIL"))</f>
        <v>PASS</v>
      </c>
      <c r="K635" t="inlineStr">
        <is>
          <t xml:space="preserve"/>
        </is>
      </c>
    </row>
    <row r="636">
      <c r="A636" t="inlineStr">
        <is>
          <t xml:space="preserve">INTC</t>
        </is>
      </c>
      <c r="B636" t="inlineStr">
        <is>
          <t xml:space="preserve">Table 4 -- Operating margin</t>
        </is>
      </c>
      <c r="C636" t="inlineStr">
        <is>
          <t xml:space="preserve">Margin=50.0000%</t>
        </is>
      </c>
      <c r="D636" t="inlineStr">
        <is>
          <t xml:space="preserve">FCF Year 5</t>
        </is>
      </c>
      <c r="E636" s="6">
        <v>-19009340.20322919</v>
      </c>
      <c r="F636" s="6">
        <v>-19009340.20322919</v>
      </c>
      <c r="G636" s="11">
        <f>ABS(E636-F636)</f>
        <v>0.0</v>
      </c>
      <c r="H636" s="10">
        <f>IF(F636=0,"n/a (zero denom)",G636/ABS(F636))</f>
        <v>0.0</v>
      </c>
      <c r="I636" s="10">
        <f>'Tolerances'!$B$6</f>
        <v>0.001</v>
      </c>
      <c r="J636" s="15" t="str">
        <f>IF(F636=0,IF(G636&lt;=0.000001,"PASS","FAIL"),IF(H636&lt;=I636,"PASS","FAIL"))</f>
        <v>PASS</v>
      </c>
      <c r="K636" t="inlineStr">
        <is>
          <t xml:space="preserve"/>
        </is>
      </c>
    </row>
    <row r="637">
      <c r="A637" t="inlineStr">
        <is>
          <t xml:space="preserve">INTC</t>
        </is>
      </c>
      <c r="B637" t="inlineStr">
        <is>
          <t xml:space="preserve">Table 4 -- Operating margin</t>
        </is>
      </c>
      <c r="C637" t="inlineStr">
        <is>
          <t xml:space="preserve">Margin=50.0000%</t>
        </is>
      </c>
      <c r="D637" t="inlineStr">
        <is>
          <t xml:space="preserve">Terminal Value</t>
        </is>
      </c>
      <c r="E637" s="6">
        <v>-155198130.5686477</v>
      </c>
      <c r="F637" s="6">
        <v>-155198130.5686477</v>
      </c>
      <c r="G637" s="11">
        <f>ABS(E637-F637)</f>
        <v>0.0</v>
      </c>
      <c r="H637" s="10">
        <f>IF(F637=0,"n/a (zero denom)",G637/ABS(F637))</f>
        <v>0.0</v>
      </c>
      <c r="I637" s="10">
        <f>'Tolerances'!$B$7</f>
        <v>0.002</v>
      </c>
      <c r="J637" s="15" t="str">
        <f>IF(F637=0,IF(G637&lt;=0.000001,"PASS","FAIL"),IF(H637&lt;=I637,"PASS","FAIL"))</f>
        <v>PASS</v>
      </c>
      <c r="K637" t="inlineStr">
        <is>
          <t xml:space="preserve"/>
        </is>
      </c>
    </row>
    <row r="638">
      <c r="A638" t="inlineStr">
        <is>
          <t xml:space="preserve">INTC</t>
        </is>
      </c>
      <c r="B638" t="inlineStr">
        <is>
          <t xml:space="preserve">Table 4 -- Operating margin</t>
        </is>
      </c>
      <c r="C638" t="inlineStr">
        <is>
          <t xml:space="preserve">Margin=50.0000%</t>
        </is>
      </c>
      <c r="D638" t="inlineStr">
        <is>
          <t xml:space="preserve">Enterprise Value</t>
        </is>
      </c>
      <c r="E638" s="6">
        <v>-157756040.95030627</v>
      </c>
      <c r="F638" s="6">
        <v>-157756040.95030624</v>
      </c>
      <c r="G638" s="11">
        <f>ABS(E638-F638)</f>
        <v>2.9802322387695312e-08</v>
      </c>
      <c r="H638" s="10">
        <f>IF(F638=0,"n/a (zero denom)",G638/ABS(F638))</f>
        <v>1.8891398521520428e-16</v>
      </c>
      <c r="I638" s="10">
        <f>'Tolerances'!$B$10</f>
        <v>0.002</v>
      </c>
      <c r="J638" s="15" t="str">
        <f>IF(F638=0,IF(G638&lt;=0.000001,"PASS","FAIL"),IF(H638&lt;=I638,"PASS","FAIL"))</f>
        <v>PASS</v>
      </c>
      <c r="K638" t="inlineStr">
        <is>
          <t xml:space="preserve"/>
        </is>
      </c>
    </row>
    <row r="639">
      <c r="A639" t="inlineStr">
        <is>
          <t xml:space="preserve">INTC</t>
        </is>
      </c>
      <c r="B639" t="inlineStr">
        <is>
          <t xml:space="preserve">Table 4 -- Operating margin</t>
        </is>
      </c>
      <c r="C639" t="inlineStr">
        <is>
          <t xml:space="preserve">Margin=50.0000%</t>
        </is>
      </c>
      <c r="D639" t="inlineStr">
        <is>
          <t xml:space="preserve">Equity Value</t>
        </is>
      </c>
      <c r="E639" s="6">
        <v>-32477756040.95031</v>
      </c>
      <c r="F639" s="6">
        <v>-32477756040.95031</v>
      </c>
      <c r="G639" s="11">
        <f>ABS(E639-F639)</f>
        <v>0.0</v>
      </c>
      <c r="H639" s="10">
        <f>IF(F639=0,"n/a (zero denom)",G639/ABS(F639))</f>
        <v>0.0</v>
      </c>
      <c r="I639" s="10">
        <f>'Tolerances'!$B$11</f>
        <v>0.002</v>
      </c>
      <c r="J639" s="15" t="str">
        <f>IF(F639=0,IF(G639&lt;=0.000001,"PASS","FAIL"),IF(H639&lt;=I639,"PASS","FAIL"))</f>
        <v>PASS</v>
      </c>
      <c r="K639" t="inlineStr">
        <is>
          <t xml:space="preserve"/>
        </is>
      </c>
    </row>
    <row r="640">
      <c r="A640" t="inlineStr">
        <is>
          <t xml:space="preserve">INTC</t>
        </is>
      </c>
      <c r="B640" t="inlineStr">
        <is>
          <t xml:space="preserve">Table 4 -- Operating margin</t>
        </is>
      </c>
      <c r="C640" t="inlineStr">
        <is>
          <t xml:space="preserve">Margin=50.0000%</t>
        </is>
      </c>
      <c r="D640" t="inlineStr">
        <is>
          <t xml:space="preserve">Intrinsic Value per Share</t>
        </is>
      </c>
      <c r="E640" s="7">
        <v>-6.143985870735827</v>
      </c>
      <c r="F640" s="7">
        <v>-6.143985870735827</v>
      </c>
      <c r="G640" s="12">
        <f>ABS(E640-F640)</f>
        <v>0.0</v>
      </c>
      <c r="H640" s="10">
        <f>IF(F640=0,"n/a (zero denom)",G640/ABS(F640))</f>
        <v>0.0</v>
      </c>
      <c r="I640" s="10">
        <f>'Tolerances'!$B$13</f>
        <v>0.005</v>
      </c>
      <c r="J640" s="15" t="str">
        <f>IF(F640=0,IF(G640&lt;=0.000001,"PASS","FAIL"),IF(H640&lt;=I640,"PASS","FAIL"))</f>
        <v>PASS</v>
      </c>
      <c r="K640" t="inlineStr">
        <is>
          <t xml:space="preserve"/>
        </is>
      </c>
    </row>
    <row r="641">
      <c r="A641" t="inlineStr">
        <is>
          <t xml:space="preserve">INTC</t>
        </is>
      </c>
      <c r="B641" t="inlineStr">
        <is>
          <t xml:space="preserve">Table 4 -- Operating margin</t>
        </is>
      </c>
      <c r="C641" t="inlineStr">
        <is>
          <t xml:space="preserve">Margin=60.0000%</t>
        </is>
      </c>
      <c r="D641" t="inlineStr">
        <is>
          <t xml:space="preserve">FCF Year 1</t>
        </is>
      </c>
      <c r="E641" s="6">
        <v>51419025.380627945</v>
      </c>
      <c r="F641" s="6">
        <v>51419025.380627945</v>
      </c>
      <c r="G641" s="11">
        <f>ABS(E641-F641)</f>
        <v>0.0</v>
      </c>
      <c r="H641" s="10">
        <f>IF(F641=0,"n/a (zero denom)",G641/ABS(F641))</f>
        <v>0.0</v>
      </c>
      <c r="I641" s="10">
        <f>'Tolerances'!$B$6</f>
        <v>0.001</v>
      </c>
      <c r="J641" s="15" t="str">
        <f>IF(F641=0,IF(G641&lt;=0.000001,"PASS","FAIL"),IF(H641&lt;=I641,"PASS","FAIL"))</f>
        <v>PASS</v>
      </c>
      <c r="K641" t="inlineStr">
        <is>
          <t xml:space="preserve"/>
        </is>
      </c>
    </row>
    <row r="642">
      <c r="A642" t="inlineStr">
        <is>
          <t xml:space="preserve">INTC</t>
        </is>
      </c>
      <c r="B642" t="inlineStr">
        <is>
          <t xml:space="preserve">Table 4 -- Operating margin</t>
        </is>
      </c>
      <c r="C642" t="inlineStr">
        <is>
          <t xml:space="preserve">Margin=60.0000%</t>
        </is>
      </c>
      <c r="D642" t="inlineStr">
        <is>
          <t xml:space="preserve">FCF Year 2</t>
        </is>
      </c>
      <c r="E642" s="6">
        <v>46506237.12734423</v>
      </c>
      <c r="F642" s="6">
        <v>46506237.12734423</v>
      </c>
      <c r="G642" s="11">
        <f>ABS(E642-F642)</f>
        <v>0.0</v>
      </c>
      <c r="H642" s="10">
        <f>IF(F642=0,"n/a (zero denom)",G642/ABS(F642))</f>
        <v>0.0</v>
      </c>
      <c r="I642" s="10">
        <f>'Tolerances'!$B$6</f>
        <v>0.001</v>
      </c>
      <c r="J642" s="15" t="str">
        <f>IF(F642=0,IF(G642&lt;=0.000001,"PASS","FAIL"),IF(H642&lt;=I642,"PASS","FAIL"))</f>
        <v>PASS</v>
      </c>
      <c r="K642" t="inlineStr">
        <is>
          <t xml:space="preserve"/>
        </is>
      </c>
    </row>
    <row r="643">
      <c r="A643" t="inlineStr">
        <is>
          <t xml:space="preserve">INTC</t>
        </is>
      </c>
      <c r="B643" t="inlineStr">
        <is>
          <t xml:space="preserve">Table 4 -- Operating margin</t>
        </is>
      </c>
      <c r="C643" t="inlineStr">
        <is>
          <t xml:space="preserve">Margin=60.0000%</t>
        </is>
      </c>
      <c r="D643" t="inlineStr">
        <is>
          <t xml:space="preserve">FCF Year 3</t>
        </is>
      </c>
      <c r="E643" s="6">
        <v>42062837.16454093</v>
      </c>
      <c r="F643" s="6">
        <v>42062837.16454093</v>
      </c>
      <c r="G643" s="11">
        <f>ABS(E643-F643)</f>
        <v>0.0</v>
      </c>
      <c r="H643" s="10">
        <f>IF(F643=0,"n/a (zero denom)",G643/ABS(F643))</f>
        <v>0.0</v>
      </c>
      <c r="I643" s="10">
        <f>'Tolerances'!$B$6</f>
        <v>0.001</v>
      </c>
      <c r="J643" s="15" t="str">
        <f>IF(F643=0,IF(G643&lt;=0.000001,"PASS","FAIL"),IF(H643&lt;=I643,"PASS","FAIL"))</f>
        <v>PASS</v>
      </c>
      <c r="K643" t="inlineStr">
        <is>
          <t xml:space="preserve"/>
        </is>
      </c>
    </row>
    <row r="644">
      <c r="A644" t="inlineStr">
        <is>
          <t xml:space="preserve">INTC</t>
        </is>
      </c>
      <c r="B644" t="inlineStr">
        <is>
          <t xml:space="preserve">Table 4 -- Operating margin</t>
        </is>
      </c>
      <c r="C644" t="inlineStr">
        <is>
          <t xml:space="preserve">Margin=60.0000%</t>
        </is>
      </c>
      <c r="D644" t="inlineStr">
        <is>
          <t xml:space="preserve">FCF Year 4</t>
        </is>
      </c>
      <c r="E644" s="6">
        <v>38043978.17621779</v>
      </c>
      <c r="F644" s="6">
        <v>38043978.17621779</v>
      </c>
      <c r="G644" s="11">
        <f>ABS(E644-F644)</f>
        <v>0.0</v>
      </c>
      <c r="H644" s="10">
        <f>IF(F644=0,"n/a (zero denom)",G644/ABS(F644))</f>
        <v>0.0</v>
      </c>
      <c r="I644" s="10">
        <f>'Tolerances'!$B$6</f>
        <v>0.001</v>
      </c>
      <c r="J644" s="15" t="str">
        <f>IF(F644=0,IF(G644&lt;=0.000001,"PASS","FAIL"),IF(H644&lt;=I644,"PASS","FAIL"))</f>
        <v>PASS</v>
      </c>
      <c r="K644" t="inlineStr">
        <is>
          <t xml:space="preserve"/>
        </is>
      </c>
    </row>
    <row r="645">
      <c r="A645" t="inlineStr">
        <is>
          <t xml:space="preserve">INTC</t>
        </is>
      </c>
      <c r="B645" t="inlineStr">
        <is>
          <t xml:space="preserve">Table 4 -- Operating margin</t>
        </is>
      </c>
      <c r="C645" t="inlineStr">
        <is>
          <t xml:space="preserve">Margin=60.0000%</t>
        </is>
      </c>
      <c r="D645" t="inlineStr">
        <is>
          <t xml:space="preserve">FCF Year 5</t>
        </is>
      </c>
      <c r="E645" s="6">
        <v>34409097.7460897</v>
      </c>
      <c r="F645" s="6">
        <v>34409097.7460897</v>
      </c>
      <c r="G645" s="11">
        <f>ABS(E645-F645)</f>
        <v>0.0</v>
      </c>
      <c r="H645" s="10">
        <f>IF(F645=0,"n/a (zero denom)",G645/ABS(F645))</f>
        <v>0.0</v>
      </c>
      <c r="I645" s="10">
        <f>'Tolerances'!$B$6</f>
        <v>0.001</v>
      </c>
      <c r="J645" s="15" t="str">
        <f>IF(F645=0,IF(G645&lt;=0.000001,"PASS","FAIL"),IF(H645&lt;=I645,"PASS","FAIL"))</f>
        <v>PASS</v>
      </c>
      <c r="K645" t="inlineStr">
        <is>
          <t xml:space="preserve"/>
        </is>
      </c>
    </row>
    <row r="646">
      <c r="A646" t="inlineStr">
        <is>
          <t xml:space="preserve">INTC</t>
        </is>
      </c>
      <c r="B646" t="inlineStr">
        <is>
          <t xml:space="preserve">Table 4 -- Operating margin</t>
        </is>
      </c>
      <c r="C646" t="inlineStr">
        <is>
          <t xml:space="preserve">Margin=60.0000%</t>
        </is>
      </c>
      <c r="D646" t="inlineStr">
        <is>
          <t xml:space="preserve">Terminal Value</t>
        </is>
      </c>
      <c r="E646" s="6">
        <v>280926512.317341</v>
      </c>
      <c r="F646" s="6">
        <v>280926512.317341</v>
      </c>
      <c r="G646" s="11">
        <f>ABS(E646-F646)</f>
        <v>0.0</v>
      </c>
      <c r="H646" s="10">
        <f>IF(F646=0,"n/a (zero denom)",G646/ABS(F646))</f>
        <v>0.0</v>
      </c>
      <c r="I646" s="10">
        <f>'Tolerances'!$B$7</f>
        <v>0.002</v>
      </c>
      <c r="J646" s="15" t="str">
        <f>IF(F646=0,IF(G646&lt;=0.000001,"PASS","FAIL"),IF(H646&lt;=I646,"PASS","FAIL"))</f>
        <v>PASS</v>
      </c>
      <c r="K646" t="inlineStr">
        <is>
          <t xml:space="preserve"/>
        </is>
      </c>
    </row>
    <row r="647">
      <c r="A647" t="inlineStr">
        <is>
          <t xml:space="preserve">INTC</t>
        </is>
      </c>
      <c r="B647" t="inlineStr">
        <is>
          <t xml:space="preserve">Table 4 -- Operating margin</t>
        </is>
      </c>
      <c r="C647" t="inlineStr">
        <is>
          <t xml:space="preserve">Margin=60.0000%</t>
        </is>
      </c>
      <c r="D647" t="inlineStr">
        <is>
          <t xml:space="preserve">Enterprise Value</t>
        </is>
      </c>
      <c r="E647" s="6">
        <v>285556625.06229967</v>
      </c>
      <c r="F647" s="6">
        <v>285556625.0622996</v>
      </c>
      <c r="G647" s="11">
        <f>ABS(E647-F647)</f>
        <v>5.960464477539063e-08</v>
      </c>
      <c r="H647" s="10">
        <f>IF(F647=0,"n/a (zero denom)",G647/ABS(F647))</f>
        <v>2.087314372845902e-16</v>
      </c>
      <c r="I647" s="10">
        <f>'Tolerances'!$B$10</f>
        <v>0.002</v>
      </c>
      <c r="J647" s="15" t="str">
        <f>IF(F647=0,IF(G647&lt;=0.000001,"PASS","FAIL"),IF(H647&lt;=I647,"PASS","FAIL"))</f>
        <v>PASS</v>
      </c>
      <c r="K647" t="inlineStr">
        <is>
          <t xml:space="preserve"/>
        </is>
      </c>
    </row>
    <row r="648">
      <c r="A648" t="inlineStr">
        <is>
          <t xml:space="preserve">INTC</t>
        </is>
      </c>
      <c r="B648" t="inlineStr">
        <is>
          <t xml:space="preserve">Table 4 -- Operating margin</t>
        </is>
      </c>
      <c r="C648" t="inlineStr">
        <is>
          <t xml:space="preserve">Margin=60.0000%</t>
        </is>
      </c>
      <c r="D648" t="inlineStr">
        <is>
          <t xml:space="preserve">Equity Value</t>
        </is>
      </c>
      <c r="E648" s="6">
        <v>-32034443374.9377</v>
      </c>
      <c r="F648" s="6">
        <v>-32034443374.9377</v>
      </c>
      <c r="G648" s="11">
        <f>ABS(E648-F648)</f>
        <v>0.0</v>
      </c>
      <c r="H648" s="10">
        <f>IF(F648=0,"n/a (zero denom)",G648/ABS(F648))</f>
        <v>0.0</v>
      </c>
      <c r="I648" s="10">
        <f>'Tolerances'!$B$11</f>
        <v>0.002</v>
      </c>
      <c r="J648" s="15" t="str">
        <f>IF(F648=0,IF(G648&lt;=0.000001,"PASS","FAIL"),IF(H648&lt;=I648,"PASS","FAIL"))</f>
        <v>PASS</v>
      </c>
      <c r="K648" t="inlineStr">
        <is>
          <t xml:space="preserve"/>
        </is>
      </c>
    </row>
    <row r="649">
      <c r="A649" t="inlineStr">
        <is>
          <t xml:space="preserve">INTC</t>
        </is>
      </c>
      <c r="B649" t="inlineStr">
        <is>
          <t xml:space="preserve">Table 4 -- Operating margin</t>
        </is>
      </c>
      <c r="C649" t="inlineStr">
        <is>
          <t xml:space="preserve">Margin=60.0000%</t>
        </is>
      </c>
      <c r="D649" t="inlineStr">
        <is>
          <t xml:space="preserve">Intrinsic Value per Share</t>
        </is>
      </c>
      <c r="E649" s="7">
        <v>-6.060122110171044</v>
      </c>
      <c r="F649" s="7">
        <v>-6.060122110171044</v>
      </c>
      <c r="G649" s="12">
        <f>ABS(E649-F649)</f>
        <v>0.0</v>
      </c>
      <c r="H649" s="10">
        <f>IF(F649=0,"n/a (zero denom)",G649/ABS(F649))</f>
        <v>0.0</v>
      </c>
      <c r="I649" s="10">
        <f>'Tolerances'!$B$13</f>
        <v>0.005</v>
      </c>
      <c r="J649" s="15" t="str">
        <f>IF(F649=0,IF(G649&lt;=0.000001,"PASS","FAIL"),IF(H649&lt;=I649,"PASS","FAIL"))</f>
        <v>PASS</v>
      </c>
      <c r="K649" t="inlineStr">
        <is>
          <t xml:space="preserve"/>
        </is>
      </c>
    </row>
    <row r="650">
      <c r="A650" t="inlineStr">
        <is>
          <t xml:space="preserve">INTC</t>
        </is>
      </c>
      <c r="B650" t="inlineStr">
        <is>
          <t xml:space="preserve">Table 5 -- WACC x g two-way grid</t>
        </is>
      </c>
      <c r="C650" t="inlineStr">
        <is>
          <t xml:space="preserve">WACC=5.0000%, g=0.0000%</t>
        </is>
      </c>
      <c r="D650" t="inlineStr">
        <is>
          <t xml:space="preserve">Intrinsic Value per Share</t>
        </is>
      </c>
      <c r="E650" s="7">
        <v>-7.244605669744238</v>
      </c>
      <c r="F650" s="7">
        <v>-7.244605669744238</v>
      </c>
      <c r="G650" s="12">
        <f>ABS(E650-F650)</f>
        <v>0.0</v>
      </c>
      <c r="H650" s="10">
        <f>IF(F650=0,"n/a (zero denom)",G650/ABS(F650))</f>
        <v>0.0</v>
      </c>
      <c r="I650" s="10">
        <f>'Tolerances'!$B$13</f>
        <v>0.005</v>
      </c>
      <c r="J650" s="15" t="str">
        <f>IF(F650=0,IF(G650&lt;=0.000001,"PASS","FAIL"),IF(H650&lt;=I650,"PASS","FAIL"))</f>
        <v>PASS</v>
      </c>
      <c r="K650" t="inlineStr">
        <is>
          <t xml:space="preserve"/>
        </is>
      </c>
    </row>
    <row r="651">
      <c r="A651" t="inlineStr">
        <is>
          <t xml:space="preserve">INTC</t>
        </is>
      </c>
      <c r="B651" t="inlineStr">
        <is>
          <t xml:space="preserve">Table 5 -- WACC x g two-way grid</t>
        </is>
      </c>
      <c r="C651" t="inlineStr">
        <is>
          <t xml:space="preserve">WACC=5.0000%, g=1.0000%</t>
        </is>
      </c>
      <c r="D651" t="inlineStr">
        <is>
          <t xml:space="preserve">Intrinsic Value per Share</t>
        </is>
      </c>
      <c r="E651" s="7">
        <v>-7.465320089262635</v>
      </c>
      <c r="F651" s="7">
        <v>-7.465320089262635</v>
      </c>
      <c r="G651" s="12">
        <f>ABS(E651-F651)</f>
        <v>0.0</v>
      </c>
      <c r="H651" s="10">
        <f>IF(F651=0,"n/a (zero denom)",G651/ABS(F651))</f>
        <v>0.0</v>
      </c>
      <c r="I651" s="10">
        <f>'Tolerances'!$B$13</f>
        <v>0.005</v>
      </c>
      <c r="J651" s="15" t="str">
        <f>IF(F651=0,IF(G651&lt;=0.000001,"PASS","FAIL"),IF(H651&lt;=I651,"PASS","FAIL"))</f>
        <v>PASS</v>
      </c>
      <c r="K651" t="inlineStr">
        <is>
          <t xml:space="preserve"/>
        </is>
      </c>
    </row>
    <row r="652">
      <c r="A652" t="inlineStr">
        <is>
          <t xml:space="preserve">INTC</t>
        </is>
      </c>
      <c r="B652" t="inlineStr">
        <is>
          <t xml:space="preserve">Table 5 -- WACC x g two-way grid</t>
        </is>
      </c>
      <c r="C652" t="inlineStr">
        <is>
          <t xml:space="preserve">WACC=5.0000%, g=2.0000%</t>
        </is>
      </c>
      <c r="D652" t="inlineStr">
        <is>
          <t xml:space="preserve">Intrinsic Value per Share</t>
        </is>
      </c>
      <c r="E652" s="7">
        <v>-7.8331774551266315</v>
      </c>
      <c r="F652" s="7">
        <v>-7.8331774551266315</v>
      </c>
      <c r="G652" s="12">
        <f>ABS(E652-F652)</f>
        <v>0.0</v>
      </c>
      <c r="H652" s="10">
        <f>IF(F652=0,"n/a (zero denom)",G652/ABS(F652))</f>
        <v>0.0</v>
      </c>
      <c r="I652" s="10">
        <f>'Tolerances'!$B$13</f>
        <v>0.005</v>
      </c>
      <c r="J652" s="15" t="str">
        <f>IF(F652=0,IF(G652&lt;=0.000001,"PASS","FAIL"),IF(H652&lt;=I652,"PASS","FAIL"))</f>
        <v>PASS</v>
      </c>
      <c r="K652" t="inlineStr">
        <is>
          <t xml:space="preserve"/>
        </is>
      </c>
    </row>
    <row r="653">
      <c r="A653" t="inlineStr">
        <is>
          <t xml:space="preserve">INTC</t>
        </is>
      </c>
      <c r="B653" t="inlineStr">
        <is>
          <t xml:space="preserve">Table 5 -- WACC x g two-way grid</t>
        </is>
      </c>
      <c r="C653" t="inlineStr">
        <is>
          <t xml:space="preserve">WACC=5.0000%, g=3.0000%</t>
        </is>
      </c>
      <c r="D653" t="inlineStr">
        <is>
          <t xml:space="preserve">Intrinsic Value per Share</t>
        </is>
      </c>
      <c r="E653" s="7">
        <v>-8.568892186854622</v>
      </c>
      <c r="F653" s="7">
        <v>-8.568892186854622</v>
      </c>
      <c r="G653" s="12">
        <f>ABS(E653-F653)</f>
        <v>0.0</v>
      </c>
      <c r="H653" s="10">
        <f>IF(F653=0,"n/a (zero denom)",G653/ABS(F653))</f>
        <v>0.0</v>
      </c>
      <c r="I653" s="10">
        <f>'Tolerances'!$B$13</f>
        <v>0.005</v>
      </c>
      <c r="J653" s="15" t="str">
        <f>IF(F653=0,IF(G653&lt;=0.000001,"PASS","FAIL"),IF(H653&lt;=I653,"PASS","FAIL"))</f>
        <v>PASS</v>
      </c>
      <c r="K653" t="inlineStr">
        <is>
          <t xml:space="preserve"/>
        </is>
      </c>
    </row>
    <row r="654">
      <c r="A654" t="inlineStr">
        <is>
          <t xml:space="preserve">INTC</t>
        </is>
      </c>
      <c r="B654" t="inlineStr">
        <is>
          <t xml:space="preserve">Table 5 -- WACC x g two-way grid</t>
        </is>
      </c>
      <c r="C654" t="inlineStr">
        <is>
          <t xml:space="preserve">WACC=5.0000%, g=4.0000%</t>
        </is>
      </c>
      <c r="D654" t="inlineStr">
        <is>
          <t xml:space="preserve">Intrinsic Value per Share</t>
        </is>
      </c>
      <c r="E654" s="7">
        <v>-10.776036382038598</v>
      </c>
      <c r="F654" s="7">
        <v>-10.776036382038598</v>
      </c>
      <c r="G654" s="12">
        <f>ABS(E654-F654)</f>
        <v>0.0</v>
      </c>
      <c r="H654" s="10">
        <f>IF(F654=0,"n/a (zero denom)",G654/ABS(F654))</f>
        <v>0.0</v>
      </c>
      <c r="I654" s="10">
        <f>'Tolerances'!$B$13</f>
        <v>0.005</v>
      </c>
      <c r="J654" s="15" t="str">
        <f>IF(F654=0,IF(G654&lt;=0.000001,"PASS","FAIL"),IF(H654&lt;=I654,"PASS","FAIL"))</f>
        <v>PASS</v>
      </c>
      <c r="K654" t="inlineStr">
        <is>
          <t xml:space="preserve"/>
        </is>
      </c>
    </row>
    <row r="655">
      <c r="A655" t="inlineStr">
        <is>
          <t xml:space="preserve">INTC</t>
        </is>
      </c>
      <c r="B655" t="inlineStr">
        <is>
          <t xml:space="preserve">Table 5 -- WACC x g two-way grid</t>
        </is>
      </c>
      <c r="C655" t="inlineStr">
        <is>
          <t xml:space="preserve">WACC=5.0000%, g=5.0000%</t>
        </is>
      </c>
      <c r="D655" t="inlineStr">
        <is>
          <t xml:space="preserve">Intrinsic Value per Share</t>
        </is>
      </c>
      <c r="E655" s="4" t="inlineStr">
        <is>
          <t xml:space="preserve">n/a</t>
        </is>
      </c>
      <c r="F655" s="4" t="inlineStr">
        <is>
          <t xml:space="preserve">n/a</t>
        </is>
      </c>
      <c r="G655" s="4" t="inlineStr">
        <is>
          <t xml:space="preserve">n/a</t>
        </is>
      </c>
      <c r="H655" s="4" t="inlineStr">
        <is>
          <t xml:space="preserve">n/a</t>
        </is>
      </c>
      <c r="I655" s="10">
        <f>'Tolerances'!$B$13</f>
        <v>0.005</v>
      </c>
      <c r="J655" s="15" t="inlineStr">
        <is>
          <t xml:space="preserve">PASS</t>
        </is>
      </c>
      <c r="K655" t="inlineStr">
        <is>
          <t xml:space="preserve">Both sides report the invalid-combination marker; exact string equality, not a numeric/tolerance comparison.</t>
        </is>
      </c>
    </row>
    <row r="656">
      <c r="A656" t="inlineStr">
        <is>
          <t xml:space="preserve">INTC</t>
        </is>
      </c>
      <c r="B656" t="inlineStr">
        <is>
          <t xml:space="preserve">Table 5 -- WACC x g two-way grid</t>
        </is>
      </c>
      <c r="C656" t="inlineStr">
        <is>
          <t xml:space="preserve">WACC=8.0000%, g=0.0000%</t>
        </is>
      </c>
      <c r="D656" t="inlineStr">
        <is>
          <t xml:space="preserve">Intrinsic Value per Share</t>
        </is>
      </c>
      <c r="E656" s="7">
        <v>-6.839214538431988</v>
      </c>
      <c r="F656" s="7">
        <v>-6.839214538431988</v>
      </c>
      <c r="G656" s="12">
        <f>ABS(E656-F656)</f>
        <v>0.0</v>
      </c>
      <c r="H656" s="10">
        <f>IF(F656=0,"n/a (zero denom)",G656/ABS(F656))</f>
        <v>0.0</v>
      </c>
      <c r="I656" s="10">
        <f>'Tolerances'!$B$13</f>
        <v>0.005</v>
      </c>
      <c r="J656" s="15" t="str">
        <f>IF(F656=0,IF(G656&lt;=0.000001,"PASS","FAIL"),IF(H656&lt;=I656,"PASS","FAIL"))</f>
        <v>PASS</v>
      </c>
      <c r="K656" t="inlineStr">
        <is>
          <t xml:space="preserve"/>
        </is>
      </c>
    </row>
    <row r="657">
      <c r="A657" t="inlineStr">
        <is>
          <t xml:space="preserve">INTC</t>
        </is>
      </c>
      <c r="B657" t="inlineStr">
        <is>
          <t xml:space="preserve">Table 5 -- WACC x g two-way grid</t>
        </is>
      </c>
      <c r="C657" t="inlineStr">
        <is>
          <t xml:space="preserve">WACC=8.0000%, g=1.0000%</t>
        </is>
      </c>
      <c r="D657" t="inlineStr">
        <is>
          <t xml:space="preserve">Intrinsic Value per Share</t>
        </is>
      </c>
      <c r="E657" s="7">
        <v>-6.909640834806064</v>
      </c>
      <c r="F657" s="7">
        <v>-6.909640834806064</v>
      </c>
      <c r="G657" s="12">
        <f>ABS(E657-F657)</f>
        <v>0.0</v>
      </c>
      <c r="H657" s="10">
        <f>IF(F657=0,"n/a (zero denom)",G657/ABS(F657))</f>
        <v>0.0</v>
      </c>
      <c r="I657" s="10">
        <f>'Tolerances'!$B$13</f>
        <v>0.005</v>
      </c>
      <c r="J657" s="15" t="str">
        <f>IF(F657=0,IF(G657&lt;=0.000001,"PASS","FAIL"),IF(H657&lt;=I657,"PASS","FAIL"))</f>
        <v>PASS</v>
      </c>
      <c r="K657" t="inlineStr">
        <is>
          <t xml:space="preserve"/>
        </is>
      </c>
    </row>
    <row r="658">
      <c r="A658" t="inlineStr">
        <is>
          <t xml:space="preserve">INTC</t>
        </is>
      </c>
      <c r="B658" t="inlineStr">
        <is>
          <t xml:space="preserve">Table 5 -- WACC x g two-way grid</t>
        </is>
      </c>
      <c r="C658" t="inlineStr">
        <is>
          <t xml:space="preserve">WACC=8.0000%, g=2.0000%</t>
        </is>
      </c>
      <c r="D658" t="inlineStr">
        <is>
          <t xml:space="preserve">Intrinsic Value per Share</t>
        </is>
      </c>
      <c r="E658" s="7">
        <v>-7.0035425633048325</v>
      </c>
      <c r="F658" s="7">
        <v>-7.0035425633048325</v>
      </c>
      <c r="G658" s="12">
        <f>ABS(E658-F658)</f>
        <v>0.0</v>
      </c>
      <c r="H658" s="10">
        <f>IF(F658=0,"n/a (zero denom)",G658/ABS(F658))</f>
        <v>0.0</v>
      </c>
      <c r="I658" s="10">
        <f>'Tolerances'!$B$13</f>
        <v>0.005</v>
      </c>
      <c r="J658" s="15" t="str">
        <f>IF(F658=0,IF(G658&lt;=0.000001,"PASS","FAIL"),IF(H658&lt;=I658,"PASS","FAIL"))</f>
        <v>PASS</v>
      </c>
      <c r="K658" t="inlineStr">
        <is>
          <t xml:space="preserve"/>
        </is>
      </c>
    </row>
    <row r="659">
      <c r="A659" t="inlineStr">
        <is>
          <t xml:space="preserve">INTC</t>
        </is>
      </c>
      <c r="B659" t="inlineStr">
        <is>
          <t xml:space="preserve">Table 5 -- WACC x g two-way grid</t>
        </is>
      </c>
      <c r="C659" t="inlineStr">
        <is>
          <t xml:space="preserve">WACC=8.0000%, g=3.0000%</t>
        </is>
      </c>
      <c r="D659" t="inlineStr">
        <is>
          <t xml:space="preserve">Intrinsic Value per Share</t>
        </is>
      </c>
      <c r="E659" s="7">
        <v>-7.1350049832031095</v>
      </c>
      <c r="F659" s="7">
        <v>-7.1350049832031095</v>
      </c>
      <c r="G659" s="12">
        <f>ABS(E659-F659)</f>
        <v>0.0</v>
      </c>
      <c r="H659" s="10">
        <f>IF(F659=0,"n/a (zero denom)",G659/ABS(F659))</f>
        <v>0.0</v>
      </c>
      <c r="I659" s="10">
        <f>'Tolerances'!$B$13</f>
        <v>0.005</v>
      </c>
      <c r="J659" s="15" t="str">
        <f>IF(F659=0,IF(G659&lt;=0.000001,"PASS","FAIL"),IF(H659&lt;=I659,"PASS","FAIL"))</f>
        <v>PASS</v>
      </c>
      <c r="K659" t="inlineStr">
        <is>
          <t xml:space="preserve"/>
        </is>
      </c>
    </row>
    <row r="660">
      <c r="A660" t="inlineStr">
        <is>
          <t xml:space="preserve">INTC</t>
        </is>
      </c>
      <c r="B660" t="inlineStr">
        <is>
          <t xml:space="preserve">Table 5 -- WACC x g two-way grid</t>
        </is>
      </c>
      <c r="C660" t="inlineStr">
        <is>
          <t xml:space="preserve">WACC=8.0000%, g=4.0000%</t>
        </is>
      </c>
      <c r="D660" t="inlineStr">
        <is>
          <t xml:space="preserve">Intrinsic Value per Share</t>
        </is>
      </c>
      <c r="E660" s="7">
        <v>-7.332198613050524</v>
      </c>
      <c r="F660" s="7">
        <v>-7.332198613050524</v>
      </c>
      <c r="G660" s="12">
        <f>ABS(E660-F660)</f>
        <v>0.0</v>
      </c>
      <c r="H660" s="10">
        <f>IF(F660=0,"n/a (zero denom)",G660/ABS(F660))</f>
        <v>0.0</v>
      </c>
      <c r="I660" s="10">
        <f>'Tolerances'!$B$13</f>
        <v>0.005</v>
      </c>
      <c r="J660" s="15" t="str">
        <f>IF(F660=0,IF(G660&lt;=0.000001,"PASS","FAIL"),IF(H660&lt;=I660,"PASS","FAIL"))</f>
        <v>PASS</v>
      </c>
      <c r="K660" t="inlineStr">
        <is>
          <t xml:space="preserve"/>
        </is>
      </c>
    </row>
    <row r="661">
      <c r="A661" t="inlineStr">
        <is>
          <t xml:space="preserve">INTC</t>
        </is>
      </c>
      <c r="B661" t="inlineStr">
        <is>
          <t xml:space="preserve">Table 5 -- WACC x g two-way grid</t>
        </is>
      </c>
      <c r="C661" t="inlineStr">
        <is>
          <t xml:space="preserve">WACC=8.0000%, g=5.0000%</t>
        </is>
      </c>
      <c r="D661" t="inlineStr">
        <is>
          <t xml:space="preserve">Intrinsic Value per Share</t>
        </is>
      </c>
      <c r="E661" s="7">
        <v>-7.660854662796215</v>
      </c>
      <c r="F661" s="7">
        <v>-7.660854662796215</v>
      </c>
      <c r="G661" s="12">
        <f>ABS(E661-F661)</f>
        <v>0.0</v>
      </c>
      <c r="H661" s="10">
        <f>IF(F661=0,"n/a (zero denom)",G661/ABS(F661))</f>
        <v>0.0</v>
      </c>
      <c r="I661" s="10">
        <f>'Tolerances'!$B$13</f>
        <v>0.005</v>
      </c>
      <c r="J661" s="15" t="str">
        <f>IF(F661=0,IF(G661&lt;=0.000001,"PASS","FAIL"),IF(H661&lt;=I661,"PASS","FAIL"))</f>
        <v>PASS</v>
      </c>
      <c r="K661" t="inlineStr">
        <is>
          <t xml:space="preserve"/>
        </is>
      </c>
    </row>
    <row r="662">
      <c r="A662" t="inlineStr">
        <is>
          <t xml:space="preserve">INTC</t>
        </is>
      </c>
      <c r="B662" t="inlineStr">
        <is>
          <t xml:space="preserve">Table 5 -- WACC x g two-way grid</t>
        </is>
      </c>
      <c r="C662" t="inlineStr">
        <is>
          <t xml:space="preserve">WACC=11.0000%, g=0.0000%</t>
        </is>
      </c>
      <c r="D662" t="inlineStr">
        <is>
          <t xml:space="preserve">Intrinsic Value per Share</t>
        </is>
      </c>
      <c r="E662" s="7">
        <v>-6.653590287124491</v>
      </c>
      <c r="F662" s="7">
        <v>-6.653590287124491</v>
      </c>
      <c r="G662" s="12">
        <f>ABS(E662-F662)</f>
        <v>0.0</v>
      </c>
      <c r="H662" s="10">
        <f>IF(F662=0,"n/a (zero denom)",G662/ABS(F662))</f>
        <v>0.0</v>
      </c>
      <c r="I662" s="10">
        <f>'Tolerances'!$B$13</f>
        <v>0.005</v>
      </c>
      <c r="J662" s="15" t="str">
        <f>IF(F662=0,IF(G662&lt;=0.000001,"PASS","FAIL"),IF(H662&lt;=I662,"PASS","FAIL"))</f>
        <v>PASS</v>
      </c>
      <c r="K662" t="inlineStr">
        <is>
          <t xml:space="preserve"/>
        </is>
      </c>
    </row>
    <row r="663">
      <c r="A663" t="inlineStr">
        <is>
          <t xml:space="preserve">INTC</t>
        </is>
      </c>
      <c r="B663" t="inlineStr">
        <is>
          <t xml:space="preserve">Table 5 -- WACC x g two-way grid</t>
        </is>
      </c>
      <c r="C663" t="inlineStr">
        <is>
          <t xml:space="preserve">WACC=11.0000%, g=1.0000%</t>
        </is>
      </c>
      <c r="D663" t="inlineStr">
        <is>
          <t xml:space="preserve">Intrinsic Value per Share</t>
        </is>
      </c>
      <c r="E663" s="7">
        <v>-6.6857219571735795</v>
      </c>
      <c r="F663" s="7">
        <v>-6.6857219571735795</v>
      </c>
      <c r="G663" s="12">
        <f>ABS(E663-F663)</f>
        <v>0.0</v>
      </c>
      <c r="H663" s="10">
        <f>IF(F663=0,"n/a (zero denom)",G663/ABS(F663))</f>
        <v>0.0</v>
      </c>
      <c r="I663" s="10">
        <f>'Tolerances'!$B$13</f>
        <v>0.005</v>
      </c>
      <c r="J663" s="15" t="str">
        <f>IF(F663=0,IF(G663&lt;=0.000001,"PASS","FAIL"),IF(H663&lt;=I663,"PASS","FAIL"))</f>
        <v>PASS</v>
      </c>
      <c r="K663" t="inlineStr">
        <is>
          <t xml:space="preserve"/>
        </is>
      </c>
    </row>
    <row r="664">
      <c r="A664" t="inlineStr">
        <is>
          <t xml:space="preserve">INTC</t>
        </is>
      </c>
      <c r="B664" t="inlineStr">
        <is>
          <t xml:space="preserve">Table 5 -- WACC x g two-way grid</t>
        </is>
      </c>
      <c r="C664" t="inlineStr">
        <is>
          <t xml:space="preserve">WACC=11.0000%, g=2.0000%</t>
        </is>
      </c>
      <c r="D664" t="inlineStr">
        <is>
          <t xml:space="preserve">Intrinsic Value per Share</t>
        </is>
      </c>
      <c r="E664" s="7">
        <v>-6.72499399834469</v>
      </c>
      <c r="F664" s="7">
        <v>-6.72499399834469</v>
      </c>
      <c r="G664" s="12">
        <f>ABS(E664-F664)</f>
        <v>0.0</v>
      </c>
      <c r="H664" s="10">
        <f>IF(F664=0,"n/a (zero denom)",G664/ABS(F664))</f>
        <v>0.0</v>
      </c>
      <c r="I664" s="10">
        <f>'Tolerances'!$B$13</f>
        <v>0.005</v>
      </c>
      <c r="J664" s="15" t="str">
        <f>IF(F664=0,IF(G664&lt;=0.000001,"PASS","FAIL"),IF(H664&lt;=I664,"PASS","FAIL"))</f>
        <v>PASS</v>
      </c>
      <c r="K664" t="inlineStr">
        <is>
          <t xml:space="preserve"/>
        </is>
      </c>
    </row>
    <row r="665">
      <c r="A665" t="inlineStr">
        <is>
          <t xml:space="preserve">INTC</t>
        </is>
      </c>
      <c r="B665" t="inlineStr">
        <is>
          <t xml:space="preserve">Table 5 -- WACC x g two-way grid</t>
        </is>
      </c>
      <c r="C665" t="inlineStr">
        <is>
          <t xml:space="preserve">WACC=11.0000%, g=3.0000%</t>
        </is>
      </c>
      <c r="D665" t="inlineStr">
        <is>
          <t xml:space="preserve">Intrinsic Value per Share</t>
        </is>
      </c>
      <c r="E665" s="7">
        <v>-6.774084049808576</v>
      </c>
      <c r="F665" s="7">
        <v>-6.774084049808576</v>
      </c>
      <c r="G665" s="12">
        <f>ABS(E665-F665)</f>
        <v>0.0</v>
      </c>
      <c r="H665" s="10">
        <f>IF(F665=0,"n/a (zero denom)",G665/ABS(F665))</f>
        <v>0.0</v>
      </c>
      <c r="I665" s="10">
        <f>'Tolerances'!$B$13</f>
        <v>0.005</v>
      </c>
      <c r="J665" s="15" t="str">
        <f>IF(F665=0,IF(G665&lt;=0.000001,"PASS","FAIL"),IF(H665&lt;=I665,"PASS","FAIL"))</f>
        <v>PASS</v>
      </c>
      <c r="K665" t="inlineStr">
        <is>
          <t xml:space="preserve"/>
        </is>
      </c>
    </row>
    <row r="666">
      <c r="A666" t="inlineStr">
        <is>
          <t xml:space="preserve">INTC</t>
        </is>
      </c>
      <c r="B666" t="inlineStr">
        <is>
          <t xml:space="preserve">Table 5 -- WACC x g two-way grid</t>
        </is>
      </c>
      <c r="C666" t="inlineStr">
        <is>
          <t xml:space="preserve">WACC=11.0000%, g=4.0000%</t>
        </is>
      </c>
      <c r="D666" t="inlineStr">
        <is>
          <t xml:space="preserve">Intrinsic Value per Share</t>
        </is>
      </c>
      <c r="E666" s="7">
        <v>-6.837199830262144</v>
      </c>
      <c r="F666" s="7">
        <v>-6.837199830262144</v>
      </c>
      <c r="G666" s="12">
        <f>ABS(E666-F666)</f>
        <v>0.0</v>
      </c>
      <c r="H666" s="10">
        <f>IF(F666=0,"n/a (zero denom)",G666/ABS(F666))</f>
        <v>0.0</v>
      </c>
      <c r="I666" s="10">
        <f>'Tolerances'!$B$13</f>
        <v>0.005</v>
      </c>
      <c r="J666" s="15" t="str">
        <f>IF(F666=0,IF(G666&lt;=0.000001,"PASS","FAIL"),IF(H666&lt;=I666,"PASS","FAIL"))</f>
        <v>PASS</v>
      </c>
      <c r="K666" t="inlineStr">
        <is>
          <t xml:space="preserve"/>
        </is>
      </c>
    </row>
    <row r="667">
      <c r="A667" t="inlineStr">
        <is>
          <t xml:space="preserve">INTC</t>
        </is>
      </c>
      <c r="B667" t="inlineStr">
        <is>
          <t xml:space="preserve">Table 5 -- WACC x g two-way grid</t>
        </is>
      </c>
      <c r="C667" t="inlineStr">
        <is>
          <t xml:space="preserve">WACC=11.0000%, g=5.0000%</t>
        </is>
      </c>
      <c r="D667" t="inlineStr">
        <is>
          <t xml:space="preserve">Intrinsic Value per Share</t>
        </is>
      </c>
      <c r="E667" s="7">
        <v>-6.921354204200236</v>
      </c>
      <c r="F667" s="7">
        <v>-6.921354204200236</v>
      </c>
      <c r="G667" s="12">
        <f>ABS(E667-F667)</f>
        <v>0.0</v>
      </c>
      <c r="H667" s="10">
        <f>IF(F667=0,"n/a (zero denom)",G667/ABS(F667))</f>
        <v>0.0</v>
      </c>
      <c r="I667" s="10">
        <f>'Tolerances'!$B$13</f>
        <v>0.005</v>
      </c>
      <c r="J667" s="15" t="str">
        <f>IF(F667=0,IF(G667&lt;=0.000001,"PASS","FAIL"),IF(H667&lt;=I667,"PASS","FAIL"))</f>
        <v>PASS</v>
      </c>
      <c r="K667" t="inlineStr">
        <is>
          <t xml:space="preserve"/>
        </is>
      </c>
    </row>
    <row r="668">
      <c r="A668" t="inlineStr">
        <is>
          <t xml:space="preserve">INTC</t>
        </is>
      </c>
      <c r="B668" t="inlineStr">
        <is>
          <t xml:space="preserve">Table 5 -- WACC x g two-way grid</t>
        </is>
      </c>
      <c r="C668" t="inlineStr">
        <is>
          <t xml:space="preserve">WACC=14.0000%, g=0.0000%</t>
        </is>
      </c>
      <c r="D668" t="inlineStr">
        <is>
          <t xml:space="preserve">Intrinsic Value per Share</t>
        </is>
      </c>
      <c r="E668" s="7">
        <v>-6.546592909859822</v>
      </c>
      <c r="F668" s="7">
        <v>-6.54659290985982</v>
      </c>
      <c r="G668" s="12">
        <f>ABS(E668-F668)</f>
        <v>1.7763568394002505e-15</v>
      </c>
      <c r="H668" s="10">
        <f>IF(F668=0,"n/a (zero denom)",G668/ABS(F668))</f>
        <v>2.713406597689739e-16</v>
      </c>
      <c r="I668" s="10">
        <f>'Tolerances'!$B$13</f>
        <v>0.005</v>
      </c>
      <c r="J668" s="15" t="str">
        <f>IF(F668=0,IF(G668&lt;=0.000001,"PASS","FAIL"),IF(H668&lt;=I668,"PASS","FAIL"))</f>
        <v>PASS</v>
      </c>
      <c r="K668" t="inlineStr">
        <is>
          <t xml:space="preserve"/>
        </is>
      </c>
    </row>
    <row r="669">
      <c r="A669" t="inlineStr">
        <is>
          <t xml:space="preserve">INTC</t>
        </is>
      </c>
      <c r="B669" t="inlineStr">
        <is>
          <t xml:space="preserve">Table 5 -- WACC x g two-way grid</t>
        </is>
      </c>
      <c r="C669" t="inlineStr">
        <is>
          <t xml:space="preserve">WACC=14.0000%, g=1.0000%</t>
        </is>
      </c>
      <c r="D669" t="inlineStr">
        <is>
          <t xml:space="preserve">Intrinsic Value per Share</t>
        </is>
      </c>
      <c r="E669" s="7">
        <v>-6.564048201351693</v>
      </c>
      <c r="F669" s="7">
        <v>-6.564048201351693</v>
      </c>
      <c r="G669" s="12">
        <f>ABS(E669-F669)</f>
        <v>0.0</v>
      </c>
      <c r="H669" s="10">
        <f>IF(F669=0,"n/a (zero denom)",G669/ABS(F669))</f>
        <v>0.0</v>
      </c>
      <c r="I669" s="10">
        <f>'Tolerances'!$B$13</f>
        <v>0.005</v>
      </c>
      <c r="J669" s="15" t="str">
        <f>IF(F669=0,IF(G669&lt;=0.000001,"PASS","FAIL"),IF(H669&lt;=I669,"PASS","FAIL"))</f>
        <v>PASS</v>
      </c>
      <c r="K669" t="inlineStr">
        <is>
          <t xml:space="preserve"/>
        </is>
      </c>
    </row>
    <row r="670">
      <c r="A670" t="inlineStr">
        <is>
          <t xml:space="preserve">INTC</t>
        </is>
      </c>
      <c r="B670" t="inlineStr">
        <is>
          <t xml:space="preserve">Table 5 -- WACC x g two-way grid</t>
        </is>
      </c>
      <c r="C670" t="inlineStr">
        <is>
          <t xml:space="preserve">WACC=14.0000%, g=2.0000%</t>
        </is>
      </c>
      <c r="D670" t="inlineStr">
        <is>
          <t xml:space="preserve">Intrinsic Value per Share</t>
        </is>
      </c>
      <c r="E670" s="7">
        <v>-6.584412708092212</v>
      </c>
      <c r="F670" s="7">
        <v>-6.584412708092212</v>
      </c>
      <c r="G670" s="12">
        <f>ABS(E670-F670)</f>
        <v>0.0</v>
      </c>
      <c r="H670" s="10">
        <f>IF(F670=0,"n/a (zero denom)",G670/ABS(F670))</f>
        <v>0.0</v>
      </c>
      <c r="I670" s="10">
        <f>'Tolerances'!$B$13</f>
        <v>0.005</v>
      </c>
      <c r="J670" s="15" t="str">
        <f>IF(F670=0,IF(G670&lt;=0.000001,"PASS","FAIL"),IF(H670&lt;=I670,"PASS","FAIL"))</f>
        <v>PASS</v>
      </c>
      <c r="K670" t="inlineStr">
        <is>
          <t xml:space="preserve"/>
        </is>
      </c>
    </row>
    <row r="671">
      <c r="A671" t="inlineStr">
        <is>
          <t xml:space="preserve">INTC</t>
        </is>
      </c>
      <c r="B671" t="inlineStr">
        <is>
          <t xml:space="preserve">Table 5 -- WACC x g two-way grid</t>
        </is>
      </c>
      <c r="C671" t="inlineStr">
        <is>
          <t xml:space="preserve">WACC=14.0000%, g=3.0000%</t>
        </is>
      </c>
      <c r="D671" t="inlineStr">
        <is>
          <t xml:space="preserve">Intrinsic Value per Share</t>
        </is>
      </c>
      <c r="E671" s="7">
        <v>-6.608479852421914</v>
      </c>
      <c r="F671" s="7">
        <v>-6.608479852421914</v>
      </c>
      <c r="G671" s="12">
        <f>ABS(E671-F671)</f>
        <v>0.0</v>
      </c>
      <c r="H671" s="10">
        <f>IF(F671=0,"n/a (zero denom)",G671/ABS(F671))</f>
        <v>0.0</v>
      </c>
      <c r="I671" s="10">
        <f>'Tolerances'!$B$13</f>
        <v>0.005</v>
      </c>
      <c r="J671" s="15" t="str">
        <f>IF(F671=0,IF(G671&lt;=0.000001,"PASS","FAIL"),IF(H671&lt;=I671,"PASS","FAIL"))</f>
        <v>PASS</v>
      </c>
      <c r="K671" t="inlineStr">
        <is>
          <t xml:space="preserve"/>
        </is>
      </c>
    </row>
    <row r="672">
      <c r="A672" t="inlineStr">
        <is>
          <t xml:space="preserve">INTC</t>
        </is>
      </c>
      <c r="B672" t="inlineStr">
        <is>
          <t xml:space="preserve">Table 5 -- WACC x g two-way grid</t>
        </is>
      </c>
      <c r="C672" t="inlineStr">
        <is>
          <t xml:space="preserve">WACC=14.0000%, g=4.0000%</t>
        </is>
      </c>
      <c r="D672" t="inlineStr">
        <is>
          <t xml:space="preserve">Intrinsic Value per Share</t>
        </is>
      </c>
      <c r="E672" s="7">
        <v>-6.637360425617559</v>
      </c>
      <c r="F672" s="7">
        <v>-6.637360425617559</v>
      </c>
      <c r="G672" s="12">
        <f>ABS(E672-F672)</f>
        <v>0.0</v>
      </c>
      <c r="H672" s="10">
        <f>IF(F672=0,"n/a (zero denom)",G672/ABS(F672))</f>
        <v>0.0</v>
      </c>
      <c r="I672" s="10">
        <f>'Tolerances'!$B$13</f>
        <v>0.005</v>
      </c>
      <c r="J672" s="15" t="str">
        <f>IF(F672=0,IF(G672&lt;=0.000001,"PASS","FAIL"),IF(H672&lt;=I672,"PASS","FAIL"))</f>
        <v>PASS</v>
      </c>
      <c r="K672" t="inlineStr">
        <is>
          <t xml:space="preserve"/>
        </is>
      </c>
    </row>
    <row r="673">
      <c r="A673" t="inlineStr">
        <is>
          <t xml:space="preserve">INTC</t>
        </is>
      </c>
      <c r="B673" t="inlineStr">
        <is>
          <t xml:space="preserve">Table 5 -- WACC x g two-way grid</t>
        </is>
      </c>
      <c r="C673" t="inlineStr">
        <is>
          <t xml:space="preserve">WACC=14.0000%, g=5.0000%</t>
        </is>
      </c>
      <c r="D673" t="inlineStr">
        <is>
          <t xml:space="preserve">Intrinsic Value per Share</t>
        </is>
      </c>
      <c r="E673" s="7">
        <v>-6.67265890396779</v>
      </c>
      <c r="F673" s="7">
        <v>-6.67265890396779</v>
      </c>
      <c r="G673" s="12">
        <f>ABS(E673-F673)</f>
        <v>0.0</v>
      </c>
      <c r="H673" s="10">
        <f>IF(F673=0,"n/a (zero denom)",G673/ABS(F673))</f>
        <v>0.0</v>
      </c>
      <c r="I673" s="10">
        <f>'Tolerances'!$B$13</f>
        <v>0.005</v>
      </c>
      <c r="J673" s="15" t="str">
        <f>IF(F673=0,IF(G673&lt;=0.000001,"PASS","FAIL"),IF(H673&lt;=I673,"PASS","FAIL"))</f>
        <v>PASS</v>
      </c>
      <c r="K673" t="inlineStr">
        <is>
          <t xml:space="preserve"/>
        </is>
      </c>
    </row>
    <row r="674">
      <c r="A674" t="inlineStr">
        <is>
          <t xml:space="preserve">INTC</t>
        </is>
      </c>
      <c r="B674" t="inlineStr">
        <is>
          <t xml:space="preserve">Table 5 -- WACC x g two-way grid</t>
        </is>
      </c>
      <c r="C674" t="inlineStr">
        <is>
          <t xml:space="preserve">WACC=17.0000%, g=0.0000%</t>
        </is>
      </c>
      <c r="D674" t="inlineStr">
        <is>
          <t xml:space="preserve">Intrinsic Value per Share</t>
        </is>
      </c>
      <c r="E674" s="7">
        <v>-6.476692845730129</v>
      </c>
      <c r="F674" s="7">
        <v>-6.476692845730129</v>
      </c>
      <c r="G674" s="12">
        <f>ABS(E674-F674)</f>
        <v>0.0</v>
      </c>
      <c r="H674" s="10">
        <f>IF(F674=0,"n/a (zero denom)",G674/ABS(F674))</f>
        <v>0.0</v>
      </c>
      <c r="I674" s="10">
        <f>'Tolerances'!$B$13</f>
        <v>0.005</v>
      </c>
      <c r="J674" s="15" t="str">
        <f>IF(F674=0,IF(G674&lt;=0.000001,"PASS","FAIL"),IF(H674&lt;=I674,"PASS","FAIL"))</f>
        <v>PASS</v>
      </c>
      <c r="K674" t="inlineStr">
        <is>
          <t xml:space="preserve"/>
        </is>
      </c>
    </row>
    <row r="675">
      <c r="A675" t="inlineStr">
        <is>
          <t xml:space="preserve">INTC</t>
        </is>
      </c>
      <c r="B675" t="inlineStr">
        <is>
          <t xml:space="preserve">Table 5 -- WACC x g two-way grid</t>
        </is>
      </c>
      <c r="C675" t="inlineStr">
        <is>
          <t xml:space="preserve">WACC=17.0000%, g=1.0000%</t>
        </is>
      </c>
      <c r="D675" t="inlineStr">
        <is>
          <t xml:space="preserve">Intrinsic Value per Share</t>
        </is>
      </c>
      <c r="E675" s="7">
        <v>-6.487219868151995</v>
      </c>
      <c r="F675" s="7">
        <v>-6.487219868151995</v>
      </c>
      <c r="G675" s="12">
        <f>ABS(E675-F675)</f>
        <v>0.0</v>
      </c>
      <c r="H675" s="10">
        <f>IF(F675=0,"n/a (zero denom)",G675/ABS(F675))</f>
        <v>0.0</v>
      </c>
      <c r="I675" s="10">
        <f>'Tolerances'!$B$13</f>
        <v>0.005</v>
      </c>
      <c r="J675" s="15" t="str">
        <f>IF(F675=0,IF(G675&lt;=0.000001,"PASS","FAIL"),IF(H675&lt;=I675,"PASS","FAIL"))</f>
        <v>PASS</v>
      </c>
      <c r="K675" t="inlineStr">
        <is>
          <t xml:space="preserve"/>
        </is>
      </c>
    </row>
    <row r="676">
      <c r="A676" t="inlineStr">
        <is>
          <t xml:space="preserve">INTC</t>
        </is>
      </c>
      <c r="B676" t="inlineStr">
        <is>
          <t xml:space="preserve">Table 5 -- WACC x g two-way grid</t>
        </is>
      </c>
      <c r="C676" t="inlineStr">
        <is>
          <t xml:space="preserve">WACC=17.0000%, g=2.0000%</t>
        </is>
      </c>
      <c r="D676" t="inlineStr">
        <is>
          <t xml:space="preserve">Intrinsic Value per Share</t>
        </is>
      </c>
      <c r="E676" s="7">
        <v>-6.499150493563441</v>
      </c>
      <c r="F676" s="7">
        <v>-6.499150493563441</v>
      </c>
      <c r="G676" s="12">
        <f>ABS(E676-F676)</f>
        <v>0.0</v>
      </c>
      <c r="H676" s="10">
        <f>IF(F676=0,"n/a (zero denom)",G676/ABS(F676))</f>
        <v>0.0</v>
      </c>
      <c r="I676" s="10">
        <f>'Tolerances'!$B$13</f>
        <v>0.005</v>
      </c>
      <c r="J676" s="15" t="str">
        <f>IF(F676=0,IF(G676&lt;=0.000001,"PASS","FAIL"),IF(H676&lt;=I676,"PASS","FAIL"))</f>
        <v>PASS</v>
      </c>
      <c r="K676" t="inlineStr">
        <is>
          <t xml:space="preserve"/>
        </is>
      </c>
    </row>
    <row r="677">
      <c r="A677" t="inlineStr">
        <is>
          <t xml:space="preserve">INTC</t>
        </is>
      </c>
      <c r="B677" t="inlineStr">
        <is>
          <t xml:space="preserve">Table 5 -- WACC x g two-way grid</t>
        </is>
      </c>
      <c r="C677" t="inlineStr">
        <is>
          <t xml:space="preserve">WACC=17.0000%, g=3.0000%</t>
        </is>
      </c>
      <c r="D677" t="inlineStr">
        <is>
          <t xml:space="preserve">Intrinsic Value per Share</t>
        </is>
      </c>
      <c r="E677" s="7">
        <v>-6.5127854940336665</v>
      </c>
      <c r="F677" s="7">
        <v>-6.5127854940336665</v>
      </c>
      <c r="G677" s="12">
        <f>ABS(E677-F677)</f>
        <v>0.0</v>
      </c>
      <c r="H677" s="10">
        <f>IF(F677=0,"n/a (zero denom)",G677/ABS(F677))</f>
        <v>0.0</v>
      </c>
      <c r="I677" s="10">
        <f>'Tolerances'!$B$13</f>
        <v>0.005</v>
      </c>
      <c r="J677" s="15" t="str">
        <f>IF(F677=0,IF(G677&lt;=0.000001,"PASS","FAIL"),IF(H677&lt;=I677,"PASS","FAIL"))</f>
        <v>PASS</v>
      </c>
      <c r="K677" t="inlineStr">
        <is>
          <t xml:space="preserve"/>
        </is>
      </c>
    </row>
    <row r="678">
      <c r="A678" t="inlineStr">
        <is>
          <t xml:space="preserve">INTC</t>
        </is>
      </c>
      <c r="B678" t="inlineStr">
        <is>
          <t xml:space="preserve">Table 5 -- WACC x g two-way grid</t>
        </is>
      </c>
      <c r="C678" t="inlineStr">
        <is>
          <t xml:space="preserve">WACC=17.0000%, g=4.0000%</t>
        </is>
      </c>
      <c r="D678" t="inlineStr">
        <is>
          <t xml:space="preserve">Intrinsic Value per Share</t>
        </is>
      </c>
      <c r="E678" s="7">
        <v>-6.528518186883927</v>
      </c>
      <c r="F678" s="7">
        <v>-6.528518186883927</v>
      </c>
      <c r="G678" s="12">
        <f>ABS(E678-F678)</f>
        <v>0.0</v>
      </c>
      <c r="H678" s="10">
        <f>IF(F678=0,"n/a (zero denom)",G678/ABS(F678))</f>
        <v>0.0</v>
      </c>
      <c r="I678" s="10">
        <f>'Tolerances'!$B$13</f>
        <v>0.005</v>
      </c>
      <c r="J678" s="15" t="str">
        <f>IF(F678=0,IF(G678&lt;=0.000001,"PASS","FAIL"),IF(H678&lt;=I678,"PASS","FAIL"))</f>
        <v>PASS</v>
      </c>
      <c r="K678" t="inlineStr">
        <is>
          <t xml:space="preserve"/>
        </is>
      </c>
    </row>
    <row r="679">
      <c r="A679" t="inlineStr">
        <is>
          <t xml:space="preserve">INTC</t>
        </is>
      </c>
      <c r="B679" t="inlineStr">
        <is>
          <t xml:space="preserve">Table 5 -- WACC x g two-way grid</t>
        </is>
      </c>
      <c r="C679" t="inlineStr">
        <is>
          <t xml:space="preserve">WACC=17.0000%, g=5.0000%</t>
        </is>
      </c>
      <c r="D679" t="inlineStr">
        <is>
          <t xml:space="preserve">Intrinsic Value per Share</t>
        </is>
      </c>
      <c r="E679" s="7">
        <v>-6.546872995209229</v>
      </c>
      <c r="F679" s="7">
        <v>-6.546872995209229</v>
      </c>
      <c r="G679" s="12">
        <f>ABS(E679-F679)</f>
        <v>0.0</v>
      </c>
      <c r="H679" s="10">
        <f>IF(F679=0,"n/a (zero denom)",G679/ABS(F679))</f>
        <v>0.0</v>
      </c>
      <c r="I679" s="10">
        <f>'Tolerances'!$B$13</f>
        <v>0.005</v>
      </c>
      <c r="J679" s="15" t="str">
        <f>IF(F679=0,IF(G679&lt;=0.000001,"PASS","FAIL"),IF(H679&lt;=I679,"PASS","FAIL"))</f>
        <v>PASS</v>
      </c>
      <c r="K679" t="inlineStr">
        <is>
          <t xml:space="preserve"/>
        </is>
      </c>
    </row>
    <row r="680">
      <c r="A680" t="inlineStr">
        <is>
          <t xml:space="preserve">INTC</t>
        </is>
      </c>
      <c r="B680" t="inlineStr">
        <is>
          <t xml:space="preserve">Table 5 -- WACC x g two-way grid</t>
        </is>
      </c>
      <c r="C680" t="inlineStr">
        <is>
          <t xml:space="preserve">WACC=20.0000%, g=0.0000%</t>
        </is>
      </c>
      <c r="D680" t="inlineStr">
        <is>
          <t xml:space="preserve">Intrinsic Value per Share</t>
        </is>
      </c>
      <c r="E680" s="7">
        <v>-6.427265849229677</v>
      </c>
      <c r="F680" s="7">
        <v>-6.427265849229677</v>
      </c>
      <c r="G680" s="12">
        <f>ABS(E680-F680)</f>
        <v>0.0</v>
      </c>
      <c r="H680" s="10">
        <f>IF(F680=0,"n/a (zero denom)",G680/ABS(F680))</f>
        <v>0.0</v>
      </c>
      <c r="I680" s="10">
        <f>'Tolerances'!$B$13</f>
        <v>0.005</v>
      </c>
      <c r="J680" s="15" t="str">
        <f>IF(F680=0,IF(G680&lt;=0.000001,"PASS","FAIL"),IF(H680&lt;=I680,"PASS","FAIL"))</f>
        <v>PASS</v>
      </c>
      <c r="K680" t="inlineStr">
        <is>
          <t xml:space="preserve"/>
        </is>
      </c>
    </row>
    <row r="681">
      <c r="A681" t="inlineStr">
        <is>
          <t xml:space="preserve">INTC</t>
        </is>
      </c>
      <c r="B681" t="inlineStr">
        <is>
          <t xml:space="preserve">Table 5 -- WACC x g two-way grid</t>
        </is>
      </c>
      <c r="C681" t="inlineStr">
        <is>
          <t xml:space="preserve">WACC=20.0000%, g=1.0000%</t>
        </is>
      </c>
      <c r="D681" t="inlineStr">
        <is>
          <t xml:space="preserve">Intrinsic Value per Share</t>
        </is>
      </c>
      <c r="E681" s="7">
        <v>-6.434075256626672</v>
      </c>
      <c r="F681" s="7">
        <v>-6.434075256626672</v>
      </c>
      <c r="G681" s="12">
        <f>ABS(E681-F681)</f>
        <v>0.0</v>
      </c>
      <c r="H681" s="10">
        <f>IF(F681=0,"n/a (zero denom)",G681/ABS(F681))</f>
        <v>0.0</v>
      </c>
      <c r="I681" s="10">
        <f>'Tolerances'!$B$13</f>
        <v>0.005</v>
      </c>
      <c r="J681" s="15" t="str">
        <f>IF(F681=0,IF(G681&lt;=0.000001,"PASS","FAIL"),IF(H681&lt;=I681,"PASS","FAIL"))</f>
        <v>PASS</v>
      </c>
      <c r="K681" t="inlineStr">
        <is>
          <t xml:space="preserve"/>
        </is>
      </c>
    </row>
    <row r="682">
      <c r="A682" t="inlineStr">
        <is>
          <t xml:space="preserve">INTC</t>
        </is>
      </c>
      <c r="B682" t="inlineStr">
        <is>
          <t xml:space="preserve">Table 5 -- WACC x g two-way grid</t>
        </is>
      </c>
      <c r="C682" t="inlineStr">
        <is>
          <t xml:space="preserve">WACC=20.0000%, g=2.0000%</t>
        </is>
      </c>
      <c r="D682" t="inlineStr">
        <is>
          <t xml:space="preserve">Intrinsic Value per Share</t>
        </is>
      </c>
      <c r="E682" s="7">
        <v>-6.441641264845554</v>
      </c>
      <c r="F682" s="7">
        <v>-6.441641264845554</v>
      </c>
      <c r="G682" s="12">
        <f>ABS(E682-F682)</f>
        <v>0.0</v>
      </c>
      <c r="H682" s="10">
        <f>IF(F682=0,"n/a (zero denom)",G682/ABS(F682))</f>
        <v>0.0</v>
      </c>
      <c r="I682" s="10">
        <f>'Tolerances'!$B$13</f>
        <v>0.005</v>
      </c>
      <c r="J682" s="15" t="str">
        <f>IF(F682=0,IF(G682&lt;=0.000001,"PASS","FAIL"),IF(H682&lt;=I682,"PASS","FAIL"))</f>
        <v>PASS</v>
      </c>
      <c r="K682" t="inlineStr">
        <is>
          <t xml:space="preserve"/>
        </is>
      </c>
    </row>
    <row r="683">
      <c r="A683" t="inlineStr">
        <is>
          <t xml:space="preserve">INTC</t>
        </is>
      </c>
      <c r="B683" t="inlineStr">
        <is>
          <t xml:space="preserve">Table 5 -- WACC x g two-way grid</t>
        </is>
      </c>
      <c r="C683" t="inlineStr">
        <is>
          <t xml:space="preserve">WACC=20.0000%, g=3.0000%</t>
        </is>
      </c>
      <c r="D683" t="inlineStr">
        <is>
          <t xml:space="preserve">Intrinsic Value per Share</t>
        </is>
      </c>
      <c r="E683" s="7">
        <v>-6.450097391678422</v>
      </c>
      <c r="F683" s="7">
        <v>-6.450097391678422</v>
      </c>
      <c r="G683" s="12">
        <f>ABS(E683-F683)</f>
        <v>0.0</v>
      </c>
      <c r="H683" s="10">
        <f>IF(F683=0,"n/a (zero denom)",G683/ABS(F683))</f>
        <v>0.0</v>
      </c>
      <c r="I683" s="10">
        <f>'Tolerances'!$B$13</f>
        <v>0.005</v>
      </c>
      <c r="J683" s="15" t="str">
        <f>IF(F683=0,IF(G683&lt;=0.000001,"PASS","FAIL"),IF(H683&lt;=I683,"PASS","FAIL"))</f>
        <v>PASS</v>
      </c>
      <c r="K683" t="inlineStr">
        <is>
          <t xml:space="preserve"/>
        </is>
      </c>
    </row>
    <row r="684">
      <c r="A684" t="inlineStr">
        <is>
          <t xml:space="preserve">INTC</t>
        </is>
      </c>
      <c r="B684" t="inlineStr">
        <is>
          <t xml:space="preserve">Table 5 -- WACC x g two-way grid</t>
        </is>
      </c>
      <c r="C684" t="inlineStr">
        <is>
          <t xml:space="preserve">WACC=20.0000%, g=4.0000%</t>
        </is>
      </c>
      <c r="D684" t="inlineStr">
        <is>
          <t xml:space="preserve">Intrinsic Value per Share</t>
        </is>
      </c>
      <c r="E684" s="7">
        <v>-6.459610534365399</v>
      </c>
      <c r="F684" s="7">
        <v>-6.459610534365399</v>
      </c>
      <c r="G684" s="12">
        <f>ABS(E684-F684)</f>
        <v>0.0</v>
      </c>
      <c r="H684" s="10">
        <f>IF(F684=0,"n/a (zero denom)",G684/ABS(F684))</f>
        <v>0.0</v>
      </c>
      <c r="I684" s="10">
        <f>'Tolerances'!$B$13</f>
        <v>0.005</v>
      </c>
      <c r="J684" s="15" t="str">
        <f>IF(F684=0,IF(G684&lt;=0.000001,"PASS","FAIL"),IF(H684&lt;=I684,"PASS","FAIL"))</f>
        <v>PASS</v>
      </c>
      <c r="K684" t="inlineStr">
        <is>
          <t xml:space="preserve"/>
        </is>
      </c>
    </row>
    <row r="685">
      <c r="A685" t="inlineStr">
        <is>
          <t xml:space="preserve">INTC</t>
        </is>
      </c>
      <c r="B685" t="inlineStr">
        <is>
          <t xml:space="preserve">Table 5 -- WACC x g two-way grid</t>
        </is>
      </c>
      <c r="C685" t="inlineStr">
        <is>
          <t xml:space="preserve">WACC=20.0000%, g=5.0000%</t>
        </is>
      </c>
      <c r="D685" t="inlineStr">
        <is>
          <t xml:space="preserve">Intrinsic Value per Share</t>
        </is>
      </c>
      <c r="E685" s="7">
        <v>-6.4703920960773065</v>
      </c>
      <c r="F685" s="7">
        <v>-6.4703920960773065</v>
      </c>
      <c r="G685" s="12">
        <f>ABS(E685-F685)</f>
        <v>0.0</v>
      </c>
      <c r="H685" s="10">
        <f>IF(F685=0,"n/a (zero denom)",G685/ABS(F685))</f>
        <v>0.0</v>
      </c>
      <c r="I685" s="10">
        <f>'Tolerances'!$B$13</f>
        <v>0.005</v>
      </c>
      <c r="J685" s="15" t="str">
        <f>IF(F685=0,IF(G685&lt;=0.000001,"PASS","FAIL"),IF(H685&lt;=I685,"PASS","FAIL"))</f>
        <v>PASS</v>
      </c>
      <c r="K685" t="inlineStr">
        <is>
          <t xml:space="preserve"/>
        </is>
      </c>
    </row>
    <row r="686">
      <c r="A686" t="inlineStr">
        <is>
          <t xml:space="preserve">VZ</t>
        </is>
      </c>
      <c r="B686" t="inlineStr">
        <is>
          <t xml:space="preserve">Table 1 -- WACC</t>
        </is>
      </c>
      <c r="C686" t="inlineStr">
        <is>
          <t xml:space="preserve">WACC=5.0000%</t>
        </is>
      </c>
      <c r="D686" t="inlineStr">
        <is>
          <t xml:space="preserve">Terminal Value</t>
        </is>
      </c>
      <c r="E686" s="6">
        <v>914146968456.9417</v>
      </c>
      <c r="F686" s="6">
        <v>914146968456.9417</v>
      </c>
      <c r="G686" s="11">
        <f>ABS(E686-F686)</f>
        <v>0.0</v>
      </c>
      <c r="H686" s="10">
        <f>IF(F686=0,"n/a (zero denom)",G686/ABS(F686))</f>
        <v>0.0</v>
      </c>
      <c r="I686" s="10">
        <f>'Tolerances'!$B$7</f>
        <v>0.002</v>
      </c>
      <c r="J686" s="15" t="str">
        <f>IF(F686=0,IF(G686&lt;=0.000001,"PASS","FAIL"),IF(H686&lt;=I686,"PASS","FAIL"))</f>
        <v>PASS</v>
      </c>
      <c r="K686" t="inlineStr">
        <is>
          <t xml:space="preserve"/>
        </is>
      </c>
    </row>
    <row r="687">
      <c r="A687" t="inlineStr">
        <is>
          <t xml:space="preserve">VZ</t>
        </is>
      </c>
      <c r="B687" t="inlineStr">
        <is>
          <t xml:space="preserve">Table 1 -- WACC</t>
        </is>
      </c>
      <c r="C687" t="inlineStr">
        <is>
          <t xml:space="preserve">WACC=5.0000%</t>
        </is>
      </c>
      <c r="D687" t="inlineStr">
        <is>
          <t xml:space="preserve">Enterprise Value</t>
        </is>
      </c>
      <c r="E687" s="6">
        <v>811105640623.6685</v>
      </c>
      <c r="F687" s="6">
        <v>811105640623.6685</v>
      </c>
      <c r="G687" s="11">
        <f>ABS(E687-F687)</f>
        <v>0.0</v>
      </c>
      <c r="H687" s="10">
        <f>IF(F687=0,"n/a (zero denom)",G687/ABS(F687))</f>
        <v>0.0</v>
      </c>
      <c r="I687" s="10">
        <f>'Tolerances'!$B$10</f>
        <v>0.002</v>
      </c>
      <c r="J687" s="15" t="str">
        <f>IF(F687=0,IF(G687&lt;=0.000001,"PASS","FAIL"),IF(H687&lt;=I687,"PASS","FAIL"))</f>
        <v>PASS</v>
      </c>
      <c r="K687" t="inlineStr">
        <is>
          <t xml:space="preserve"/>
        </is>
      </c>
    </row>
    <row r="688">
      <c r="A688" t="inlineStr">
        <is>
          <t xml:space="preserve">VZ</t>
        </is>
      </c>
      <c r="B688" t="inlineStr">
        <is>
          <t xml:space="preserve">Table 1 -- WACC</t>
        </is>
      </c>
      <c r="C688" t="inlineStr">
        <is>
          <t xml:space="preserve">WACC=5.0000%</t>
        </is>
      </c>
      <c r="D688" t="inlineStr">
        <is>
          <t xml:space="preserve">Equity Value</t>
        </is>
      </c>
      <c r="E688" s="6">
        <v>672003640623.6685</v>
      </c>
      <c r="F688" s="6">
        <v>672003640623.6685</v>
      </c>
      <c r="G688" s="11">
        <f>ABS(E688-F688)</f>
        <v>0.0</v>
      </c>
      <c r="H688" s="10">
        <f>IF(F688=0,"n/a (zero denom)",G688/ABS(F688))</f>
        <v>0.0</v>
      </c>
      <c r="I688" s="10">
        <f>'Tolerances'!$B$11</f>
        <v>0.002</v>
      </c>
      <c r="J688" s="15" t="str">
        <f>IF(F688=0,IF(G688&lt;=0.000001,"PASS","FAIL"),IF(H688&lt;=I688,"PASS","FAIL"))</f>
        <v>PASS</v>
      </c>
      <c r="K688" t="inlineStr">
        <is>
          <t xml:space="preserve"/>
        </is>
      </c>
    </row>
    <row r="689">
      <c r="A689" t="inlineStr">
        <is>
          <t xml:space="preserve">VZ</t>
        </is>
      </c>
      <c r="B689" t="inlineStr">
        <is>
          <t xml:space="preserve">Table 1 -- WACC</t>
        </is>
      </c>
      <c r="C689" t="inlineStr">
        <is>
          <t xml:space="preserve">WACC=5.0000%</t>
        </is>
      </c>
      <c r="D689" t="inlineStr">
        <is>
          <t xml:space="preserve">Intrinsic Value per Share</t>
        </is>
      </c>
      <c r="E689" s="7">
        <v>161.74247894330927</v>
      </c>
      <c r="F689" s="7">
        <v>161.74247894330927</v>
      </c>
      <c r="G689" s="12">
        <f>ABS(E689-F689)</f>
        <v>0.0</v>
      </c>
      <c r="H689" s="10">
        <f>IF(F689=0,"n/a (zero denom)",G689/ABS(F689))</f>
        <v>0.0</v>
      </c>
      <c r="I689" s="10">
        <f>'Tolerances'!$B$13</f>
        <v>0.005</v>
      </c>
      <c r="J689" s="15" t="str">
        <f>IF(F689=0,IF(G689&lt;=0.000001,"PASS","FAIL"),IF(H689&lt;=I689,"PASS","FAIL"))</f>
        <v>PASS</v>
      </c>
      <c r="K689" t="inlineStr">
        <is>
          <t xml:space="preserve"/>
        </is>
      </c>
    </row>
    <row r="690">
      <c r="A690" t="inlineStr">
        <is>
          <t xml:space="preserve">VZ</t>
        </is>
      </c>
      <c r="B690" t="inlineStr">
        <is>
          <t xml:space="preserve">Table 1 -- WACC</t>
        </is>
      </c>
      <c r="C690" t="inlineStr">
        <is>
          <t xml:space="preserve">WACC=7.5000%</t>
        </is>
      </c>
      <c r="D690" t="inlineStr">
        <is>
          <t xml:space="preserve">Terminal Value</t>
        </is>
      </c>
      <c r="E690" s="6">
        <v>457073484228.4709</v>
      </c>
      <c r="F690" s="6">
        <v>457073484228.4709</v>
      </c>
      <c r="G690" s="11">
        <f>ABS(E690-F690)</f>
        <v>0.0</v>
      </c>
      <c r="H690" s="10">
        <f>IF(F690=0,"n/a (zero denom)",G690/ABS(F690))</f>
        <v>0.0</v>
      </c>
      <c r="I690" s="10">
        <f>'Tolerances'!$B$7</f>
        <v>0.002</v>
      </c>
      <c r="J690" s="15" t="str">
        <f>IF(F690=0,IF(G690&lt;=0.000001,"PASS","FAIL"),IF(H690&lt;=I690,"PASS","FAIL"))</f>
        <v>PASS</v>
      </c>
      <c r="K690" t="inlineStr">
        <is>
          <t xml:space="preserve"/>
        </is>
      </c>
    </row>
    <row r="691">
      <c r="A691" t="inlineStr">
        <is>
          <t xml:space="preserve">VZ</t>
        </is>
      </c>
      <c r="B691" t="inlineStr">
        <is>
          <t xml:space="preserve">Table 1 -- WACC</t>
        </is>
      </c>
      <c r="C691" t="inlineStr">
        <is>
          <t xml:space="preserve">WACC=7.5000%</t>
        </is>
      </c>
      <c r="D691" t="inlineStr">
        <is>
          <t xml:space="preserve">Enterprise Value</t>
        </is>
      </c>
      <c r="E691" s="6">
        <v>406978316291.96436</v>
      </c>
      <c r="F691" s="6">
        <v>406978316291.96436</v>
      </c>
      <c r="G691" s="11">
        <f>ABS(E691-F691)</f>
        <v>0.0</v>
      </c>
      <c r="H691" s="10">
        <f>IF(F691=0,"n/a (zero denom)",G691/ABS(F691))</f>
        <v>0.0</v>
      </c>
      <c r="I691" s="10">
        <f>'Tolerances'!$B$10</f>
        <v>0.002</v>
      </c>
      <c r="J691" s="15" t="str">
        <f>IF(F691=0,IF(G691&lt;=0.000001,"PASS","FAIL"),IF(H691&lt;=I691,"PASS","FAIL"))</f>
        <v>PASS</v>
      </c>
      <c r="K691" t="inlineStr">
        <is>
          <t xml:space="preserve"/>
        </is>
      </c>
    </row>
    <row r="692">
      <c r="A692" t="inlineStr">
        <is>
          <t xml:space="preserve">VZ</t>
        </is>
      </c>
      <c r="B692" t="inlineStr">
        <is>
          <t xml:space="preserve">Table 1 -- WACC</t>
        </is>
      </c>
      <c r="C692" t="inlineStr">
        <is>
          <t xml:space="preserve">WACC=7.5000%</t>
        </is>
      </c>
      <c r="D692" t="inlineStr">
        <is>
          <t xml:space="preserve">Equity Value</t>
        </is>
      </c>
      <c r="E692" s="6">
        <v>267876316291.96436</v>
      </c>
      <c r="F692" s="6">
        <v>267876316291.96436</v>
      </c>
      <c r="G692" s="11">
        <f>ABS(E692-F692)</f>
        <v>0.0</v>
      </c>
      <c r="H692" s="10">
        <f>IF(F692=0,"n/a (zero denom)",G692/ABS(F692))</f>
        <v>0.0</v>
      </c>
      <c r="I692" s="10">
        <f>'Tolerances'!$B$11</f>
        <v>0.002</v>
      </c>
      <c r="J692" s="15" t="str">
        <f>IF(F692=0,IF(G692&lt;=0.000001,"PASS","FAIL"),IF(H692&lt;=I692,"PASS","FAIL"))</f>
        <v>PASS</v>
      </c>
      <c r="K692" t="inlineStr">
        <is>
          <t xml:space="preserve"/>
        </is>
      </c>
    </row>
    <row r="693">
      <c r="A693" t="inlineStr">
        <is>
          <t xml:space="preserve">VZ</t>
        </is>
      </c>
      <c r="B693" t="inlineStr">
        <is>
          <t xml:space="preserve">Table 1 -- WACC</t>
        </is>
      </c>
      <c r="C693" t="inlineStr">
        <is>
          <t xml:space="preserve">WACC=7.5000%</t>
        </is>
      </c>
      <c r="D693" t="inlineStr">
        <is>
          <t xml:space="preserve">Intrinsic Value per Share</t>
        </is>
      </c>
      <c r="E693" s="7">
        <v>64.4743225007735</v>
      </c>
      <c r="F693" s="7">
        <v>64.4743225007735</v>
      </c>
      <c r="G693" s="12">
        <f>ABS(E693-F693)</f>
        <v>0.0</v>
      </c>
      <c r="H693" s="10">
        <f>IF(F693=0,"n/a (zero denom)",G693/ABS(F693))</f>
        <v>0.0</v>
      </c>
      <c r="I693" s="10">
        <f>'Tolerances'!$B$13</f>
        <v>0.005</v>
      </c>
      <c r="J693" s="15" t="str">
        <f>IF(F693=0,IF(G693&lt;=0.000001,"PASS","FAIL"),IF(H693&lt;=I693,"PASS","FAIL"))</f>
        <v>PASS</v>
      </c>
      <c r="K693" t="inlineStr">
        <is>
          <t xml:space="preserve"/>
        </is>
      </c>
    </row>
    <row r="694">
      <c r="A694" t="inlineStr">
        <is>
          <t xml:space="preserve">VZ</t>
        </is>
      </c>
      <c r="B694" t="inlineStr">
        <is>
          <t xml:space="preserve">Table 1 -- WACC</t>
        </is>
      </c>
      <c r="C694" t="inlineStr">
        <is>
          <t xml:space="preserve">WACC=10.0000%</t>
        </is>
      </c>
      <c r="D694" t="inlineStr">
        <is>
          <t xml:space="preserve">Terminal Value</t>
        </is>
      </c>
      <c r="E694" s="6">
        <v>304715656152.31384</v>
      </c>
      <c r="F694" s="6">
        <v>304715656152.31384</v>
      </c>
      <c r="G694" s="11">
        <f>ABS(E694-F694)</f>
        <v>0.0</v>
      </c>
      <c r="H694" s="10">
        <f>IF(F694=0,"n/a (zero denom)",G694/ABS(F694))</f>
        <v>0.0</v>
      </c>
      <c r="I694" s="10">
        <f>'Tolerances'!$B$7</f>
        <v>0.002</v>
      </c>
      <c r="J694" s="15" t="str">
        <f>IF(F694=0,IF(G694&lt;=0.000001,"PASS","FAIL"),IF(H694&lt;=I694,"PASS","FAIL"))</f>
        <v>PASS</v>
      </c>
      <c r="K694" t="inlineStr">
        <is>
          <t xml:space="preserve"/>
        </is>
      </c>
    </row>
    <row r="695">
      <c r="A695" t="inlineStr">
        <is>
          <t xml:space="preserve">VZ</t>
        </is>
      </c>
      <c r="B695" t="inlineStr">
        <is>
          <t xml:space="preserve">Table 1 -- WACC</t>
        </is>
      </c>
      <c r="C695" t="inlineStr">
        <is>
          <t xml:space="preserve">WACC=10.0000%</t>
        </is>
      </c>
      <c r="D695" t="inlineStr">
        <is>
          <t xml:space="preserve">Enterprise Value</t>
        </is>
      </c>
      <c r="E695" s="6">
        <v>272186076899.82446</v>
      </c>
      <c r="F695" s="6">
        <v>272186076899.82446</v>
      </c>
      <c r="G695" s="11">
        <f>ABS(E695-F695)</f>
        <v>0.0</v>
      </c>
      <c r="H695" s="10">
        <f>IF(F695=0,"n/a (zero denom)",G695/ABS(F695))</f>
        <v>0.0</v>
      </c>
      <c r="I695" s="10">
        <f>'Tolerances'!$B$10</f>
        <v>0.002</v>
      </c>
      <c r="J695" s="15" t="str">
        <f>IF(F695=0,IF(G695&lt;=0.000001,"PASS","FAIL"),IF(H695&lt;=I695,"PASS","FAIL"))</f>
        <v>PASS</v>
      </c>
      <c r="K695" t="inlineStr">
        <is>
          <t xml:space="preserve"/>
        </is>
      </c>
    </row>
    <row r="696">
      <c r="A696" t="inlineStr">
        <is>
          <t xml:space="preserve">VZ</t>
        </is>
      </c>
      <c r="B696" t="inlineStr">
        <is>
          <t xml:space="preserve">Table 1 -- WACC</t>
        </is>
      </c>
      <c r="C696" t="inlineStr">
        <is>
          <t xml:space="preserve">WACC=10.0000%</t>
        </is>
      </c>
      <c r="D696" t="inlineStr">
        <is>
          <t xml:space="preserve">Equity Value</t>
        </is>
      </c>
      <c r="E696" s="6">
        <v>133084076899.82446</v>
      </c>
      <c r="F696" s="6">
        <v>133084076899.82446</v>
      </c>
      <c r="G696" s="11">
        <f>ABS(E696-F696)</f>
        <v>0.0</v>
      </c>
      <c r="H696" s="10">
        <f>IF(F696=0,"n/a (zero denom)",G696/ABS(F696))</f>
        <v>0.0</v>
      </c>
      <c r="I696" s="10">
        <f>'Tolerances'!$B$11</f>
        <v>0.002</v>
      </c>
      <c r="J696" s="15" t="str">
        <f>IF(F696=0,IF(G696&lt;=0.000001,"PASS","FAIL"),IF(H696&lt;=I696,"PASS","FAIL"))</f>
        <v>PASS</v>
      </c>
      <c r="K696" t="inlineStr">
        <is>
          <t xml:space="preserve"/>
        </is>
      </c>
    </row>
    <row r="697">
      <c r="A697" t="inlineStr">
        <is>
          <t xml:space="preserve">VZ</t>
        </is>
      </c>
      <c r="B697" t="inlineStr">
        <is>
          <t xml:space="preserve">Table 1 -- WACC</t>
        </is>
      </c>
      <c r="C697" t="inlineStr">
        <is>
          <t xml:space="preserve">WACC=10.0000%</t>
        </is>
      </c>
      <c r="D697" t="inlineStr">
        <is>
          <t xml:space="preserve">Intrinsic Value per Share</t>
        </is>
      </c>
      <c r="E697" s="7">
        <v>32.03159507541137</v>
      </c>
      <c r="F697" s="7">
        <v>32.03159507541137</v>
      </c>
      <c r="G697" s="12">
        <f>ABS(E697-F697)</f>
        <v>0.0</v>
      </c>
      <c r="H697" s="10">
        <f>IF(F697=0,"n/a (zero denom)",G697/ABS(F697))</f>
        <v>0.0</v>
      </c>
      <c r="I697" s="10">
        <f>'Tolerances'!$B$13</f>
        <v>0.005</v>
      </c>
      <c r="J697" s="15" t="str">
        <f>IF(F697=0,IF(G697&lt;=0.000001,"PASS","FAIL"),IF(H697&lt;=I697,"PASS","FAIL"))</f>
        <v>PASS</v>
      </c>
      <c r="K697" t="inlineStr">
        <is>
          <t xml:space="preserve"/>
        </is>
      </c>
    </row>
    <row r="698">
      <c r="A698" t="inlineStr">
        <is>
          <t xml:space="preserve">VZ</t>
        </is>
      </c>
      <c r="B698" t="inlineStr">
        <is>
          <t xml:space="preserve">Table 1 -- WACC</t>
        </is>
      </c>
      <c r="C698" t="inlineStr">
        <is>
          <t xml:space="preserve">WACC=12.5000%</t>
        </is>
      </c>
      <c r="D698" t="inlineStr">
        <is>
          <t xml:space="preserve">Terminal Value</t>
        </is>
      </c>
      <c r="E698" s="6">
        <v>228536742114.2354</v>
      </c>
      <c r="F698" s="6">
        <v>228536742114.2354</v>
      </c>
      <c r="G698" s="11">
        <f>ABS(E698-F698)</f>
        <v>0.0</v>
      </c>
      <c r="H698" s="10">
        <f>IF(F698=0,"n/a (zero denom)",G698/ABS(F698))</f>
        <v>0.0</v>
      </c>
      <c r="I698" s="10">
        <f>'Tolerances'!$B$7</f>
        <v>0.002</v>
      </c>
      <c r="J698" s="15" t="str">
        <f>IF(F698=0,IF(G698&lt;=0.000001,"PASS","FAIL"),IF(H698&lt;=I698,"PASS","FAIL"))</f>
        <v>PASS</v>
      </c>
      <c r="K698" t="inlineStr">
        <is>
          <t xml:space="preserve"/>
        </is>
      </c>
    </row>
    <row r="699">
      <c r="A699" t="inlineStr">
        <is>
          <t xml:space="preserve">VZ</t>
        </is>
      </c>
      <c r="B699" t="inlineStr">
        <is>
          <t xml:space="preserve">Table 1 -- WACC</t>
        </is>
      </c>
      <c r="C699" t="inlineStr">
        <is>
          <t xml:space="preserve">WACC=12.5000%</t>
        </is>
      </c>
      <c r="D699" t="inlineStr">
        <is>
          <t xml:space="preserve">Enterprise Value</t>
        </is>
      </c>
      <c r="E699" s="6">
        <v>204734623829.54303</v>
      </c>
      <c r="F699" s="6">
        <v>204734623829.54303</v>
      </c>
      <c r="G699" s="11">
        <f>ABS(E699-F699)</f>
        <v>0.0</v>
      </c>
      <c r="H699" s="10">
        <f>IF(F699=0,"n/a (zero denom)",G699/ABS(F699))</f>
        <v>0.0</v>
      </c>
      <c r="I699" s="10">
        <f>'Tolerances'!$B$10</f>
        <v>0.002</v>
      </c>
      <c r="J699" s="15" t="str">
        <f>IF(F699=0,IF(G699&lt;=0.000001,"PASS","FAIL"),IF(H699&lt;=I699,"PASS","FAIL"))</f>
        <v>PASS</v>
      </c>
      <c r="K699" t="inlineStr">
        <is>
          <t xml:space="preserve"/>
        </is>
      </c>
    </row>
    <row r="700">
      <c r="A700" t="inlineStr">
        <is>
          <t xml:space="preserve">VZ</t>
        </is>
      </c>
      <c r="B700" t="inlineStr">
        <is>
          <t xml:space="preserve">Table 1 -- WACC</t>
        </is>
      </c>
      <c r="C700" t="inlineStr">
        <is>
          <t xml:space="preserve">WACC=12.5000%</t>
        </is>
      </c>
      <c r="D700" t="inlineStr">
        <is>
          <t xml:space="preserve">Equity Value</t>
        </is>
      </c>
      <c r="E700" s="6">
        <v>65632623829.54303</v>
      </c>
      <c r="F700" s="6">
        <v>65632623829.54303</v>
      </c>
      <c r="G700" s="11">
        <f>ABS(E700-F700)</f>
        <v>0.0</v>
      </c>
      <c r="H700" s="10">
        <f>IF(F700=0,"n/a (zero denom)",G700/ABS(F700))</f>
        <v>0.0</v>
      </c>
      <c r="I700" s="10">
        <f>'Tolerances'!$B$11</f>
        <v>0.002</v>
      </c>
      <c r="J700" s="15" t="str">
        <f>IF(F700=0,IF(G700&lt;=0.000001,"PASS","FAIL"),IF(H700&lt;=I700,"PASS","FAIL"))</f>
        <v>PASS</v>
      </c>
      <c r="K700" t="inlineStr">
        <is>
          <t xml:space="preserve"/>
        </is>
      </c>
    </row>
    <row r="701">
      <c r="A701" t="inlineStr">
        <is>
          <t xml:space="preserve">VZ</t>
        </is>
      </c>
      <c r="B701" t="inlineStr">
        <is>
          <t xml:space="preserve">Table 1 -- WACC</t>
        </is>
      </c>
      <c r="C701" t="inlineStr">
        <is>
          <t xml:space="preserve">WACC=12.5000%</t>
        </is>
      </c>
      <c r="D701" t="inlineStr">
        <is>
          <t xml:space="preserve">Intrinsic Value per Share</t>
        </is>
      </c>
      <c r="E701" s="7">
        <v>15.796913343939572</v>
      </c>
      <c r="F701" s="7">
        <v>15.796913343939572</v>
      </c>
      <c r="G701" s="12">
        <f>ABS(E701-F701)</f>
        <v>0.0</v>
      </c>
      <c r="H701" s="10">
        <f>IF(F701=0,"n/a (zero denom)",G701/ABS(F701))</f>
        <v>0.0</v>
      </c>
      <c r="I701" s="10">
        <f>'Tolerances'!$B$13</f>
        <v>0.005</v>
      </c>
      <c r="J701" s="15" t="str">
        <f>IF(F701=0,IF(G701&lt;=0.000001,"PASS","FAIL"),IF(H701&lt;=I701,"PASS","FAIL"))</f>
        <v>PASS</v>
      </c>
      <c r="K701" t="inlineStr">
        <is>
          <t xml:space="preserve"/>
        </is>
      </c>
    </row>
    <row r="702">
      <c r="A702" t="inlineStr">
        <is>
          <t xml:space="preserve">VZ</t>
        </is>
      </c>
      <c r="B702" t="inlineStr">
        <is>
          <t xml:space="preserve">Table 1 -- WACC</t>
        </is>
      </c>
      <c r="C702" t="inlineStr">
        <is>
          <t xml:space="preserve">WACC=15.0000%</t>
        </is>
      </c>
      <c r="D702" t="inlineStr">
        <is>
          <t xml:space="preserve">Terminal Value</t>
        </is>
      </c>
      <c r="E702" s="6">
        <v>182829393691.38834</v>
      </c>
      <c r="F702" s="6">
        <v>182829393691.38834</v>
      </c>
      <c r="G702" s="11">
        <f>ABS(E702-F702)</f>
        <v>0.0</v>
      </c>
      <c r="H702" s="10">
        <f>IF(F702=0,"n/a (zero denom)",G702/ABS(F702))</f>
        <v>0.0</v>
      </c>
      <c r="I702" s="10">
        <f>'Tolerances'!$B$7</f>
        <v>0.002</v>
      </c>
      <c r="J702" s="15" t="str">
        <f>IF(F702=0,IF(G702&lt;=0.000001,"PASS","FAIL"),IF(H702&lt;=I702,"PASS","FAIL"))</f>
        <v>PASS</v>
      </c>
      <c r="K702" t="inlineStr">
        <is>
          <t xml:space="preserve"/>
        </is>
      </c>
    </row>
    <row r="703">
      <c r="A703" t="inlineStr">
        <is>
          <t xml:space="preserve">VZ</t>
        </is>
      </c>
      <c r="B703" t="inlineStr">
        <is>
          <t xml:space="preserve">Table 1 -- WACC</t>
        </is>
      </c>
      <c r="C703" t="inlineStr">
        <is>
          <t xml:space="preserve">WACC=15.0000%</t>
        </is>
      </c>
      <c r="D703" t="inlineStr">
        <is>
          <t xml:space="preserve">Enterprise Value</t>
        </is>
      </c>
      <c r="E703" s="6">
        <v>164224343265.81036</v>
      </c>
      <c r="F703" s="6">
        <v>164224343265.81036</v>
      </c>
      <c r="G703" s="11">
        <f>ABS(E703-F703)</f>
        <v>0.0</v>
      </c>
      <c r="H703" s="10">
        <f>IF(F703=0,"n/a (zero denom)",G703/ABS(F703))</f>
        <v>0.0</v>
      </c>
      <c r="I703" s="10">
        <f>'Tolerances'!$B$10</f>
        <v>0.002</v>
      </c>
      <c r="J703" s="15" t="str">
        <f>IF(F703=0,IF(G703&lt;=0.000001,"PASS","FAIL"),IF(H703&lt;=I703,"PASS","FAIL"))</f>
        <v>PASS</v>
      </c>
      <c r="K703" t="inlineStr">
        <is>
          <t xml:space="preserve"/>
        </is>
      </c>
    </row>
    <row r="704">
      <c r="A704" t="inlineStr">
        <is>
          <t xml:space="preserve">VZ</t>
        </is>
      </c>
      <c r="B704" t="inlineStr">
        <is>
          <t xml:space="preserve">Table 1 -- WACC</t>
        </is>
      </c>
      <c r="C704" t="inlineStr">
        <is>
          <t xml:space="preserve">WACC=15.0000%</t>
        </is>
      </c>
      <c r="D704" t="inlineStr">
        <is>
          <t xml:space="preserve">Equity Value</t>
        </is>
      </c>
      <c r="E704" s="6">
        <v>25122343265.810364</v>
      </c>
      <c r="F704" s="6">
        <v>25122343265.810364</v>
      </c>
      <c r="G704" s="11">
        <f>ABS(E704-F704)</f>
        <v>0.0</v>
      </c>
      <c r="H704" s="10">
        <f>IF(F704=0,"n/a (zero denom)",G704/ABS(F704))</f>
        <v>0.0</v>
      </c>
      <c r="I704" s="10">
        <f>'Tolerances'!$B$11</f>
        <v>0.002</v>
      </c>
      <c r="J704" s="15" t="str">
        <f>IF(F704=0,IF(G704&lt;=0.000001,"PASS","FAIL"),IF(H704&lt;=I704,"PASS","FAIL"))</f>
        <v>PASS</v>
      </c>
      <c r="K704" t="inlineStr">
        <is>
          <t xml:space="preserve"/>
        </is>
      </c>
    </row>
    <row r="705">
      <c r="A705" t="inlineStr">
        <is>
          <t xml:space="preserve">VZ</t>
        </is>
      </c>
      <c r="B705" t="inlineStr">
        <is>
          <t xml:space="preserve">Table 1 -- WACC</t>
        </is>
      </c>
      <c r="C705" t="inlineStr">
        <is>
          <t xml:space="preserve">WACC=15.0000%</t>
        </is>
      </c>
      <c r="D705" t="inlineStr">
        <is>
          <t xml:space="preserve">Intrinsic Value per Share</t>
        </is>
      </c>
      <c r="E705" s="7">
        <v>6.04661914168476</v>
      </c>
      <c r="F705" s="7">
        <v>6.04661914168476</v>
      </c>
      <c r="G705" s="12">
        <f>ABS(E705-F705)</f>
        <v>0.0</v>
      </c>
      <c r="H705" s="10">
        <f>IF(F705=0,"n/a (zero denom)",G705/ABS(F705))</f>
        <v>0.0</v>
      </c>
      <c r="I705" s="10">
        <f>'Tolerances'!$B$13</f>
        <v>0.005</v>
      </c>
      <c r="J705" s="15" t="str">
        <f>IF(F705=0,IF(G705&lt;=0.000001,"PASS","FAIL"),IF(H705&lt;=I705,"PASS","FAIL"))</f>
        <v>PASS</v>
      </c>
      <c r="K705" t="inlineStr">
        <is>
          <t xml:space="preserve"/>
        </is>
      </c>
    </row>
    <row r="706">
      <c r="A706" t="inlineStr">
        <is>
          <t xml:space="preserve">VZ</t>
        </is>
      </c>
      <c r="B706" t="inlineStr">
        <is>
          <t xml:space="preserve">Table 1 -- WACC</t>
        </is>
      </c>
      <c r="C706" t="inlineStr">
        <is>
          <t xml:space="preserve">WACC=17.5000%</t>
        </is>
      </c>
      <c r="D706" t="inlineStr">
        <is>
          <t xml:space="preserve">Terminal Value</t>
        </is>
      </c>
      <c r="E706" s="6">
        <v>152357828076.15695</v>
      </c>
      <c r="F706" s="6">
        <v>152357828076.15695</v>
      </c>
      <c r="G706" s="11">
        <f>ABS(E706-F706)</f>
        <v>0.0</v>
      </c>
      <c r="H706" s="10">
        <f>IF(F706=0,"n/a (zero denom)",G706/ABS(F706))</f>
        <v>0.0</v>
      </c>
      <c r="I706" s="10">
        <f>'Tolerances'!$B$7</f>
        <v>0.002</v>
      </c>
      <c r="J706" s="15" t="str">
        <f>IF(F706=0,IF(G706&lt;=0.000001,"PASS","FAIL"),IF(H706&lt;=I706,"PASS","FAIL"))</f>
        <v>PASS</v>
      </c>
      <c r="K706" t="inlineStr">
        <is>
          <t xml:space="preserve"/>
        </is>
      </c>
    </row>
    <row r="707">
      <c r="A707" t="inlineStr">
        <is>
          <t xml:space="preserve">VZ</t>
        </is>
      </c>
      <c r="B707" t="inlineStr">
        <is>
          <t xml:space="preserve">Table 1 -- WACC</t>
        </is>
      </c>
      <c r="C707" t="inlineStr">
        <is>
          <t xml:space="preserve">WACC=17.5000%</t>
        </is>
      </c>
      <c r="D707" t="inlineStr">
        <is>
          <t xml:space="preserve">Enterprise Value</t>
        </is>
      </c>
      <c r="E707" s="6">
        <v>137188165809.37946</v>
      </c>
      <c r="F707" s="6">
        <v>137188165809.37946</v>
      </c>
      <c r="G707" s="11">
        <f>ABS(E707-F707)</f>
        <v>0.0</v>
      </c>
      <c r="H707" s="10">
        <f>IF(F707=0,"n/a (zero denom)",G707/ABS(F707))</f>
        <v>0.0</v>
      </c>
      <c r="I707" s="10">
        <f>'Tolerances'!$B$10</f>
        <v>0.002</v>
      </c>
      <c r="J707" s="15" t="str">
        <f>IF(F707=0,IF(G707&lt;=0.000001,"PASS","FAIL"),IF(H707&lt;=I707,"PASS","FAIL"))</f>
        <v>PASS</v>
      </c>
      <c r="K707" t="inlineStr">
        <is>
          <t xml:space="preserve"/>
        </is>
      </c>
    </row>
    <row r="708">
      <c r="A708" t="inlineStr">
        <is>
          <t xml:space="preserve">VZ</t>
        </is>
      </c>
      <c r="B708" t="inlineStr">
        <is>
          <t xml:space="preserve">Table 1 -- WACC</t>
        </is>
      </c>
      <c r="C708" t="inlineStr">
        <is>
          <t xml:space="preserve">WACC=17.5000%</t>
        </is>
      </c>
      <c r="D708" t="inlineStr">
        <is>
          <t xml:space="preserve">Equity Value</t>
        </is>
      </c>
      <c r="E708" s="6">
        <v>-1913834190.6205444</v>
      </c>
      <c r="F708" s="6">
        <v>-1913834190.6205444</v>
      </c>
      <c r="G708" s="11">
        <f>ABS(E708-F708)</f>
        <v>0.0</v>
      </c>
      <c r="H708" s="10">
        <f>IF(F708=0,"n/a (zero denom)",G708/ABS(F708))</f>
        <v>0.0</v>
      </c>
      <c r="I708" s="10">
        <f>'Tolerances'!$B$11</f>
        <v>0.002</v>
      </c>
      <c r="J708" s="15" t="str">
        <f>IF(F708=0,IF(G708&lt;=0.000001,"PASS","FAIL"),IF(H708&lt;=I708,"PASS","FAIL"))</f>
        <v>PASS</v>
      </c>
      <c r="K708" t="inlineStr">
        <is>
          <t xml:space="preserve"/>
        </is>
      </c>
    </row>
    <row r="709">
      <c r="A709" t="inlineStr">
        <is>
          <t xml:space="preserve">VZ</t>
        </is>
      </c>
      <c r="B709" t="inlineStr">
        <is>
          <t xml:space="preserve">Table 1 -- WACC</t>
        </is>
      </c>
      <c r="C709" t="inlineStr">
        <is>
          <t xml:space="preserve">WACC=17.5000%</t>
        </is>
      </c>
      <c r="D709" t="inlineStr">
        <is>
          <t xml:space="preserve">Intrinsic Value per Share</t>
        </is>
      </c>
      <c r="E709" s="7">
        <v>-0.4606348352371206</v>
      </c>
      <c r="F709" s="7">
        <v>-0.4606348352371206</v>
      </c>
      <c r="G709" s="12">
        <f>ABS(E709-F709)</f>
        <v>0.0</v>
      </c>
      <c r="H709" s="10">
        <f>IF(F709=0,"n/a (zero denom)",G709/ABS(F709))</f>
        <v>0.0</v>
      </c>
      <c r="I709" s="10">
        <f>'Tolerances'!$B$13</f>
        <v>0.005</v>
      </c>
      <c r="J709" s="15" t="str">
        <f>IF(F709=0,IF(G709&lt;=0.000001,"PASS","FAIL"),IF(H709&lt;=I709,"PASS","FAIL"))</f>
        <v>PASS</v>
      </c>
      <c r="K709" t="inlineStr">
        <is>
          <t xml:space="preserve"/>
        </is>
      </c>
    </row>
    <row r="710">
      <c r="A710" t="inlineStr">
        <is>
          <t xml:space="preserve">VZ</t>
        </is>
      </c>
      <c r="B710" t="inlineStr">
        <is>
          <t xml:space="preserve">Table 1 -- WACC</t>
        </is>
      </c>
      <c r="C710" t="inlineStr">
        <is>
          <t xml:space="preserve">WACC=20.0000%</t>
        </is>
      </c>
      <c r="D710" t="inlineStr">
        <is>
          <t xml:space="preserve">Terminal Value</t>
        </is>
      </c>
      <c r="E710" s="6">
        <v>130592424065.27737</v>
      </c>
      <c r="F710" s="6">
        <v>130592424065.27737</v>
      </c>
      <c r="G710" s="11">
        <f>ABS(E710-F710)</f>
        <v>0.0</v>
      </c>
      <c r="H710" s="10">
        <f>IF(F710=0,"n/a (zero denom)",G710/ABS(F710))</f>
        <v>0.0</v>
      </c>
      <c r="I710" s="10">
        <f>'Tolerances'!$B$7</f>
        <v>0.002</v>
      </c>
      <c r="J710" s="15" t="str">
        <f>IF(F710=0,IF(G710&lt;=0.000001,"PASS","FAIL"),IF(H710&lt;=I710,"PASS","FAIL"))</f>
        <v>PASS</v>
      </c>
      <c r="K710" t="inlineStr">
        <is>
          <t xml:space="preserve"/>
        </is>
      </c>
    </row>
    <row r="711">
      <c r="A711" t="inlineStr">
        <is>
          <t xml:space="preserve">VZ</t>
        </is>
      </c>
      <c r="B711" t="inlineStr">
        <is>
          <t xml:space="preserve">Table 1 -- WACC</t>
        </is>
      </c>
      <c r="C711" t="inlineStr">
        <is>
          <t xml:space="preserve">WACC=20.0000%</t>
        </is>
      </c>
      <c r="D711" t="inlineStr">
        <is>
          <t xml:space="preserve">Enterprise Value</t>
        </is>
      </c>
      <c r="E711" s="6">
        <v>117854103491.64014</v>
      </c>
      <c r="F711" s="6">
        <v>117854103491.64014</v>
      </c>
      <c r="G711" s="11">
        <f>ABS(E711-F711)</f>
        <v>0.0</v>
      </c>
      <c r="H711" s="10">
        <f>IF(F711=0,"n/a (zero denom)",G711/ABS(F711))</f>
        <v>0.0</v>
      </c>
      <c r="I711" s="10">
        <f>'Tolerances'!$B$10</f>
        <v>0.002</v>
      </c>
      <c r="J711" s="15" t="str">
        <f>IF(F711=0,IF(G711&lt;=0.000001,"PASS","FAIL"),IF(H711&lt;=I711,"PASS","FAIL"))</f>
        <v>PASS</v>
      </c>
      <c r="K711" t="inlineStr">
        <is>
          <t xml:space="preserve"/>
        </is>
      </c>
    </row>
    <row r="712">
      <c r="A712" t="inlineStr">
        <is>
          <t xml:space="preserve">VZ</t>
        </is>
      </c>
      <c r="B712" t="inlineStr">
        <is>
          <t xml:space="preserve">Table 1 -- WACC</t>
        </is>
      </c>
      <c r="C712" t="inlineStr">
        <is>
          <t xml:space="preserve">WACC=20.0000%</t>
        </is>
      </c>
      <c r="D712" t="inlineStr">
        <is>
          <t xml:space="preserve">Equity Value</t>
        </is>
      </c>
      <c r="E712" s="6">
        <v>-21247896508.359863</v>
      </c>
      <c r="F712" s="6">
        <v>-21247896508.359863</v>
      </c>
      <c r="G712" s="11">
        <f>ABS(E712-F712)</f>
        <v>0.0</v>
      </c>
      <c r="H712" s="10">
        <f>IF(F712=0,"n/a (zero denom)",G712/ABS(F712))</f>
        <v>0.0</v>
      </c>
      <c r="I712" s="10">
        <f>'Tolerances'!$B$11</f>
        <v>0.002</v>
      </c>
      <c r="J712" s="15" t="str">
        <f>IF(F712=0,IF(G712&lt;=0.000001,"PASS","FAIL"),IF(H712&lt;=I712,"PASS","FAIL"))</f>
        <v>PASS</v>
      </c>
      <c r="K712" t="inlineStr">
        <is>
          <t xml:space="preserve"/>
        </is>
      </c>
    </row>
    <row r="713">
      <c r="A713" t="inlineStr">
        <is>
          <t xml:space="preserve">VZ</t>
        </is>
      </c>
      <c r="B713" t="inlineStr">
        <is>
          <t xml:space="preserve">Table 1 -- WACC</t>
        </is>
      </c>
      <c r="C713" t="inlineStr">
        <is>
          <t xml:space="preserve">WACC=20.0000%</t>
        </is>
      </c>
      <c r="D713" t="inlineStr">
        <is>
          <t xml:space="preserve">Intrinsic Value per Share</t>
        </is>
      </c>
      <c r="E713" s="7">
        <v>-5.114090528443436</v>
      </c>
      <c r="F713" s="7">
        <v>-5.114090528443436</v>
      </c>
      <c r="G713" s="12">
        <f>ABS(E713-F713)</f>
        <v>0.0</v>
      </c>
      <c r="H713" s="10">
        <f>IF(F713=0,"n/a (zero denom)",G713/ABS(F713))</f>
        <v>0.0</v>
      </c>
      <c r="I713" s="10">
        <f>'Tolerances'!$B$13</f>
        <v>0.005</v>
      </c>
      <c r="J713" s="15" t="str">
        <f>IF(F713=0,IF(G713&lt;=0.000001,"PASS","FAIL"),IF(H713&lt;=I713,"PASS","FAIL"))</f>
        <v>PASS</v>
      </c>
      <c r="K713" t="inlineStr">
        <is>
          <t xml:space="preserve"/>
        </is>
      </c>
    </row>
    <row r="714">
      <c r="A714" t="inlineStr">
        <is>
          <t xml:space="preserve">VZ</t>
        </is>
      </c>
      <c r="B714" t="inlineStr">
        <is>
          <t xml:space="preserve">Table 2 -- Terminal growth</t>
        </is>
      </c>
      <c r="C714" t="inlineStr">
        <is>
          <t xml:space="preserve">g=0.0000%</t>
        </is>
      </c>
      <c r="D714" t="inlineStr">
        <is>
          <t xml:space="preserve">Terminal Value</t>
        </is>
      </c>
      <c r="E714" s="6">
        <v>445925350466.80084</v>
      </c>
      <c r="F714" s="6">
        <v>445925350466.80084</v>
      </c>
      <c r="G714" s="11">
        <f>ABS(E714-F714)</f>
        <v>0.0</v>
      </c>
      <c r="H714" s="10">
        <f>IF(F714=0,"n/a (zero denom)",G714/ABS(F714))</f>
        <v>0.0</v>
      </c>
      <c r="I714" s="10">
        <f>'Tolerances'!$B$7</f>
        <v>0.002</v>
      </c>
      <c r="J714" s="15" t="str">
        <f>IF(F714=0,IF(G714&lt;=0.000001,"PASS","FAIL"),IF(H714&lt;=I714,"PASS","FAIL"))</f>
        <v>PASS</v>
      </c>
      <c r="K714" t="inlineStr">
        <is>
          <t xml:space="preserve"/>
        </is>
      </c>
    </row>
    <row r="715">
      <c r="A715" t="inlineStr">
        <is>
          <t xml:space="preserve">VZ</t>
        </is>
      </c>
      <c r="B715" t="inlineStr">
        <is>
          <t xml:space="preserve">Table 2 -- Terminal growth</t>
        </is>
      </c>
      <c r="C715" t="inlineStr">
        <is>
          <t xml:space="preserve">g=0.0000%</t>
        </is>
      </c>
      <c r="D715" t="inlineStr">
        <is>
          <t xml:space="preserve">Enterprise Value</t>
        </is>
      </c>
      <c r="E715" s="6">
        <v>444241751222.1942</v>
      </c>
      <c r="F715" s="6">
        <v>444241751222.1942</v>
      </c>
      <c r="G715" s="11">
        <f>ABS(E715-F715)</f>
        <v>0.0</v>
      </c>
      <c r="H715" s="10">
        <f>IF(F715=0,"n/a (zero denom)",G715/ABS(F715))</f>
        <v>0.0</v>
      </c>
      <c r="I715" s="10">
        <f>'Tolerances'!$B$10</f>
        <v>0.002</v>
      </c>
      <c r="J715" s="15" t="str">
        <f>IF(F715=0,IF(G715&lt;=0.000001,"PASS","FAIL"),IF(H715&lt;=I715,"PASS","FAIL"))</f>
        <v>PASS</v>
      </c>
      <c r="K715" t="inlineStr">
        <is>
          <t xml:space="preserve"/>
        </is>
      </c>
    </row>
    <row r="716">
      <c r="A716" t="inlineStr">
        <is>
          <t xml:space="preserve">VZ</t>
        </is>
      </c>
      <c r="B716" t="inlineStr">
        <is>
          <t xml:space="preserve">Table 2 -- Terminal growth</t>
        </is>
      </c>
      <c r="C716" t="inlineStr">
        <is>
          <t xml:space="preserve">g=0.0000%</t>
        </is>
      </c>
      <c r="D716" t="inlineStr">
        <is>
          <t xml:space="preserve">Equity Value</t>
        </is>
      </c>
      <c r="E716" s="6">
        <v>305139751222.1942</v>
      </c>
      <c r="F716" s="6">
        <v>305139751222.1942</v>
      </c>
      <c r="G716" s="11">
        <f>ABS(E716-F716)</f>
        <v>0.0</v>
      </c>
      <c r="H716" s="10">
        <f>IF(F716=0,"n/a (zero denom)",G716/ABS(F716))</f>
        <v>0.0</v>
      </c>
      <c r="I716" s="10">
        <f>'Tolerances'!$B$11</f>
        <v>0.002</v>
      </c>
      <c r="J716" s="15" t="str">
        <f>IF(F716=0,IF(G716&lt;=0.000001,"PASS","FAIL"),IF(H716&lt;=I716,"PASS","FAIL"))</f>
        <v>PASS</v>
      </c>
      <c r="K716" t="inlineStr">
        <is>
          <t xml:space="preserve"/>
        </is>
      </c>
    </row>
    <row r="717">
      <c r="A717" t="inlineStr">
        <is>
          <t xml:space="preserve">VZ</t>
        </is>
      </c>
      <c r="B717" t="inlineStr">
        <is>
          <t xml:space="preserve">Table 2 -- Terminal growth</t>
        </is>
      </c>
      <c r="C717" t="inlineStr">
        <is>
          <t xml:space="preserve">g=0.0000%</t>
        </is>
      </c>
      <c r="D717" t="inlineStr">
        <is>
          <t xml:space="preserve">Intrinsic Value per Share</t>
        </is>
      </c>
      <c r="E717" s="7">
        <v>73.44314346424999</v>
      </c>
      <c r="F717" s="7">
        <v>73.44314346424999</v>
      </c>
      <c r="G717" s="12">
        <f>ABS(E717-F717)</f>
        <v>0.0</v>
      </c>
      <c r="H717" s="10">
        <f>IF(F717=0,"n/a (zero denom)",G717/ABS(F717))</f>
        <v>0.0</v>
      </c>
      <c r="I717" s="10">
        <f>'Tolerances'!$B$13</f>
        <v>0.005</v>
      </c>
      <c r="J717" s="15" t="str">
        <f>IF(F717=0,IF(G717&lt;=0.000001,"PASS","FAIL"),IF(H717&lt;=I717,"PASS","FAIL"))</f>
        <v>PASS</v>
      </c>
      <c r="K717" t="inlineStr">
        <is>
          <t xml:space="preserve"/>
        </is>
      </c>
    </row>
    <row r="718">
      <c r="A718" t="inlineStr">
        <is>
          <t xml:space="preserve">VZ</t>
        </is>
      </c>
      <c r="B718" t="inlineStr">
        <is>
          <t xml:space="preserve">Table 2 -- Terminal growth</t>
        </is>
      </c>
      <c r="C718" t="inlineStr">
        <is>
          <t xml:space="preserve">g=1.0000%</t>
        </is>
      </c>
      <c r="D718" t="inlineStr">
        <is>
          <t xml:space="preserve">Terminal Value</t>
        </is>
      </c>
      <c r="E718" s="6">
        <v>562980754964.336</v>
      </c>
      <c r="F718" s="6">
        <v>562980754964.336</v>
      </c>
      <c r="G718" s="11">
        <f>ABS(E718-F718)</f>
        <v>0.0</v>
      </c>
      <c r="H718" s="10">
        <f>IF(F718=0,"n/a (zero denom)",G718/ABS(F718))</f>
        <v>0.0</v>
      </c>
      <c r="I718" s="10">
        <f>'Tolerances'!$B$7</f>
        <v>0.002</v>
      </c>
      <c r="J718" s="15" t="str">
        <f>IF(F718=0,IF(G718&lt;=0.000001,"PASS","FAIL"),IF(H718&lt;=I718,"PASS","FAIL"))</f>
        <v>PASS</v>
      </c>
      <c r="K718" t="inlineStr">
        <is>
          <t xml:space="preserve"/>
        </is>
      </c>
    </row>
    <row r="719">
      <c r="A719" t="inlineStr">
        <is>
          <t xml:space="preserve">VZ</t>
        </is>
      </c>
      <c r="B719" t="inlineStr">
        <is>
          <t xml:space="preserve">Table 2 -- Terminal growth</t>
        </is>
      </c>
      <c r="C719" t="inlineStr">
        <is>
          <t xml:space="preserve">g=1.0000%</t>
        </is>
      </c>
      <c r="D719" t="inlineStr">
        <is>
          <t xml:space="preserve">Enterprise Value</t>
        </is>
      </c>
      <c r="E719" s="6">
        <v>535957723572.56274</v>
      </c>
      <c r="F719" s="6">
        <v>535957723572.56274</v>
      </c>
      <c r="G719" s="11">
        <f>ABS(E719-F719)</f>
        <v>0.0</v>
      </c>
      <c r="H719" s="10">
        <f>IF(F719=0,"n/a (zero denom)",G719/ABS(F719))</f>
        <v>0.0</v>
      </c>
      <c r="I719" s="10">
        <f>'Tolerances'!$B$10</f>
        <v>0.002</v>
      </c>
      <c r="J719" s="15" t="str">
        <f>IF(F719=0,IF(G719&lt;=0.000001,"PASS","FAIL"),IF(H719&lt;=I719,"PASS","FAIL"))</f>
        <v>PASS</v>
      </c>
      <c r="K719" t="inlineStr">
        <is>
          <t xml:space="preserve"/>
        </is>
      </c>
    </row>
    <row r="720">
      <c r="A720" t="inlineStr">
        <is>
          <t xml:space="preserve">VZ</t>
        </is>
      </c>
      <c r="B720" t="inlineStr">
        <is>
          <t xml:space="preserve">Table 2 -- Terminal growth</t>
        </is>
      </c>
      <c r="C720" t="inlineStr">
        <is>
          <t xml:space="preserve">g=1.0000%</t>
        </is>
      </c>
      <c r="D720" t="inlineStr">
        <is>
          <t xml:space="preserve">Equity Value</t>
        </is>
      </c>
      <c r="E720" s="6">
        <v>396855723572.56274</v>
      </c>
      <c r="F720" s="6">
        <v>396855723572.56274</v>
      </c>
      <c r="G720" s="11">
        <f>ABS(E720-F720)</f>
        <v>0.0</v>
      </c>
      <c r="H720" s="10">
        <f>IF(F720=0,"n/a (zero denom)",G720/ABS(F720))</f>
        <v>0.0</v>
      </c>
      <c r="I720" s="10">
        <f>'Tolerances'!$B$11</f>
        <v>0.002</v>
      </c>
      <c r="J720" s="15" t="str">
        <f>IF(F720=0,IF(G720&lt;=0.000001,"PASS","FAIL"),IF(H720&lt;=I720,"PASS","FAIL"))</f>
        <v>PASS</v>
      </c>
      <c r="K720" t="inlineStr">
        <is>
          <t xml:space="preserve"/>
        </is>
      </c>
    </row>
    <row r="721">
      <c r="A721" t="inlineStr">
        <is>
          <t xml:space="preserve">VZ</t>
        </is>
      </c>
      <c r="B721" t="inlineStr">
        <is>
          <t xml:space="preserve">Table 2 -- Terminal growth</t>
        </is>
      </c>
      <c r="C721" t="inlineStr">
        <is>
          <t xml:space="preserve">g=1.0000%</t>
        </is>
      </c>
      <c r="D721" t="inlineStr">
        <is>
          <t xml:space="preserve">Intrinsic Value per Share</t>
        </is>
      </c>
      <c r="E721" s="7">
        <v>95.5179773340148</v>
      </c>
      <c r="F721" s="7">
        <v>95.5179773340148</v>
      </c>
      <c r="G721" s="12">
        <f>ABS(E721-F721)</f>
        <v>0.0</v>
      </c>
      <c r="H721" s="10">
        <f>IF(F721=0,"n/a (zero denom)",G721/ABS(F721))</f>
        <v>0.0</v>
      </c>
      <c r="I721" s="10">
        <f>'Tolerances'!$B$13</f>
        <v>0.005</v>
      </c>
      <c r="J721" s="15" t="str">
        <f>IF(F721=0,IF(G721&lt;=0.000001,"PASS","FAIL"),IF(H721&lt;=I721,"PASS","FAIL"))</f>
        <v>PASS</v>
      </c>
      <c r="K721" t="inlineStr">
        <is>
          <t xml:space="preserve"/>
        </is>
      </c>
    </row>
    <row r="722">
      <c r="A722" t="inlineStr">
        <is>
          <t xml:space="preserve">VZ</t>
        </is>
      </c>
      <c r="B722" t="inlineStr">
        <is>
          <t xml:space="preserve">Table 2 -- Terminal growth</t>
        </is>
      </c>
      <c r="C722" t="inlineStr">
        <is>
          <t xml:space="preserve">g=2.0000%</t>
        </is>
      </c>
      <c r="D722" t="inlineStr">
        <is>
          <t xml:space="preserve">Terminal Value</t>
        </is>
      </c>
      <c r="E722" s="6">
        <v>758073095793.5614</v>
      </c>
      <c r="F722" s="6">
        <v>758073095793.5614</v>
      </c>
      <c r="G722" s="11">
        <f>ABS(E722-F722)</f>
        <v>0.0</v>
      </c>
      <c r="H722" s="10">
        <f>IF(F722=0,"n/a (zero denom)",G722/ABS(F722))</f>
        <v>0.0</v>
      </c>
      <c r="I722" s="10">
        <f>'Tolerances'!$B$7</f>
        <v>0.002</v>
      </c>
      <c r="J722" s="15" t="str">
        <f>IF(F722=0,IF(G722&lt;=0.000001,"PASS","FAIL"),IF(H722&lt;=I722,"PASS","FAIL"))</f>
        <v>PASS</v>
      </c>
      <c r="K722" t="inlineStr">
        <is>
          <t xml:space="preserve"/>
        </is>
      </c>
    </row>
    <row r="723">
      <c r="A723" t="inlineStr">
        <is>
          <t xml:space="preserve">VZ</t>
        </is>
      </c>
      <c r="B723" t="inlineStr">
        <is>
          <t xml:space="preserve">Table 2 -- Terminal growth</t>
        </is>
      </c>
      <c r="C723" t="inlineStr">
        <is>
          <t xml:space="preserve">g=2.0000%</t>
        </is>
      </c>
      <c r="D723" t="inlineStr">
        <is>
          <t xml:space="preserve">Enterprise Value</t>
        </is>
      </c>
      <c r="E723" s="6">
        <v>688817677489.8436</v>
      </c>
      <c r="F723" s="6">
        <v>688817677489.8436</v>
      </c>
      <c r="G723" s="11">
        <f>ABS(E723-F723)</f>
        <v>0.0</v>
      </c>
      <c r="H723" s="10">
        <f>IF(F723=0,"n/a (zero denom)",G723/ABS(F723))</f>
        <v>0.0</v>
      </c>
      <c r="I723" s="10">
        <f>'Tolerances'!$B$10</f>
        <v>0.002</v>
      </c>
      <c r="J723" s="15" t="str">
        <f>IF(F723=0,IF(G723&lt;=0.000001,"PASS","FAIL"),IF(H723&lt;=I723,"PASS","FAIL"))</f>
        <v>PASS</v>
      </c>
      <c r="K723" t="inlineStr">
        <is>
          <t xml:space="preserve"/>
        </is>
      </c>
    </row>
    <row r="724">
      <c r="A724" t="inlineStr">
        <is>
          <t xml:space="preserve">VZ</t>
        </is>
      </c>
      <c r="B724" t="inlineStr">
        <is>
          <t xml:space="preserve">Table 2 -- Terminal growth</t>
        </is>
      </c>
      <c r="C724" t="inlineStr">
        <is>
          <t xml:space="preserve">g=2.0000%</t>
        </is>
      </c>
      <c r="D724" t="inlineStr">
        <is>
          <t xml:space="preserve">Equity Value</t>
        </is>
      </c>
      <c r="E724" s="6">
        <v>549715677489.8436</v>
      </c>
      <c r="F724" s="6">
        <v>549715677489.8436</v>
      </c>
      <c r="G724" s="11">
        <f>ABS(E724-F724)</f>
        <v>0.0</v>
      </c>
      <c r="H724" s="10">
        <f>IF(F724=0,"n/a (zero denom)",G724/ABS(F724))</f>
        <v>0.0</v>
      </c>
      <c r="I724" s="10">
        <f>'Tolerances'!$B$11</f>
        <v>0.002</v>
      </c>
      <c r="J724" s="15" t="str">
        <f>IF(F724=0,IF(G724&lt;=0.000001,"PASS","FAIL"),IF(H724&lt;=I724,"PASS","FAIL"))</f>
        <v>PASS</v>
      </c>
      <c r="K724" t="inlineStr">
        <is>
          <t xml:space="preserve"/>
        </is>
      </c>
    </row>
    <row r="725">
      <c r="A725" t="inlineStr">
        <is>
          <t xml:space="preserve">VZ</t>
        </is>
      </c>
      <c r="B725" t="inlineStr">
        <is>
          <t xml:space="preserve">Table 2 -- Terminal growth</t>
        </is>
      </c>
      <c r="C725" t="inlineStr">
        <is>
          <t xml:space="preserve">g=2.0000%</t>
        </is>
      </c>
      <c r="D725" t="inlineStr">
        <is>
          <t xml:space="preserve">Intrinsic Value per Share</t>
        </is>
      </c>
      <c r="E725" s="7">
        <v>132.30936711695614</v>
      </c>
      <c r="F725" s="7">
        <v>132.30936711695614</v>
      </c>
      <c r="G725" s="12">
        <f>ABS(E725-F725)</f>
        <v>0.0</v>
      </c>
      <c r="H725" s="10">
        <f>IF(F725=0,"n/a (zero denom)",G725/ABS(F725))</f>
        <v>0.0</v>
      </c>
      <c r="I725" s="10">
        <f>'Tolerances'!$B$13</f>
        <v>0.005</v>
      </c>
      <c r="J725" s="15" t="str">
        <f>IF(F725=0,IF(G725&lt;=0.000001,"PASS","FAIL"),IF(H725&lt;=I725,"PASS","FAIL"))</f>
        <v>PASS</v>
      </c>
      <c r="K725" t="inlineStr">
        <is>
          <t xml:space="preserve"/>
        </is>
      </c>
    </row>
    <row r="726">
      <c r="A726" t="inlineStr">
        <is>
          <t xml:space="preserve">VZ</t>
        </is>
      </c>
      <c r="B726" t="inlineStr">
        <is>
          <t xml:space="preserve">Table 2 -- Terminal growth</t>
        </is>
      </c>
      <c r="C726" t="inlineStr">
        <is>
          <t xml:space="preserve">g=2.5000%</t>
        </is>
      </c>
      <c r="D726" t="inlineStr">
        <is>
          <t xml:space="preserve">Terminal Value</t>
        </is>
      </c>
      <c r="E726" s="6">
        <v>914146968456.9417</v>
      </c>
      <c r="F726" s="6">
        <v>914146968456.9417</v>
      </c>
      <c r="G726" s="11">
        <f>ABS(E726-F726)</f>
        <v>0.0</v>
      </c>
      <c r="H726" s="10">
        <f>IF(F726=0,"n/a (zero denom)",G726/ABS(F726))</f>
        <v>0.0</v>
      </c>
      <c r="I726" s="10">
        <f>'Tolerances'!$B$7</f>
        <v>0.002</v>
      </c>
      <c r="J726" s="15" t="str">
        <f>IF(F726=0,IF(G726&lt;=0.000001,"PASS","FAIL"),IF(H726&lt;=I726,"PASS","FAIL"))</f>
        <v>PASS</v>
      </c>
      <c r="K726" t="inlineStr">
        <is>
          <t xml:space="preserve"/>
        </is>
      </c>
    </row>
    <row r="727">
      <c r="A727" t="inlineStr">
        <is>
          <t xml:space="preserve">VZ</t>
        </is>
      </c>
      <c r="B727" t="inlineStr">
        <is>
          <t xml:space="preserve">Table 2 -- Terminal growth</t>
        </is>
      </c>
      <c r="C727" t="inlineStr">
        <is>
          <t xml:space="preserve">g=2.5000%</t>
        </is>
      </c>
      <c r="D727" t="inlineStr">
        <is>
          <t xml:space="preserve">Enterprise Value</t>
        </is>
      </c>
      <c r="E727" s="6">
        <v>811105640623.6685</v>
      </c>
      <c r="F727" s="6">
        <v>811105640623.6685</v>
      </c>
      <c r="G727" s="11">
        <f>ABS(E727-F727)</f>
        <v>0.0</v>
      </c>
      <c r="H727" s="10">
        <f>IF(F727=0,"n/a (zero denom)",G727/ABS(F727))</f>
        <v>0.0</v>
      </c>
      <c r="I727" s="10">
        <f>'Tolerances'!$B$10</f>
        <v>0.002</v>
      </c>
      <c r="J727" s="15" t="str">
        <f>IF(F727=0,IF(G727&lt;=0.000001,"PASS","FAIL"),IF(H727&lt;=I727,"PASS","FAIL"))</f>
        <v>PASS</v>
      </c>
      <c r="K727" t="inlineStr">
        <is>
          <t xml:space="preserve"/>
        </is>
      </c>
    </row>
    <row r="728">
      <c r="A728" t="inlineStr">
        <is>
          <t xml:space="preserve">VZ</t>
        </is>
      </c>
      <c r="B728" t="inlineStr">
        <is>
          <t xml:space="preserve">Table 2 -- Terminal growth</t>
        </is>
      </c>
      <c r="C728" t="inlineStr">
        <is>
          <t xml:space="preserve">g=2.5000%</t>
        </is>
      </c>
      <c r="D728" t="inlineStr">
        <is>
          <t xml:space="preserve">Equity Value</t>
        </is>
      </c>
      <c r="E728" s="6">
        <v>672003640623.6685</v>
      </c>
      <c r="F728" s="6">
        <v>672003640623.6685</v>
      </c>
      <c r="G728" s="11">
        <f>ABS(E728-F728)</f>
        <v>0.0</v>
      </c>
      <c r="H728" s="10">
        <f>IF(F728=0,"n/a (zero denom)",G728/ABS(F728))</f>
        <v>0.0</v>
      </c>
      <c r="I728" s="10">
        <f>'Tolerances'!$B$11</f>
        <v>0.002</v>
      </c>
      <c r="J728" s="15" t="str">
        <f>IF(F728=0,IF(G728&lt;=0.000001,"PASS","FAIL"),IF(H728&lt;=I728,"PASS","FAIL"))</f>
        <v>PASS</v>
      </c>
      <c r="K728" t="inlineStr">
        <is>
          <t xml:space="preserve"/>
        </is>
      </c>
    </row>
    <row r="729">
      <c r="A729" t="inlineStr">
        <is>
          <t xml:space="preserve">VZ</t>
        </is>
      </c>
      <c r="B729" t="inlineStr">
        <is>
          <t xml:space="preserve">Table 2 -- Terminal growth</t>
        </is>
      </c>
      <c r="C729" t="inlineStr">
        <is>
          <t xml:space="preserve">g=2.5000%</t>
        </is>
      </c>
      <c r="D729" t="inlineStr">
        <is>
          <t xml:space="preserve">Intrinsic Value per Share</t>
        </is>
      </c>
      <c r="E729" s="7">
        <v>161.74247894330927</v>
      </c>
      <c r="F729" s="7">
        <v>161.74247894330927</v>
      </c>
      <c r="G729" s="12">
        <f>ABS(E729-F729)</f>
        <v>0.0</v>
      </c>
      <c r="H729" s="10">
        <f>IF(F729=0,"n/a (zero denom)",G729/ABS(F729))</f>
        <v>0.0</v>
      </c>
      <c r="I729" s="10">
        <f>'Tolerances'!$B$13</f>
        <v>0.005</v>
      </c>
      <c r="J729" s="15" t="str">
        <f>IF(F729=0,IF(G729&lt;=0.000001,"PASS","FAIL"),IF(H729&lt;=I729,"PASS","FAIL"))</f>
        <v>PASS</v>
      </c>
      <c r="K729" t="inlineStr">
        <is>
          <t xml:space="preserve"/>
        </is>
      </c>
    </row>
    <row r="730">
      <c r="A730" t="inlineStr">
        <is>
          <t xml:space="preserve">VZ</t>
        </is>
      </c>
      <c r="B730" t="inlineStr">
        <is>
          <t xml:space="preserve">Table 2 -- Terminal growth</t>
        </is>
      </c>
      <c r="C730" t="inlineStr">
        <is>
          <t xml:space="preserve">g=3.0000%</t>
        </is>
      </c>
      <c r="D730" t="inlineStr">
        <is>
          <t xml:space="preserve">Terminal Value</t>
        </is>
      </c>
      <c r="E730" s="6">
        <v>1148257777452.012</v>
      </c>
      <c r="F730" s="6">
        <v>1148257777452.012</v>
      </c>
      <c r="G730" s="11">
        <f>ABS(E730-F730)</f>
        <v>0.0</v>
      </c>
      <c r="H730" s="10">
        <f>IF(F730=0,"n/a (zero denom)",G730/ABS(F730))</f>
        <v>0.0</v>
      </c>
      <c r="I730" s="10">
        <f>'Tolerances'!$B$7</f>
        <v>0.002</v>
      </c>
      <c r="J730" s="15" t="str">
        <f>IF(F730=0,IF(G730&lt;=0.000001,"PASS","FAIL"),IF(H730&lt;=I730,"PASS","FAIL"))</f>
        <v>PASS</v>
      </c>
      <c r="K730" t="inlineStr">
        <is>
          <t xml:space="preserve"/>
        </is>
      </c>
    </row>
    <row r="731">
      <c r="A731" t="inlineStr">
        <is>
          <t xml:space="preserve">VZ</t>
        </is>
      </c>
      <c r="B731" t="inlineStr">
        <is>
          <t xml:space="preserve">Table 2 -- Terminal growth</t>
        </is>
      </c>
      <c r="C731" t="inlineStr">
        <is>
          <t xml:space="preserve">g=3.0000%</t>
        </is>
      </c>
      <c r="D731" t="inlineStr">
        <is>
          <t xml:space="preserve">Enterprise Value</t>
        </is>
      </c>
      <c r="E731" s="6">
        <v>994537585324.4054</v>
      </c>
      <c r="F731" s="6">
        <v>994537585324.4054</v>
      </c>
      <c r="G731" s="11">
        <f>ABS(E731-F731)</f>
        <v>0.0</v>
      </c>
      <c r="H731" s="10">
        <f>IF(F731=0,"n/a (zero denom)",G731/ABS(F731))</f>
        <v>0.0</v>
      </c>
      <c r="I731" s="10">
        <f>'Tolerances'!$B$10</f>
        <v>0.002</v>
      </c>
      <c r="J731" s="15" t="str">
        <f>IF(F731=0,IF(G731&lt;=0.000001,"PASS","FAIL"),IF(H731&lt;=I731,"PASS","FAIL"))</f>
        <v>PASS</v>
      </c>
      <c r="K731" t="inlineStr">
        <is>
          <t xml:space="preserve"/>
        </is>
      </c>
    </row>
    <row r="732">
      <c r="A732" t="inlineStr">
        <is>
          <t xml:space="preserve">VZ</t>
        </is>
      </c>
      <c r="B732" t="inlineStr">
        <is>
          <t xml:space="preserve">Table 2 -- Terminal growth</t>
        </is>
      </c>
      <c r="C732" t="inlineStr">
        <is>
          <t xml:space="preserve">g=3.0000%</t>
        </is>
      </c>
      <c r="D732" t="inlineStr">
        <is>
          <t xml:space="preserve">Equity Value</t>
        </is>
      </c>
      <c r="E732" s="6">
        <v>855435585324.4054</v>
      </c>
      <c r="F732" s="6">
        <v>855435585324.4054</v>
      </c>
      <c r="G732" s="11">
        <f>ABS(E732-F732)</f>
        <v>0.0</v>
      </c>
      <c r="H732" s="10">
        <f>IF(F732=0,"n/a (zero denom)",G732/ABS(F732))</f>
        <v>0.0</v>
      </c>
      <c r="I732" s="10">
        <f>'Tolerances'!$B$11</f>
        <v>0.002</v>
      </c>
      <c r="J732" s="15" t="str">
        <f>IF(F732=0,IF(G732&lt;=0.000001,"PASS","FAIL"),IF(H732&lt;=I732,"PASS","FAIL"))</f>
        <v>PASS</v>
      </c>
      <c r="K732" t="inlineStr">
        <is>
          <t xml:space="preserve"/>
        </is>
      </c>
    </row>
    <row r="733">
      <c r="A733" t="inlineStr">
        <is>
          <t xml:space="preserve">VZ</t>
        </is>
      </c>
      <c r="B733" t="inlineStr">
        <is>
          <t xml:space="preserve">Table 2 -- Terminal growth</t>
        </is>
      </c>
      <c r="C733" t="inlineStr">
        <is>
          <t xml:space="preserve">g=3.0000%</t>
        </is>
      </c>
      <c r="D733" t="inlineStr">
        <is>
          <t xml:space="preserve">Intrinsic Value per Share</t>
        </is>
      </c>
      <c r="E733" s="7">
        <v>205.89214668283884</v>
      </c>
      <c r="F733" s="7">
        <v>205.89214668283884</v>
      </c>
      <c r="G733" s="12">
        <f>ABS(E733-F733)</f>
        <v>0.0</v>
      </c>
      <c r="H733" s="10">
        <f>IF(F733=0,"n/a (zero denom)",G733/ABS(F733))</f>
        <v>0.0</v>
      </c>
      <c r="I733" s="10">
        <f>'Tolerances'!$B$13</f>
        <v>0.005</v>
      </c>
      <c r="J733" s="15" t="str">
        <f>IF(F733=0,IF(G733&lt;=0.000001,"PASS","FAIL"),IF(H733&lt;=I733,"PASS","FAIL"))</f>
        <v>PASS</v>
      </c>
      <c r="K733" t="inlineStr">
        <is>
          <t xml:space="preserve"/>
        </is>
      </c>
    </row>
    <row r="734">
      <c r="A734" t="inlineStr">
        <is>
          <t xml:space="preserve">VZ</t>
        </is>
      </c>
      <c r="B734" t="inlineStr">
        <is>
          <t xml:space="preserve">Table 2 -- Terminal growth</t>
        </is>
      </c>
      <c r="C734" t="inlineStr">
        <is>
          <t xml:space="preserve">g=4.0000%</t>
        </is>
      </c>
      <c r="D734" t="inlineStr">
        <is>
          <t xml:space="preserve">Terminal Value</t>
        </is>
      </c>
      <c r="E734" s="6">
        <v>2318811822427.364</v>
      </c>
      <c r="F734" s="6">
        <v>2318811822427.364</v>
      </c>
      <c r="G734" s="11">
        <f>ABS(E734-F734)</f>
        <v>0.0</v>
      </c>
      <c r="H734" s="10">
        <f>IF(F734=0,"n/a (zero denom)",G734/ABS(F734))</f>
        <v>0.0</v>
      </c>
      <c r="I734" s="10">
        <f>'Tolerances'!$B$7</f>
        <v>0.002</v>
      </c>
      <c r="J734" s="15" t="str">
        <f>IF(F734=0,IF(G734&lt;=0.000001,"PASS","FAIL"),IF(H734&lt;=I734,"PASS","FAIL"))</f>
        <v>PASS</v>
      </c>
      <c r="K734" t="inlineStr">
        <is>
          <t xml:space="preserve"/>
        </is>
      </c>
    </row>
    <row r="735">
      <c r="A735" t="inlineStr">
        <is>
          <t xml:space="preserve">VZ</t>
        </is>
      </c>
      <c r="B735" t="inlineStr">
        <is>
          <t xml:space="preserve">Table 2 -- Terminal growth</t>
        </is>
      </c>
      <c r="C735" t="inlineStr">
        <is>
          <t xml:space="preserve">g=4.0000%</t>
        </is>
      </c>
      <c r="D735" t="inlineStr">
        <is>
          <t xml:space="preserve">Enterprise Value</t>
        </is>
      </c>
      <c r="E735" s="6">
        <v>1911697308828.0908</v>
      </c>
      <c r="F735" s="6">
        <v>1911697308828.0908</v>
      </c>
      <c r="G735" s="11">
        <f>ABS(E735-F735)</f>
        <v>0.0</v>
      </c>
      <c r="H735" s="10">
        <f>IF(F735=0,"n/a (zero denom)",G735/ABS(F735))</f>
        <v>0.0</v>
      </c>
      <c r="I735" s="10">
        <f>'Tolerances'!$B$10</f>
        <v>0.002</v>
      </c>
      <c r="J735" s="15" t="str">
        <f>IF(F735=0,IF(G735&lt;=0.000001,"PASS","FAIL"),IF(H735&lt;=I735,"PASS","FAIL"))</f>
        <v>PASS</v>
      </c>
      <c r="K735" t="inlineStr">
        <is>
          <t xml:space="preserve"/>
        </is>
      </c>
    </row>
    <row r="736">
      <c r="A736" t="inlineStr">
        <is>
          <t xml:space="preserve">VZ</t>
        </is>
      </c>
      <c r="B736" t="inlineStr">
        <is>
          <t xml:space="preserve">Table 2 -- Terminal growth</t>
        </is>
      </c>
      <c r="C736" t="inlineStr">
        <is>
          <t xml:space="preserve">g=4.0000%</t>
        </is>
      </c>
      <c r="D736" t="inlineStr">
        <is>
          <t xml:space="preserve">Equity Value</t>
        </is>
      </c>
      <c r="E736" s="6">
        <v>1772595308828.0908</v>
      </c>
      <c r="F736" s="6">
        <v>1772595308828.0908</v>
      </c>
      <c r="G736" s="11">
        <f>ABS(E736-F736)</f>
        <v>0.0</v>
      </c>
      <c r="H736" s="10">
        <f>IF(F736=0,"n/a (zero denom)",G736/ABS(F736))</f>
        <v>0.0</v>
      </c>
      <c r="I736" s="10">
        <f>'Tolerances'!$B$11</f>
        <v>0.002</v>
      </c>
      <c r="J736" s="15" t="str">
        <f>IF(F736=0,IF(G736&lt;=0.000001,"PASS","FAIL"),IF(H736&lt;=I736,"PASS","FAIL"))</f>
        <v>PASS</v>
      </c>
      <c r="K736" t="inlineStr">
        <is>
          <t xml:space="preserve"/>
        </is>
      </c>
    </row>
    <row r="737">
      <c r="A737" t="inlineStr">
        <is>
          <t xml:space="preserve">VZ</t>
        </is>
      </c>
      <c r="B737" t="inlineStr">
        <is>
          <t xml:space="preserve">Table 2 -- Terminal growth</t>
        </is>
      </c>
      <c r="C737" t="inlineStr">
        <is>
          <t xml:space="preserve">g=4.0000%</t>
        </is>
      </c>
      <c r="D737" t="inlineStr">
        <is>
          <t xml:space="preserve">Intrinsic Value per Share</t>
        </is>
      </c>
      <c r="E737" s="7">
        <v>426.64048538048695</v>
      </c>
      <c r="F737" s="7">
        <v>426.64048538048695</v>
      </c>
      <c r="G737" s="12">
        <f>ABS(E737-F737)</f>
        <v>0.0</v>
      </c>
      <c r="H737" s="10">
        <f>IF(F737=0,"n/a (zero denom)",G737/ABS(F737))</f>
        <v>0.0</v>
      </c>
      <c r="I737" s="10">
        <f>'Tolerances'!$B$13</f>
        <v>0.005</v>
      </c>
      <c r="J737" s="15" t="str">
        <f>IF(F737=0,IF(G737&lt;=0.000001,"PASS","FAIL"),IF(H737&lt;=I737,"PASS","FAIL"))</f>
        <v>PASS</v>
      </c>
      <c r="K737" t="inlineStr">
        <is>
          <t xml:space="preserve"/>
        </is>
      </c>
    </row>
    <row r="738">
      <c r="A738" t="inlineStr">
        <is>
          <t xml:space="preserve">VZ</t>
        </is>
      </c>
      <c r="B738" t="inlineStr">
        <is>
          <t xml:space="preserve">Table 2 -- Terminal growth</t>
        </is>
      </c>
      <c r="C738" t="inlineStr">
        <is>
          <t xml:space="preserve">g=5.0000%</t>
        </is>
      </c>
      <c r="D738" t="inlineStr">
        <is>
          <t xml:space="preserve">Terminal Value</t>
        </is>
      </c>
      <c r="E738" s="4" t="inlineStr">
        <is>
          <t xml:space="preserve">n/a</t>
        </is>
      </c>
      <c r="F738" s="4" t="inlineStr">
        <is>
          <t xml:space="preserve">n/a</t>
        </is>
      </c>
      <c r="G738" s="4" t="inlineStr">
        <is>
          <t xml:space="preserve">n/a</t>
        </is>
      </c>
      <c r="H738" s="4" t="inlineStr">
        <is>
          <t xml:space="preserve">n/a</t>
        </is>
      </c>
      <c r="I738" s="10">
        <f>'Tolerances'!$B$7</f>
        <v>0.002</v>
      </c>
      <c r="J738" s="15" t="inlineStr">
        <is>
          <t xml:space="preserve">PASS</t>
        </is>
      </c>
      <c r="K738" t="inlineStr">
        <is>
          <t xml:space="preserve">Both sides report the invalid-combination marker; exact string equality, not a numeric/tolerance comparison.</t>
        </is>
      </c>
    </row>
    <row r="739">
      <c r="A739" t="inlineStr">
        <is>
          <t xml:space="preserve">VZ</t>
        </is>
      </c>
      <c r="B739" t="inlineStr">
        <is>
          <t xml:space="preserve">Table 2 -- Terminal growth</t>
        </is>
      </c>
      <c r="C739" t="inlineStr">
        <is>
          <t xml:space="preserve">g=5.0000%</t>
        </is>
      </c>
      <c r="D739" t="inlineStr">
        <is>
          <t xml:space="preserve">Enterprise Value</t>
        </is>
      </c>
      <c r="E739" s="4" t="inlineStr">
        <is>
          <t xml:space="preserve">n/a</t>
        </is>
      </c>
      <c r="F739" s="4" t="inlineStr">
        <is>
          <t xml:space="preserve">n/a</t>
        </is>
      </c>
      <c r="G739" s="4" t="inlineStr">
        <is>
          <t xml:space="preserve">n/a</t>
        </is>
      </c>
      <c r="H739" s="4" t="inlineStr">
        <is>
          <t xml:space="preserve">n/a</t>
        </is>
      </c>
      <c r="I739" s="10">
        <f>'Tolerances'!$B$10</f>
        <v>0.002</v>
      </c>
      <c r="J739" s="15" t="inlineStr">
        <is>
          <t xml:space="preserve">PASS</t>
        </is>
      </c>
      <c r="K739" t="inlineStr">
        <is>
          <t xml:space="preserve">Both sides report the invalid-combination marker; exact string equality, not a numeric/tolerance comparison.</t>
        </is>
      </c>
    </row>
    <row r="740">
      <c r="A740" t="inlineStr">
        <is>
          <t xml:space="preserve">VZ</t>
        </is>
      </c>
      <c r="B740" t="inlineStr">
        <is>
          <t xml:space="preserve">Table 2 -- Terminal growth</t>
        </is>
      </c>
      <c r="C740" t="inlineStr">
        <is>
          <t xml:space="preserve">g=5.0000%</t>
        </is>
      </c>
      <c r="D740" t="inlineStr">
        <is>
          <t xml:space="preserve">Equity Value</t>
        </is>
      </c>
      <c r="E740" s="4" t="inlineStr">
        <is>
          <t xml:space="preserve">n/a</t>
        </is>
      </c>
      <c r="F740" s="4" t="inlineStr">
        <is>
          <t xml:space="preserve">n/a</t>
        </is>
      </c>
      <c r="G740" s="4" t="inlineStr">
        <is>
          <t xml:space="preserve">n/a</t>
        </is>
      </c>
      <c r="H740" s="4" t="inlineStr">
        <is>
          <t xml:space="preserve">n/a</t>
        </is>
      </c>
      <c r="I740" s="10">
        <f>'Tolerances'!$B$11</f>
        <v>0.002</v>
      </c>
      <c r="J740" s="15" t="inlineStr">
        <is>
          <t xml:space="preserve">PASS</t>
        </is>
      </c>
      <c r="K740" t="inlineStr">
        <is>
          <t xml:space="preserve">Both sides report the invalid-combination marker; exact string equality, not a numeric/tolerance comparison.</t>
        </is>
      </c>
    </row>
    <row r="741">
      <c r="A741" t="inlineStr">
        <is>
          <t xml:space="preserve">VZ</t>
        </is>
      </c>
      <c r="B741" t="inlineStr">
        <is>
          <t xml:space="preserve">Table 2 -- Terminal growth</t>
        </is>
      </c>
      <c r="C741" t="inlineStr">
        <is>
          <t xml:space="preserve">g=5.0000%</t>
        </is>
      </c>
      <c r="D741" t="inlineStr">
        <is>
          <t xml:space="preserve">Intrinsic Value per Share</t>
        </is>
      </c>
      <c r="E741" s="4" t="inlineStr">
        <is>
          <t xml:space="preserve">n/a</t>
        </is>
      </c>
      <c r="F741" s="4" t="inlineStr">
        <is>
          <t xml:space="preserve">n/a</t>
        </is>
      </c>
      <c r="G741" s="4" t="inlineStr">
        <is>
          <t xml:space="preserve">n/a</t>
        </is>
      </c>
      <c r="H741" s="4" t="inlineStr">
        <is>
          <t xml:space="preserve">n/a</t>
        </is>
      </c>
      <c r="I741" s="10">
        <f>'Tolerances'!$B$13</f>
        <v>0.005</v>
      </c>
      <c r="J741" s="15" t="inlineStr">
        <is>
          <t xml:space="preserve">PASS</t>
        </is>
      </c>
      <c r="K741" t="inlineStr">
        <is>
          <t xml:space="preserve">Both sides report the invalid-combination marker; exact string equality, not a numeric/tolerance comparison.</t>
        </is>
      </c>
    </row>
    <row r="742">
      <c r="A742" t="inlineStr">
        <is>
          <t xml:space="preserve">VZ</t>
        </is>
      </c>
      <c r="B742" t="inlineStr">
        <is>
          <t xml:space="preserve">Table 3 -- Revenue growth</t>
        </is>
      </c>
      <c r="C742" t="inlineStr">
        <is>
          <t xml:space="preserve">RevGrowth=-10.0000%</t>
        </is>
      </c>
      <c r="D742" t="inlineStr">
        <is>
          <t xml:space="preserve">FCF Year 1</t>
        </is>
      </c>
      <c r="E742" s="6">
        <v>19387771554.169613</v>
      </c>
      <c r="F742" s="6">
        <v>19387771554.169613</v>
      </c>
      <c r="G742" s="11">
        <f>ABS(E742-F742)</f>
        <v>0.0</v>
      </c>
      <c r="H742" s="10">
        <f>IF(F742=0,"n/a (zero denom)",G742/ABS(F742))</f>
        <v>0.0</v>
      </c>
      <c r="I742" s="10">
        <f>'Tolerances'!$B$6</f>
        <v>0.001</v>
      </c>
      <c r="J742" s="15" t="str">
        <f>IF(F742=0,IF(G742&lt;=0.000001,"PASS","FAIL"),IF(H742&lt;=I742,"PASS","FAIL"))</f>
        <v>PASS</v>
      </c>
      <c r="K742" t="inlineStr">
        <is>
          <t xml:space="preserve"/>
        </is>
      </c>
    </row>
    <row r="743">
      <c r="A743" t="inlineStr">
        <is>
          <t xml:space="preserve">VZ</t>
        </is>
      </c>
      <c r="B743" t="inlineStr">
        <is>
          <t xml:space="preserve">Table 3 -- Revenue growth</t>
        </is>
      </c>
      <c r="C743" t="inlineStr">
        <is>
          <t xml:space="preserve">RevGrowth=-10.0000%</t>
        </is>
      </c>
      <c r="D743" t="inlineStr">
        <is>
          <t xml:space="preserve">FCF Year 2</t>
        </is>
      </c>
      <c r="E743" s="6">
        <v>17448994398.75265</v>
      </c>
      <c r="F743" s="6">
        <v>17448994398.75265</v>
      </c>
      <c r="G743" s="11">
        <f>ABS(E743-F743)</f>
        <v>0.0</v>
      </c>
      <c r="H743" s="10">
        <f>IF(F743=0,"n/a (zero denom)",G743/ABS(F743))</f>
        <v>0.0</v>
      </c>
      <c r="I743" s="10">
        <f>'Tolerances'!$B$6</f>
        <v>0.001</v>
      </c>
      <c r="J743" s="15" t="str">
        <f>IF(F743=0,IF(G743&lt;=0.000001,"PASS","FAIL"),IF(H743&lt;=I743,"PASS","FAIL"))</f>
        <v>PASS</v>
      </c>
      <c r="K743" t="inlineStr">
        <is>
          <t xml:space="preserve"/>
        </is>
      </c>
    </row>
    <row r="744">
      <c r="A744" t="inlineStr">
        <is>
          <t xml:space="preserve">VZ</t>
        </is>
      </c>
      <c r="B744" t="inlineStr">
        <is>
          <t xml:space="preserve">Table 3 -- Revenue growth</t>
        </is>
      </c>
      <c r="C744" t="inlineStr">
        <is>
          <t xml:space="preserve">RevGrowth=-10.0000%</t>
        </is>
      </c>
      <c r="D744" t="inlineStr">
        <is>
          <t xml:space="preserve">FCF Year 3</t>
        </is>
      </c>
      <c r="E744" s="6">
        <v>15704094958.877388</v>
      </c>
      <c r="F744" s="6">
        <v>15704094958.877388</v>
      </c>
      <c r="G744" s="11">
        <f>ABS(E744-F744)</f>
        <v>0.0</v>
      </c>
      <c r="H744" s="10">
        <f>IF(F744=0,"n/a (zero denom)",G744/ABS(F744))</f>
        <v>0.0</v>
      </c>
      <c r="I744" s="10">
        <f>'Tolerances'!$B$6</f>
        <v>0.001</v>
      </c>
      <c r="J744" s="15" t="str">
        <f>IF(F744=0,IF(G744&lt;=0.000001,"PASS","FAIL"),IF(H744&lt;=I744,"PASS","FAIL"))</f>
        <v>PASS</v>
      </c>
      <c r="K744" t="inlineStr">
        <is>
          <t xml:space="preserve"/>
        </is>
      </c>
    </row>
    <row r="745">
      <c r="A745" t="inlineStr">
        <is>
          <t xml:space="preserve">VZ</t>
        </is>
      </c>
      <c r="B745" t="inlineStr">
        <is>
          <t xml:space="preserve">Table 3 -- Revenue growth</t>
        </is>
      </c>
      <c r="C745" t="inlineStr">
        <is>
          <t xml:space="preserve">RevGrowth=-10.0000%</t>
        </is>
      </c>
      <c r="D745" t="inlineStr">
        <is>
          <t xml:space="preserve">FCF Year 4</t>
        </is>
      </c>
      <c r="E745" s="6">
        <v>14133685462.989647</v>
      </c>
      <c r="F745" s="6">
        <v>14133685462.989647</v>
      </c>
      <c r="G745" s="11">
        <f>ABS(E745-F745)</f>
        <v>0.0</v>
      </c>
      <c r="H745" s="10">
        <f>IF(F745=0,"n/a (zero denom)",G745/ABS(F745))</f>
        <v>0.0</v>
      </c>
      <c r="I745" s="10">
        <f>'Tolerances'!$B$6</f>
        <v>0.001</v>
      </c>
      <c r="J745" s="15" t="str">
        <f>IF(F745=0,IF(G745&lt;=0.000001,"PASS","FAIL"),IF(H745&lt;=I745,"PASS","FAIL"))</f>
        <v>PASS</v>
      </c>
      <c r="K745" t="inlineStr">
        <is>
          <t xml:space="preserve"/>
        </is>
      </c>
    </row>
    <row r="746">
      <c r="A746" t="inlineStr">
        <is>
          <t xml:space="preserve">VZ</t>
        </is>
      </c>
      <c r="B746" t="inlineStr">
        <is>
          <t xml:space="preserve">Table 3 -- Revenue growth</t>
        </is>
      </c>
      <c r="C746" t="inlineStr">
        <is>
          <t xml:space="preserve">RevGrowth=-10.0000%</t>
        </is>
      </c>
      <c r="D746" t="inlineStr">
        <is>
          <t xml:space="preserve">FCF Year 5</t>
        </is>
      </c>
      <c r="E746" s="6">
        <v>12720316916.690685</v>
      </c>
      <c r="F746" s="6">
        <v>12720316916.690685</v>
      </c>
      <c r="G746" s="11">
        <f>ABS(E746-F746)</f>
        <v>0.0</v>
      </c>
      <c r="H746" s="10">
        <f>IF(F746=0,"n/a (zero denom)",G746/ABS(F746))</f>
        <v>0.0</v>
      </c>
      <c r="I746" s="10">
        <f>'Tolerances'!$B$6</f>
        <v>0.001</v>
      </c>
      <c r="J746" s="15" t="str">
        <f>IF(F746=0,IF(G746&lt;=0.000001,"PASS","FAIL"),IF(H746&lt;=I746,"PASS","FAIL"))</f>
        <v>PASS</v>
      </c>
      <c r="K746" t="inlineStr">
        <is>
          <t xml:space="preserve"/>
        </is>
      </c>
    </row>
    <row r="747">
      <c r="A747" t="inlineStr">
        <is>
          <t xml:space="preserve">VZ</t>
        </is>
      </c>
      <c r="B747" t="inlineStr">
        <is>
          <t xml:space="preserve">Table 3 -- Revenue growth</t>
        </is>
      </c>
      <c r="C747" t="inlineStr">
        <is>
          <t xml:space="preserve">RevGrowth=-10.0000%</t>
        </is>
      </c>
      <c r="D747" t="inlineStr">
        <is>
          <t xml:space="preserve">Terminal Value</t>
        </is>
      </c>
      <c r="E747" s="6">
        <v>521532993584.31805</v>
      </c>
      <c r="F747" s="6">
        <v>521532993584.31805</v>
      </c>
      <c r="G747" s="11">
        <f>ABS(E747-F747)</f>
        <v>0.0</v>
      </c>
      <c r="H747" s="10">
        <f>IF(F747=0,"n/a (zero denom)",G747/ABS(F747))</f>
        <v>0.0</v>
      </c>
      <c r="I747" s="10">
        <f>'Tolerances'!$B$7</f>
        <v>0.002</v>
      </c>
      <c r="J747" s="15" t="str">
        <f>IF(F747=0,IF(G747&lt;=0.000001,"PASS","FAIL"),IF(H747&lt;=I747,"PASS","FAIL"))</f>
        <v>PASS</v>
      </c>
      <c r="K747" t="inlineStr">
        <is>
          <t xml:space="preserve"/>
        </is>
      </c>
    </row>
    <row r="748">
      <c r="A748" t="inlineStr">
        <is>
          <t xml:space="preserve">VZ</t>
        </is>
      </c>
      <c r="B748" t="inlineStr">
        <is>
          <t xml:space="preserve">Table 3 -- Revenue growth</t>
        </is>
      </c>
      <c r="C748" t="inlineStr">
        <is>
          <t xml:space="preserve">RevGrowth=-10.0000%</t>
        </is>
      </c>
      <c r="D748" t="inlineStr">
        <is>
          <t xml:space="preserve">Enterprise Value</t>
        </is>
      </c>
      <c r="E748" s="6">
        <v>478086350611.0796</v>
      </c>
      <c r="F748" s="6">
        <v>478086350611.0796</v>
      </c>
      <c r="G748" s="11">
        <f>ABS(E748-F748)</f>
        <v>0.0</v>
      </c>
      <c r="H748" s="10">
        <f>IF(F748=0,"n/a (zero denom)",G748/ABS(F748))</f>
        <v>0.0</v>
      </c>
      <c r="I748" s="10">
        <f>'Tolerances'!$B$10</f>
        <v>0.002</v>
      </c>
      <c r="J748" s="15" t="str">
        <f>IF(F748=0,IF(G748&lt;=0.000001,"PASS","FAIL"),IF(H748&lt;=I748,"PASS","FAIL"))</f>
        <v>PASS</v>
      </c>
      <c r="K748" t="inlineStr">
        <is>
          <t xml:space="preserve"/>
        </is>
      </c>
    </row>
    <row r="749">
      <c r="A749" t="inlineStr">
        <is>
          <t xml:space="preserve">VZ</t>
        </is>
      </c>
      <c r="B749" t="inlineStr">
        <is>
          <t xml:space="preserve">Table 3 -- Revenue growth</t>
        </is>
      </c>
      <c r="C749" t="inlineStr">
        <is>
          <t xml:space="preserve">RevGrowth=-10.0000%</t>
        </is>
      </c>
      <c r="D749" t="inlineStr">
        <is>
          <t xml:space="preserve">Equity Value</t>
        </is>
      </c>
      <c r="E749" s="6">
        <v>338984350611.0796</v>
      </c>
      <c r="F749" s="6">
        <v>338984350611.0796</v>
      </c>
      <c r="G749" s="11">
        <f>ABS(E749-F749)</f>
        <v>0.0</v>
      </c>
      <c r="H749" s="10">
        <f>IF(F749=0,"n/a (zero denom)",G749/ABS(F749))</f>
        <v>0.0</v>
      </c>
      <c r="I749" s="10">
        <f>'Tolerances'!$B$11</f>
        <v>0.002</v>
      </c>
      <c r="J749" s="15" t="str">
        <f>IF(F749=0,IF(G749&lt;=0.000001,"PASS","FAIL"),IF(H749&lt;=I749,"PASS","FAIL"))</f>
        <v>PASS</v>
      </c>
      <c r="K749" t="inlineStr">
        <is>
          <t xml:space="preserve"/>
        </is>
      </c>
    </row>
    <row r="750">
      <c r="A750" t="inlineStr">
        <is>
          <t xml:space="preserve">VZ</t>
        </is>
      </c>
      <c r="B750" t="inlineStr">
        <is>
          <t xml:space="preserve">Table 3 -- Revenue growth</t>
        </is>
      </c>
      <c r="C750" t="inlineStr">
        <is>
          <t xml:space="preserve">RevGrowth=-10.0000%</t>
        </is>
      </c>
      <c r="D750" t="inlineStr">
        <is>
          <t xml:space="preserve">Intrinsic Value per Share</t>
        </is>
      </c>
      <c r="E750" s="7">
        <v>81.58909546969025</v>
      </c>
      <c r="F750" s="7">
        <v>81.58909546969025</v>
      </c>
      <c r="G750" s="12">
        <f>ABS(E750-F750)</f>
        <v>0.0</v>
      </c>
      <c r="H750" s="10">
        <f>IF(F750=0,"n/a (zero denom)",G750/ABS(F750))</f>
        <v>0.0</v>
      </c>
      <c r="I750" s="10">
        <f>'Tolerances'!$B$13</f>
        <v>0.005</v>
      </c>
      <c r="J750" s="15" t="str">
        <f>IF(F750=0,IF(G750&lt;=0.000001,"PASS","FAIL"),IF(H750&lt;=I750,"PASS","FAIL"))</f>
        <v>PASS</v>
      </c>
      <c r="K750" t="inlineStr">
        <is>
          <t xml:space="preserve"/>
        </is>
      </c>
    </row>
    <row r="751">
      <c r="A751" t="inlineStr">
        <is>
          <t xml:space="preserve">VZ</t>
        </is>
      </c>
      <c r="B751" t="inlineStr">
        <is>
          <t xml:space="preserve">Table 3 -- Revenue growth</t>
        </is>
      </c>
      <c r="C751" t="inlineStr">
        <is>
          <t xml:space="preserve">RevGrowth=-5.0000%</t>
        </is>
      </c>
      <c r="D751" t="inlineStr">
        <is>
          <t xml:space="preserve">FCF Year 1</t>
        </is>
      </c>
      <c r="E751" s="6">
        <v>20388097196.067924</v>
      </c>
      <c r="F751" s="6">
        <v>20388097196.067924</v>
      </c>
      <c r="G751" s="11">
        <f>ABS(E751-F751)</f>
        <v>0.0</v>
      </c>
      <c r="H751" s="10">
        <f>IF(F751=0,"n/a (zero denom)",G751/ABS(F751))</f>
        <v>0.0</v>
      </c>
      <c r="I751" s="10">
        <f>'Tolerances'!$B$6</f>
        <v>0.001</v>
      </c>
      <c r="J751" s="15" t="str">
        <f>IF(F751=0,IF(G751&lt;=0.000001,"PASS","FAIL"),IF(H751&lt;=I751,"PASS","FAIL"))</f>
        <v>PASS</v>
      </c>
      <c r="K751" t="inlineStr">
        <is>
          <t xml:space="preserve"/>
        </is>
      </c>
    </row>
    <row r="752">
      <c r="A752" t="inlineStr">
        <is>
          <t xml:space="preserve">VZ</t>
        </is>
      </c>
      <c r="B752" t="inlineStr">
        <is>
          <t xml:space="preserve">Table 3 -- Revenue growth</t>
        </is>
      </c>
      <c r="C752" t="inlineStr">
        <is>
          <t xml:space="preserve">RevGrowth=-5.0000%</t>
        </is>
      </c>
      <c r="D752" t="inlineStr">
        <is>
          <t xml:space="preserve">FCF Year 2</t>
        </is>
      </c>
      <c r="E752" s="6">
        <v>19368692336.264526</v>
      </c>
      <c r="F752" s="6">
        <v>19368692336.264526</v>
      </c>
      <c r="G752" s="11">
        <f>ABS(E752-F752)</f>
        <v>0.0</v>
      </c>
      <c r="H752" s="10">
        <f>IF(F752=0,"n/a (zero denom)",G752/ABS(F752))</f>
        <v>0.0</v>
      </c>
      <c r="I752" s="10">
        <f>'Tolerances'!$B$6</f>
        <v>0.001</v>
      </c>
      <c r="J752" s="15" t="str">
        <f>IF(F752=0,IF(G752&lt;=0.000001,"PASS","FAIL"),IF(H752&lt;=I752,"PASS","FAIL"))</f>
        <v>PASS</v>
      </c>
      <c r="K752" t="inlineStr">
        <is>
          <t xml:space="preserve"/>
        </is>
      </c>
    </row>
    <row r="753">
      <c r="A753" t="inlineStr">
        <is>
          <t xml:space="preserve">VZ</t>
        </is>
      </c>
      <c r="B753" t="inlineStr">
        <is>
          <t xml:space="preserve">Table 3 -- Revenue growth</t>
        </is>
      </c>
      <c r="C753" t="inlineStr">
        <is>
          <t xml:space="preserve">RevGrowth=-5.0000%</t>
        </is>
      </c>
      <c r="D753" t="inlineStr">
        <is>
          <t xml:space="preserve">FCF Year 3</t>
        </is>
      </c>
      <c r="E753" s="6">
        <v>18400257719.4513</v>
      </c>
      <c r="F753" s="6">
        <v>18400257719.4513</v>
      </c>
      <c r="G753" s="11">
        <f>ABS(E753-F753)</f>
        <v>0.0</v>
      </c>
      <c r="H753" s="10">
        <f>IF(F753=0,"n/a (zero denom)",G753/ABS(F753))</f>
        <v>0.0</v>
      </c>
      <c r="I753" s="10">
        <f>'Tolerances'!$B$6</f>
        <v>0.001</v>
      </c>
      <c r="J753" s="15" t="str">
        <f>IF(F753=0,IF(G753&lt;=0.000001,"PASS","FAIL"),IF(H753&lt;=I753,"PASS","FAIL"))</f>
        <v>PASS</v>
      </c>
      <c r="K753" t="inlineStr">
        <is>
          <t xml:space="preserve"/>
        </is>
      </c>
    </row>
    <row r="754">
      <c r="A754" t="inlineStr">
        <is>
          <t xml:space="preserve">VZ</t>
        </is>
      </c>
      <c r="B754" t="inlineStr">
        <is>
          <t xml:space="preserve">Table 3 -- Revenue growth</t>
        </is>
      </c>
      <c r="C754" t="inlineStr">
        <is>
          <t xml:space="preserve">RevGrowth=-5.0000%</t>
        </is>
      </c>
      <c r="D754" t="inlineStr">
        <is>
          <t xml:space="preserve">FCF Year 4</t>
        </is>
      </c>
      <c r="E754" s="6">
        <v>17480244833.478737</v>
      </c>
      <c r="F754" s="6">
        <v>17480244833.478737</v>
      </c>
      <c r="G754" s="11">
        <f>ABS(E754-F754)</f>
        <v>0.0</v>
      </c>
      <c r="H754" s="10">
        <f>IF(F754=0,"n/a (zero denom)",G754/ABS(F754))</f>
        <v>0.0</v>
      </c>
      <c r="I754" s="10">
        <f>'Tolerances'!$B$6</f>
        <v>0.001</v>
      </c>
      <c r="J754" s="15" t="str">
        <f>IF(F754=0,IF(G754&lt;=0.000001,"PASS","FAIL"),IF(H754&lt;=I754,"PASS","FAIL"))</f>
        <v>PASS</v>
      </c>
      <c r="K754" t="inlineStr">
        <is>
          <t xml:space="preserve"/>
        </is>
      </c>
    </row>
    <row r="755">
      <c r="A755" t="inlineStr">
        <is>
          <t xml:space="preserve">VZ</t>
        </is>
      </c>
      <c r="B755" t="inlineStr">
        <is>
          <t xml:space="preserve">Table 3 -- Revenue growth</t>
        </is>
      </c>
      <c r="C755" t="inlineStr">
        <is>
          <t xml:space="preserve">RevGrowth=-5.0000%</t>
        </is>
      </c>
      <c r="D755" t="inlineStr">
        <is>
          <t xml:space="preserve">FCF Year 5</t>
        </is>
      </c>
      <c r="E755" s="6">
        <v>16606232591.804798</v>
      </c>
      <c r="F755" s="6">
        <v>16606232591.804798</v>
      </c>
      <c r="G755" s="11">
        <f>ABS(E755-F755)</f>
        <v>0.0</v>
      </c>
      <c r="H755" s="10">
        <f>IF(F755=0,"n/a (zero denom)",G755/ABS(F755))</f>
        <v>0.0</v>
      </c>
      <c r="I755" s="10">
        <f>'Tolerances'!$B$6</f>
        <v>0.001</v>
      </c>
      <c r="J755" s="15" t="str">
        <f>IF(F755=0,IF(G755&lt;=0.000001,"PASS","FAIL"),IF(H755&lt;=I755,"PASS","FAIL"))</f>
        <v>PASS</v>
      </c>
      <c r="K755" t="inlineStr">
        <is>
          <t xml:space="preserve"/>
        </is>
      </c>
    </row>
    <row r="756">
      <c r="A756" t="inlineStr">
        <is>
          <t xml:space="preserve">VZ</t>
        </is>
      </c>
      <c r="B756" t="inlineStr">
        <is>
          <t xml:space="preserve">Table 3 -- Revenue growth</t>
        </is>
      </c>
      <c r="C756" t="inlineStr">
        <is>
          <t xml:space="preserve">RevGrowth=-5.0000%</t>
        </is>
      </c>
      <c r="D756" t="inlineStr">
        <is>
          <t xml:space="preserve">Terminal Value</t>
        </is>
      </c>
      <c r="E756" s="6">
        <v>680855536263.9966</v>
      </c>
      <c r="F756" s="6">
        <v>680855536263.9966</v>
      </c>
      <c r="G756" s="11">
        <f>ABS(E756-F756)</f>
        <v>0.0</v>
      </c>
      <c r="H756" s="10">
        <f>IF(F756=0,"n/a (zero denom)",G756/ABS(F756))</f>
        <v>0.0</v>
      </c>
      <c r="I756" s="10">
        <f>'Tolerances'!$B$7</f>
        <v>0.002</v>
      </c>
      <c r="J756" s="15" t="str">
        <f>IF(F756=0,IF(G756&lt;=0.000001,"PASS","FAIL"),IF(H756&lt;=I756,"PASS","FAIL"))</f>
        <v>PASS</v>
      </c>
      <c r="K756" t="inlineStr">
        <is>
          <t xml:space="preserve"/>
        </is>
      </c>
    </row>
    <row r="757">
      <c r="A757" t="inlineStr">
        <is>
          <t xml:space="preserve">VZ</t>
        </is>
      </c>
      <c r="B757" t="inlineStr">
        <is>
          <t xml:space="preserve">Table 3 -- Revenue growth</t>
        </is>
      </c>
      <c r="C757" t="inlineStr">
        <is>
          <t xml:space="preserve">RevGrowth=-5.0000%</t>
        </is>
      </c>
      <c r="D757" t="inlineStr">
        <is>
          <t xml:space="preserve">Enterprise Value</t>
        </is>
      </c>
      <c r="E757" s="6">
        <v>613740631468.1014</v>
      </c>
      <c r="F757" s="6">
        <v>613740631468.1014</v>
      </c>
      <c r="G757" s="11">
        <f>ABS(E757-F757)</f>
        <v>0.0</v>
      </c>
      <c r="H757" s="10">
        <f>IF(F757=0,"n/a (zero denom)",G757/ABS(F757))</f>
        <v>0.0</v>
      </c>
      <c r="I757" s="10">
        <f>'Tolerances'!$B$10</f>
        <v>0.002</v>
      </c>
      <c r="J757" s="15" t="str">
        <f>IF(F757=0,IF(G757&lt;=0.000001,"PASS","FAIL"),IF(H757&lt;=I757,"PASS","FAIL"))</f>
        <v>PASS</v>
      </c>
      <c r="K757" t="inlineStr">
        <is>
          <t xml:space="preserve"/>
        </is>
      </c>
    </row>
    <row r="758">
      <c r="A758" t="inlineStr">
        <is>
          <t xml:space="preserve">VZ</t>
        </is>
      </c>
      <c r="B758" t="inlineStr">
        <is>
          <t xml:space="preserve">Table 3 -- Revenue growth</t>
        </is>
      </c>
      <c r="C758" t="inlineStr">
        <is>
          <t xml:space="preserve">RevGrowth=-5.0000%</t>
        </is>
      </c>
      <c r="D758" t="inlineStr">
        <is>
          <t xml:space="preserve">Equity Value</t>
        </is>
      </c>
      <c r="E758" s="6">
        <v>474638631468.10144</v>
      </c>
      <c r="F758" s="6">
        <v>474638631468.10144</v>
      </c>
      <c r="G758" s="11">
        <f>ABS(E758-F758)</f>
        <v>0.0</v>
      </c>
      <c r="H758" s="10">
        <f>IF(F758=0,"n/a (zero denom)",G758/ABS(F758))</f>
        <v>0.0</v>
      </c>
      <c r="I758" s="10">
        <f>'Tolerances'!$B$11</f>
        <v>0.002</v>
      </c>
      <c r="J758" s="15" t="str">
        <f>IF(F758=0,IF(G758&lt;=0.000001,"PASS","FAIL"),IF(H758&lt;=I758,"PASS","FAIL"))</f>
        <v>PASS</v>
      </c>
      <c r="K758" t="inlineStr">
        <is>
          <t xml:space="preserve"/>
        </is>
      </c>
    </row>
    <row r="759">
      <c r="A759" t="inlineStr">
        <is>
          <t xml:space="preserve">VZ</t>
        </is>
      </c>
      <c r="B759" t="inlineStr">
        <is>
          <t xml:space="preserve">Table 3 -- Revenue growth</t>
        </is>
      </c>
      <c r="C759" t="inlineStr">
        <is>
          <t xml:space="preserve">RevGrowth=-5.0000%</t>
        </is>
      </c>
      <c r="D759" t="inlineStr">
        <is>
          <t xml:space="preserve">Intrinsic Value per Share</t>
        </is>
      </c>
      <c r="E759" s="7">
        <v>114.23930499046563</v>
      </c>
      <c r="F759" s="7">
        <v>114.23930499046563</v>
      </c>
      <c r="G759" s="12">
        <f>ABS(E759-F759)</f>
        <v>0.0</v>
      </c>
      <c r="H759" s="10">
        <f>IF(F759=0,"n/a (zero denom)",G759/ABS(F759))</f>
        <v>0.0</v>
      </c>
      <c r="I759" s="10">
        <f>'Tolerances'!$B$13</f>
        <v>0.005</v>
      </c>
      <c r="J759" s="15" t="str">
        <f>IF(F759=0,IF(G759&lt;=0.000001,"PASS","FAIL"),IF(H759&lt;=I759,"PASS","FAIL"))</f>
        <v>PASS</v>
      </c>
      <c r="K759" t="inlineStr">
        <is>
          <t xml:space="preserve"/>
        </is>
      </c>
    </row>
    <row r="760">
      <c r="A760" t="inlineStr">
        <is>
          <t xml:space="preserve">VZ</t>
        </is>
      </c>
      <c r="B760" t="inlineStr">
        <is>
          <t xml:space="preserve">Table 3 -- Revenue growth</t>
        </is>
      </c>
      <c r="C760" t="inlineStr">
        <is>
          <t xml:space="preserve">RevGrowth=0.0000%</t>
        </is>
      </c>
      <c r="D760" t="inlineStr">
        <is>
          <t xml:space="preserve">FCF Year 1</t>
        </is>
      </c>
      <c r="E760" s="6">
        <v>21388422837.966236</v>
      </c>
      <c r="F760" s="6">
        <v>21388422837.966236</v>
      </c>
      <c r="G760" s="11">
        <f>ABS(E760-F760)</f>
        <v>0.0</v>
      </c>
      <c r="H760" s="10">
        <f>IF(F760=0,"n/a (zero denom)",G760/ABS(F760))</f>
        <v>0.0</v>
      </c>
      <c r="I760" s="10">
        <f>'Tolerances'!$B$6</f>
        <v>0.001</v>
      </c>
      <c r="J760" s="15" t="str">
        <f>IF(F760=0,IF(G760&lt;=0.000001,"PASS","FAIL"),IF(H760&lt;=I760,"PASS","FAIL"))</f>
        <v>PASS</v>
      </c>
      <c r="K760" t="inlineStr">
        <is>
          <t xml:space="preserve"/>
        </is>
      </c>
    </row>
    <row r="761">
      <c r="A761" t="inlineStr">
        <is>
          <t xml:space="preserve">VZ</t>
        </is>
      </c>
      <c r="B761" t="inlineStr">
        <is>
          <t xml:space="preserve">Table 3 -- Revenue growth</t>
        </is>
      </c>
      <c r="C761" t="inlineStr">
        <is>
          <t xml:space="preserve">RevGrowth=0.0000%</t>
        </is>
      </c>
      <c r="D761" t="inlineStr">
        <is>
          <t xml:space="preserve">FCF Year 2</t>
        </is>
      </c>
      <c r="E761" s="6">
        <v>21388422837.966236</v>
      </c>
      <c r="F761" s="6">
        <v>21388422837.966236</v>
      </c>
      <c r="G761" s="11">
        <f>ABS(E761-F761)</f>
        <v>0.0</v>
      </c>
      <c r="H761" s="10">
        <f>IF(F761=0,"n/a (zero denom)",G761/ABS(F761))</f>
        <v>0.0</v>
      </c>
      <c r="I761" s="10">
        <f>'Tolerances'!$B$6</f>
        <v>0.001</v>
      </c>
      <c r="J761" s="15" t="str">
        <f>IF(F761=0,IF(G761&lt;=0.000001,"PASS","FAIL"),IF(H761&lt;=I761,"PASS","FAIL"))</f>
        <v>PASS</v>
      </c>
      <c r="K761" t="inlineStr">
        <is>
          <t xml:space="preserve"/>
        </is>
      </c>
    </row>
    <row r="762">
      <c r="A762" t="inlineStr">
        <is>
          <t xml:space="preserve">VZ</t>
        </is>
      </c>
      <c r="B762" t="inlineStr">
        <is>
          <t xml:space="preserve">Table 3 -- Revenue growth</t>
        </is>
      </c>
      <c r="C762" t="inlineStr">
        <is>
          <t xml:space="preserve">RevGrowth=0.0000%</t>
        </is>
      </c>
      <c r="D762" t="inlineStr">
        <is>
          <t xml:space="preserve">FCF Year 3</t>
        </is>
      </c>
      <c r="E762" s="6">
        <v>21388422837.966236</v>
      </c>
      <c r="F762" s="6">
        <v>21388422837.966236</v>
      </c>
      <c r="G762" s="11">
        <f>ABS(E762-F762)</f>
        <v>0.0</v>
      </c>
      <c r="H762" s="10">
        <f>IF(F762=0,"n/a (zero denom)",G762/ABS(F762))</f>
        <v>0.0</v>
      </c>
      <c r="I762" s="10">
        <f>'Tolerances'!$B$6</f>
        <v>0.001</v>
      </c>
      <c r="J762" s="15" t="str">
        <f>IF(F762=0,IF(G762&lt;=0.000001,"PASS","FAIL"),IF(H762&lt;=I762,"PASS","FAIL"))</f>
        <v>PASS</v>
      </c>
      <c r="K762" t="inlineStr">
        <is>
          <t xml:space="preserve"/>
        </is>
      </c>
    </row>
    <row r="763">
      <c r="A763" t="inlineStr">
        <is>
          <t xml:space="preserve">VZ</t>
        </is>
      </c>
      <c r="B763" t="inlineStr">
        <is>
          <t xml:space="preserve">Table 3 -- Revenue growth</t>
        </is>
      </c>
      <c r="C763" t="inlineStr">
        <is>
          <t xml:space="preserve">RevGrowth=0.0000%</t>
        </is>
      </c>
      <c r="D763" t="inlineStr">
        <is>
          <t xml:space="preserve">FCF Year 4</t>
        </is>
      </c>
      <c r="E763" s="6">
        <v>21388422837.966236</v>
      </c>
      <c r="F763" s="6">
        <v>21388422837.966236</v>
      </c>
      <c r="G763" s="11">
        <f>ABS(E763-F763)</f>
        <v>0.0</v>
      </c>
      <c r="H763" s="10">
        <f>IF(F763=0,"n/a (zero denom)",G763/ABS(F763))</f>
        <v>0.0</v>
      </c>
      <c r="I763" s="10">
        <f>'Tolerances'!$B$6</f>
        <v>0.001</v>
      </c>
      <c r="J763" s="15" t="str">
        <f>IF(F763=0,IF(G763&lt;=0.000001,"PASS","FAIL"),IF(H763&lt;=I763,"PASS","FAIL"))</f>
        <v>PASS</v>
      </c>
      <c r="K763" t="inlineStr">
        <is>
          <t xml:space="preserve"/>
        </is>
      </c>
    </row>
    <row r="764">
      <c r="A764" t="inlineStr">
        <is>
          <t xml:space="preserve">VZ</t>
        </is>
      </c>
      <c r="B764" t="inlineStr">
        <is>
          <t xml:space="preserve">Table 3 -- Revenue growth</t>
        </is>
      </c>
      <c r="C764" t="inlineStr">
        <is>
          <t xml:space="preserve">RevGrowth=0.0000%</t>
        </is>
      </c>
      <c r="D764" t="inlineStr">
        <is>
          <t xml:space="preserve">FCF Year 5</t>
        </is>
      </c>
      <c r="E764" s="6">
        <v>21388422837.966236</v>
      </c>
      <c r="F764" s="6">
        <v>21388422837.966236</v>
      </c>
      <c r="G764" s="11">
        <f>ABS(E764-F764)</f>
        <v>0.0</v>
      </c>
      <c r="H764" s="10">
        <f>IF(F764=0,"n/a (zero denom)",G764/ABS(F764))</f>
        <v>0.0</v>
      </c>
      <c r="I764" s="10">
        <f>'Tolerances'!$B$6</f>
        <v>0.001</v>
      </c>
      <c r="J764" s="15" t="str">
        <f>IF(F764=0,IF(G764&lt;=0.000001,"PASS","FAIL"),IF(H764&lt;=I764,"PASS","FAIL"))</f>
        <v>PASS</v>
      </c>
      <c r="K764" t="inlineStr">
        <is>
          <t xml:space="preserve"/>
        </is>
      </c>
    </row>
    <row r="765">
      <c r="A765" t="inlineStr">
        <is>
          <t xml:space="preserve">VZ</t>
        </is>
      </c>
      <c r="B765" t="inlineStr">
        <is>
          <t xml:space="preserve">Table 3 -- Revenue growth</t>
        </is>
      </c>
      <c r="C765" t="inlineStr">
        <is>
          <t xml:space="preserve">RevGrowth=0.0000%</t>
        </is>
      </c>
      <c r="D765" t="inlineStr">
        <is>
          <t xml:space="preserve">Terminal Value</t>
        </is>
      </c>
      <c r="E765" s="6">
        <v>876925336356.6156</v>
      </c>
      <c r="F765" s="6">
        <v>876925336356.6156</v>
      </c>
      <c r="G765" s="11">
        <f>ABS(E765-F765)</f>
        <v>0.0</v>
      </c>
      <c r="H765" s="10">
        <f>IF(F765=0,"n/a (zero denom)",G765/ABS(F765))</f>
        <v>0.0</v>
      </c>
      <c r="I765" s="10">
        <f>'Tolerances'!$B$7</f>
        <v>0.002</v>
      </c>
      <c r="J765" s="15" t="str">
        <f>IF(F765=0,IF(G765&lt;=0.000001,"PASS","FAIL"),IF(H765&lt;=I765,"PASS","FAIL"))</f>
        <v>PASS</v>
      </c>
      <c r="K765" t="inlineStr">
        <is>
          <t xml:space="preserve"/>
        </is>
      </c>
    </row>
    <row r="766">
      <c r="A766" t="inlineStr">
        <is>
          <t xml:space="preserve">VZ</t>
        </is>
      </c>
      <c r="B766" t="inlineStr">
        <is>
          <t xml:space="preserve">Table 3 -- Revenue growth</t>
        </is>
      </c>
      <c r="C766" t="inlineStr">
        <is>
          <t xml:space="preserve">RevGrowth=0.0000%</t>
        </is>
      </c>
      <c r="D766" t="inlineStr">
        <is>
          <t xml:space="preserve">Enterprise Value</t>
        </is>
      </c>
      <c r="E766" s="6">
        <v>779694624773.1251</v>
      </c>
      <c r="F766" s="6">
        <v>779694624773.1251</v>
      </c>
      <c r="G766" s="11">
        <f>ABS(E766-F766)</f>
        <v>0.0</v>
      </c>
      <c r="H766" s="10">
        <f>IF(F766=0,"n/a (zero denom)",G766/ABS(F766))</f>
        <v>0.0</v>
      </c>
      <c r="I766" s="10">
        <f>'Tolerances'!$B$10</f>
        <v>0.002</v>
      </c>
      <c r="J766" s="15" t="str">
        <f>IF(F766=0,IF(G766&lt;=0.000001,"PASS","FAIL"),IF(H766&lt;=I766,"PASS","FAIL"))</f>
        <v>PASS</v>
      </c>
      <c r="K766" t="inlineStr">
        <is>
          <t xml:space="preserve"/>
        </is>
      </c>
    </row>
    <row r="767">
      <c r="A767" t="inlineStr">
        <is>
          <t xml:space="preserve">VZ</t>
        </is>
      </c>
      <c r="B767" t="inlineStr">
        <is>
          <t xml:space="preserve">Table 3 -- Revenue growth</t>
        </is>
      </c>
      <c r="C767" t="inlineStr">
        <is>
          <t xml:space="preserve">RevGrowth=0.0000%</t>
        </is>
      </c>
      <c r="D767" t="inlineStr">
        <is>
          <t xml:space="preserve">Equity Value</t>
        </is>
      </c>
      <c r="E767" s="6">
        <v>640592624773.1251</v>
      </c>
      <c r="F767" s="6">
        <v>640592624773.1251</v>
      </c>
      <c r="G767" s="11">
        <f>ABS(E767-F767)</f>
        <v>0.0</v>
      </c>
      <c r="H767" s="10">
        <f>IF(F767=0,"n/a (zero denom)",G767/ABS(F767))</f>
        <v>0.0</v>
      </c>
      <c r="I767" s="10">
        <f>'Tolerances'!$B$11</f>
        <v>0.002</v>
      </c>
      <c r="J767" s="15" t="str">
        <f>IF(F767=0,IF(G767&lt;=0.000001,"PASS","FAIL"),IF(H767&lt;=I767,"PASS","FAIL"))</f>
        <v>PASS</v>
      </c>
      <c r="K767" t="inlineStr">
        <is>
          <t xml:space="preserve"/>
        </is>
      </c>
    </row>
    <row r="768">
      <c r="A768" t="inlineStr">
        <is>
          <t xml:space="preserve">VZ</t>
        </is>
      </c>
      <c r="B768" t="inlineStr">
        <is>
          <t xml:space="preserve">Table 3 -- Revenue growth</t>
        </is>
      </c>
      <c r="C768" t="inlineStr">
        <is>
          <t xml:space="preserve">RevGrowth=0.0000%</t>
        </is>
      </c>
      <c r="D768" t="inlineStr">
        <is>
          <t xml:space="preserve">Intrinsic Value per Share</t>
        </is>
      </c>
      <c r="E768" s="7">
        <v>154.18225863694397</v>
      </c>
      <c r="F768" s="7">
        <v>154.18225863694397</v>
      </c>
      <c r="G768" s="12">
        <f>ABS(E768-F768)</f>
        <v>0.0</v>
      </c>
      <c r="H768" s="10">
        <f>IF(F768=0,"n/a (zero denom)",G768/ABS(F768))</f>
        <v>0.0</v>
      </c>
      <c r="I768" s="10">
        <f>'Tolerances'!$B$13</f>
        <v>0.005</v>
      </c>
      <c r="J768" s="15" t="str">
        <f>IF(F768=0,IF(G768&lt;=0.000001,"PASS","FAIL"),IF(H768&lt;=I768,"PASS","FAIL"))</f>
        <v>PASS</v>
      </c>
      <c r="K768" t="inlineStr">
        <is>
          <t xml:space="preserve"/>
        </is>
      </c>
    </row>
    <row r="769">
      <c r="A769" t="inlineStr">
        <is>
          <t xml:space="preserve">VZ</t>
        </is>
      </c>
      <c r="B769" t="inlineStr">
        <is>
          <t xml:space="preserve">Table 3 -- Revenue growth</t>
        </is>
      </c>
      <c r="C769" t="inlineStr">
        <is>
          <t xml:space="preserve">RevGrowth=5.0000%</t>
        </is>
      </c>
      <c r="D769" t="inlineStr">
        <is>
          <t xml:space="preserve">FCF Year 1</t>
        </is>
      </c>
      <c r="E769" s="6">
        <v>22388748479.86455</v>
      </c>
      <c r="F769" s="6">
        <v>22388748479.86455</v>
      </c>
      <c r="G769" s="11">
        <f>ABS(E769-F769)</f>
        <v>0.0</v>
      </c>
      <c r="H769" s="10">
        <f>IF(F769=0,"n/a (zero denom)",G769/ABS(F769))</f>
        <v>0.0</v>
      </c>
      <c r="I769" s="10">
        <f>'Tolerances'!$B$6</f>
        <v>0.001</v>
      </c>
      <c r="J769" s="15" t="str">
        <f>IF(F769=0,IF(G769&lt;=0.000001,"PASS","FAIL"),IF(H769&lt;=I769,"PASS","FAIL"))</f>
        <v>PASS</v>
      </c>
      <c r="K769" t="inlineStr">
        <is>
          <t xml:space="preserve"/>
        </is>
      </c>
    </row>
    <row r="770">
      <c r="A770" t="inlineStr">
        <is>
          <t xml:space="preserve">VZ</t>
        </is>
      </c>
      <c r="B770" t="inlineStr">
        <is>
          <t xml:space="preserve">Table 3 -- Revenue growth</t>
        </is>
      </c>
      <c r="C770" t="inlineStr">
        <is>
          <t xml:space="preserve">RevGrowth=5.0000%</t>
        </is>
      </c>
      <c r="D770" t="inlineStr">
        <is>
          <t xml:space="preserve">FCF Year 2</t>
        </is>
      </c>
      <c r="E770" s="6">
        <v>23508185903.857777</v>
      </c>
      <c r="F770" s="6">
        <v>23508185903.857777</v>
      </c>
      <c r="G770" s="11">
        <f>ABS(E770-F770)</f>
        <v>0.0</v>
      </c>
      <c r="H770" s="10">
        <f>IF(F770=0,"n/a (zero denom)",G770/ABS(F770))</f>
        <v>0.0</v>
      </c>
      <c r="I770" s="10">
        <f>'Tolerances'!$B$6</f>
        <v>0.001</v>
      </c>
      <c r="J770" s="15" t="str">
        <f>IF(F770=0,IF(G770&lt;=0.000001,"PASS","FAIL"),IF(H770&lt;=I770,"PASS","FAIL"))</f>
        <v>PASS</v>
      </c>
      <c r="K770" t="inlineStr">
        <is>
          <t xml:space="preserve"/>
        </is>
      </c>
    </row>
    <row r="771">
      <c r="A771" t="inlineStr">
        <is>
          <t xml:space="preserve">VZ</t>
        </is>
      </c>
      <c r="B771" t="inlineStr">
        <is>
          <t xml:space="preserve">Table 3 -- Revenue growth</t>
        </is>
      </c>
      <c r="C771" t="inlineStr">
        <is>
          <t xml:space="preserve">RevGrowth=5.0000%</t>
        </is>
      </c>
      <c r="D771" t="inlineStr">
        <is>
          <t xml:space="preserve">FCF Year 3</t>
        </is>
      </c>
      <c r="E771" s="6">
        <v>24683595199.050663</v>
      </c>
      <c r="F771" s="6">
        <v>24683595199.050663</v>
      </c>
      <c r="G771" s="11">
        <f>ABS(E771-F771)</f>
        <v>0.0</v>
      </c>
      <c r="H771" s="10">
        <f>IF(F771=0,"n/a (zero denom)",G771/ABS(F771))</f>
        <v>0.0</v>
      </c>
      <c r="I771" s="10">
        <f>'Tolerances'!$B$6</f>
        <v>0.001</v>
      </c>
      <c r="J771" s="15" t="str">
        <f>IF(F771=0,IF(G771&lt;=0.000001,"PASS","FAIL"),IF(H771&lt;=I771,"PASS","FAIL"))</f>
        <v>PASS</v>
      </c>
      <c r="K771" t="inlineStr">
        <is>
          <t xml:space="preserve"/>
        </is>
      </c>
    </row>
    <row r="772">
      <c r="A772" t="inlineStr">
        <is>
          <t xml:space="preserve">VZ</t>
        </is>
      </c>
      <c r="B772" t="inlineStr">
        <is>
          <t xml:space="preserve">Table 3 -- Revenue growth</t>
        </is>
      </c>
      <c r="C772" t="inlineStr">
        <is>
          <t xml:space="preserve">RevGrowth=5.0000%</t>
        </is>
      </c>
      <c r="D772" t="inlineStr">
        <is>
          <t xml:space="preserve">FCF Year 4</t>
        </is>
      </c>
      <c r="E772" s="6">
        <v>25917774959.003197</v>
      </c>
      <c r="F772" s="6">
        <v>25917774959.003197</v>
      </c>
      <c r="G772" s="11">
        <f>ABS(E772-F772)</f>
        <v>0.0</v>
      </c>
      <c r="H772" s="10">
        <f>IF(F772=0,"n/a (zero denom)",G772/ABS(F772))</f>
        <v>0.0</v>
      </c>
      <c r="I772" s="10">
        <f>'Tolerances'!$B$6</f>
        <v>0.001</v>
      </c>
      <c r="J772" s="15" t="str">
        <f>IF(F772=0,IF(G772&lt;=0.000001,"PASS","FAIL"),IF(H772&lt;=I772,"PASS","FAIL"))</f>
        <v>PASS</v>
      </c>
      <c r="K772" t="inlineStr">
        <is>
          <t xml:space="preserve"/>
        </is>
      </c>
    </row>
    <row r="773">
      <c r="A773" t="inlineStr">
        <is>
          <t xml:space="preserve">VZ</t>
        </is>
      </c>
      <c r="B773" t="inlineStr">
        <is>
          <t xml:space="preserve">Table 3 -- Revenue growth</t>
        </is>
      </c>
      <c r="C773" t="inlineStr">
        <is>
          <t xml:space="preserve">RevGrowth=5.0000%</t>
        </is>
      </c>
      <c r="D773" t="inlineStr">
        <is>
          <t xml:space="preserve">FCF Year 5</t>
        </is>
      </c>
      <c r="E773" s="6">
        <v>27213663706.95336</v>
      </c>
      <c r="F773" s="6">
        <v>27213663706.95336</v>
      </c>
      <c r="G773" s="11">
        <f>ABS(E773-F773)</f>
        <v>0.0</v>
      </c>
      <c r="H773" s="10">
        <f>IF(F773=0,"n/a (zero denom)",G773/ABS(F773))</f>
        <v>0.0</v>
      </c>
      <c r="I773" s="10">
        <f>'Tolerances'!$B$6</f>
        <v>0.001</v>
      </c>
      <c r="J773" s="15" t="str">
        <f>IF(F773=0,IF(G773&lt;=0.000001,"PASS","FAIL"),IF(H773&lt;=I773,"PASS","FAIL"))</f>
        <v>PASS</v>
      </c>
      <c r="K773" t="inlineStr">
        <is>
          <t xml:space="preserve"/>
        </is>
      </c>
    </row>
    <row r="774">
      <c r="A774" t="inlineStr">
        <is>
          <t xml:space="preserve">VZ</t>
        </is>
      </c>
      <c r="B774" t="inlineStr">
        <is>
          <t xml:space="preserve">Table 3 -- Revenue growth</t>
        </is>
      </c>
      <c r="C774" t="inlineStr">
        <is>
          <t xml:space="preserve">RevGrowth=5.0000%</t>
        </is>
      </c>
      <c r="D774" t="inlineStr">
        <is>
          <t xml:space="preserve">Terminal Value</t>
        </is>
      </c>
      <c r="E774" s="6">
        <v>1115760211985.0876</v>
      </c>
      <c r="F774" s="6">
        <v>1115760211985.0876</v>
      </c>
      <c r="G774" s="11">
        <f>ABS(E774-F774)</f>
        <v>0.0</v>
      </c>
      <c r="H774" s="10">
        <f>IF(F774=0,"n/a (zero denom)",G774/ABS(F774))</f>
        <v>0.0</v>
      </c>
      <c r="I774" s="10">
        <f>'Tolerances'!$B$7</f>
        <v>0.002</v>
      </c>
      <c r="J774" s="15" t="str">
        <f>IF(F774=0,IF(G774&lt;=0.000001,"PASS","FAIL"),IF(H774&lt;=I774,"PASS","FAIL"))</f>
        <v>PASS</v>
      </c>
      <c r="K774" t="inlineStr">
        <is>
          <t xml:space="preserve"/>
        </is>
      </c>
    </row>
    <row r="775">
      <c r="A775" t="inlineStr">
        <is>
          <t xml:space="preserve">VZ</t>
        </is>
      </c>
      <c r="B775" t="inlineStr">
        <is>
          <t xml:space="preserve">Table 3 -- Revenue growth</t>
        </is>
      </c>
      <c r="C775" t="inlineStr">
        <is>
          <t xml:space="preserve">RevGrowth=5.0000%</t>
        </is>
      </c>
      <c r="D775" t="inlineStr">
        <is>
          <t xml:space="preserve">Enterprise Value</t>
        </is>
      </c>
      <c r="E775" s="6">
        <v>980840409594.0657</v>
      </c>
      <c r="F775" s="6">
        <v>980840409594.0657</v>
      </c>
      <c r="G775" s="11">
        <f>ABS(E775-F775)</f>
        <v>0.0</v>
      </c>
      <c r="H775" s="10">
        <f>IF(F775=0,"n/a (zero denom)",G775/ABS(F775))</f>
        <v>0.0</v>
      </c>
      <c r="I775" s="10">
        <f>'Tolerances'!$B$10</f>
        <v>0.002</v>
      </c>
      <c r="J775" s="15" t="str">
        <f>IF(F775=0,IF(G775&lt;=0.000001,"PASS","FAIL"),IF(H775&lt;=I775,"PASS","FAIL"))</f>
        <v>PASS</v>
      </c>
      <c r="K775" t="inlineStr">
        <is>
          <t xml:space="preserve"/>
        </is>
      </c>
    </row>
    <row r="776">
      <c r="A776" t="inlineStr">
        <is>
          <t xml:space="preserve">VZ</t>
        </is>
      </c>
      <c r="B776" t="inlineStr">
        <is>
          <t xml:space="preserve">Table 3 -- Revenue growth</t>
        </is>
      </c>
      <c r="C776" t="inlineStr">
        <is>
          <t xml:space="preserve">RevGrowth=5.0000%</t>
        </is>
      </c>
      <c r="D776" t="inlineStr">
        <is>
          <t xml:space="preserve">Equity Value</t>
        </is>
      </c>
      <c r="E776" s="6">
        <v>841738409594.0657</v>
      </c>
      <c r="F776" s="6">
        <v>841738409594.0657</v>
      </c>
      <c r="G776" s="11">
        <f>ABS(E776-F776)</f>
        <v>0.0</v>
      </c>
      <c r="H776" s="10">
        <f>IF(F776=0,"n/a (zero denom)",G776/ABS(F776))</f>
        <v>0.0</v>
      </c>
      <c r="I776" s="10">
        <f>'Tolerances'!$B$11</f>
        <v>0.002</v>
      </c>
      <c r="J776" s="15" t="str">
        <f>IF(F776=0,IF(G776&lt;=0.000001,"PASS","FAIL"),IF(H776&lt;=I776,"PASS","FAIL"))</f>
        <v>PASS</v>
      </c>
      <c r="K776" t="inlineStr">
        <is>
          <t xml:space="preserve"/>
        </is>
      </c>
    </row>
    <row r="777">
      <c r="A777" t="inlineStr">
        <is>
          <t xml:space="preserve">VZ</t>
        </is>
      </c>
      <c r="B777" t="inlineStr">
        <is>
          <t xml:space="preserve">Table 3 -- Revenue growth</t>
        </is>
      </c>
      <c r="C777" t="inlineStr">
        <is>
          <t xml:space="preserve">RevGrowth=5.0000%</t>
        </is>
      </c>
      <c r="D777" t="inlineStr">
        <is>
          <t xml:space="preserve">Intrinsic Value per Share</t>
        </is>
      </c>
      <c r="E777" s="7">
        <v>202.5954157974359</v>
      </c>
      <c r="F777" s="7">
        <v>202.5954157974359</v>
      </c>
      <c r="G777" s="12">
        <f>ABS(E777-F777)</f>
        <v>0.0</v>
      </c>
      <c r="H777" s="10">
        <f>IF(F777=0,"n/a (zero denom)",G777/ABS(F777))</f>
        <v>0.0</v>
      </c>
      <c r="I777" s="10">
        <f>'Tolerances'!$B$13</f>
        <v>0.005</v>
      </c>
      <c r="J777" s="15" t="str">
        <f>IF(F777=0,IF(G777&lt;=0.000001,"PASS","FAIL"),IF(H777&lt;=I777,"PASS","FAIL"))</f>
        <v>PASS</v>
      </c>
      <c r="K777" t="inlineStr">
        <is>
          <t xml:space="preserve"/>
        </is>
      </c>
    </row>
    <row r="778">
      <c r="A778" t="inlineStr">
        <is>
          <t xml:space="preserve">VZ</t>
        </is>
      </c>
      <c r="B778" t="inlineStr">
        <is>
          <t xml:space="preserve">Table 3 -- Revenue growth</t>
        </is>
      </c>
      <c r="C778" t="inlineStr">
        <is>
          <t xml:space="preserve">RevGrowth=10.0000%</t>
        </is>
      </c>
      <c r="D778" t="inlineStr">
        <is>
          <t xml:space="preserve">FCF Year 1</t>
        </is>
      </c>
      <c r="E778" s="6">
        <v>23389074121.76286</v>
      </c>
      <c r="F778" s="6">
        <v>23389074121.76286</v>
      </c>
      <c r="G778" s="11">
        <f>ABS(E778-F778)</f>
        <v>0.0</v>
      </c>
      <c r="H778" s="10">
        <f>IF(F778=0,"n/a (zero denom)",G778/ABS(F778))</f>
        <v>0.0</v>
      </c>
      <c r="I778" s="10">
        <f>'Tolerances'!$B$6</f>
        <v>0.001</v>
      </c>
      <c r="J778" s="15" t="str">
        <f>IF(F778=0,IF(G778&lt;=0.000001,"PASS","FAIL"),IF(H778&lt;=I778,"PASS","FAIL"))</f>
        <v>PASS</v>
      </c>
      <c r="K778" t="inlineStr">
        <is>
          <t xml:space="preserve"/>
        </is>
      </c>
    </row>
    <row r="779">
      <c r="A779" t="inlineStr">
        <is>
          <t xml:space="preserve">VZ</t>
        </is>
      </c>
      <c r="B779" t="inlineStr">
        <is>
          <t xml:space="preserve">Table 3 -- Revenue growth</t>
        </is>
      </c>
      <c r="C779" t="inlineStr">
        <is>
          <t xml:space="preserve">RevGrowth=10.0000%</t>
        </is>
      </c>
      <c r="D779" t="inlineStr">
        <is>
          <t xml:space="preserve">FCF Year 2</t>
        </is>
      </c>
      <c r="E779" s="6">
        <v>25727981533.939144</v>
      </c>
      <c r="F779" s="6">
        <v>25727981533.939144</v>
      </c>
      <c r="G779" s="11">
        <f>ABS(E779-F779)</f>
        <v>0.0</v>
      </c>
      <c r="H779" s="10">
        <f>IF(F779=0,"n/a (zero denom)",G779/ABS(F779))</f>
        <v>0.0</v>
      </c>
      <c r="I779" s="10">
        <f>'Tolerances'!$B$6</f>
        <v>0.001</v>
      </c>
      <c r="J779" s="15" t="str">
        <f>IF(F779=0,IF(G779&lt;=0.000001,"PASS","FAIL"),IF(H779&lt;=I779,"PASS","FAIL"))</f>
        <v>PASS</v>
      </c>
      <c r="K779" t="inlineStr">
        <is>
          <t xml:space="preserve"/>
        </is>
      </c>
    </row>
    <row r="780">
      <c r="A780" t="inlineStr">
        <is>
          <t xml:space="preserve">VZ</t>
        </is>
      </c>
      <c r="B780" t="inlineStr">
        <is>
          <t xml:space="preserve">Table 3 -- Revenue growth</t>
        </is>
      </c>
      <c r="C780" t="inlineStr">
        <is>
          <t xml:space="preserve">RevGrowth=10.0000%</t>
        </is>
      </c>
      <c r="D780" t="inlineStr">
        <is>
          <t xml:space="preserve">FCF Year 3</t>
        </is>
      </c>
      <c r="E780" s="6">
        <v>28300779687.333054</v>
      </c>
      <c r="F780" s="6">
        <v>28300779687.333054</v>
      </c>
      <c r="G780" s="11">
        <f>ABS(E780-F780)</f>
        <v>0.0</v>
      </c>
      <c r="H780" s="10">
        <f>IF(F780=0,"n/a (zero denom)",G780/ABS(F780))</f>
        <v>0.0</v>
      </c>
      <c r="I780" s="10">
        <f>'Tolerances'!$B$6</f>
        <v>0.001</v>
      </c>
      <c r="J780" s="15" t="str">
        <f>IF(F780=0,IF(G780&lt;=0.000001,"PASS","FAIL"),IF(H780&lt;=I780,"PASS","FAIL"))</f>
        <v>PASS</v>
      </c>
      <c r="K780" t="inlineStr">
        <is>
          <t xml:space="preserve"/>
        </is>
      </c>
    </row>
    <row r="781">
      <c r="A781" t="inlineStr">
        <is>
          <t xml:space="preserve">VZ</t>
        </is>
      </c>
      <c r="B781" t="inlineStr">
        <is>
          <t xml:space="preserve">Table 3 -- Revenue growth</t>
        </is>
      </c>
      <c r="C781" t="inlineStr">
        <is>
          <t xml:space="preserve">RevGrowth=10.0000%</t>
        </is>
      </c>
      <c r="D781" t="inlineStr">
        <is>
          <t xml:space="preserve">FCF Year 4</t>
        </is>
      </c>
      <c r="E781" s="6">
        <v>31130857656.066376</v>
      </c>
      <c r="F781" s="6">
        <v>31130857656.066376</v>
      </c>
      <c r="G781" s="11">
        <f>ABS(E781-F781)</f>
        <v>0.0</v>
      </c>
      <c r="H781" s="10">
        <f>IF(F781=0,"n/a (zero denom)",G781/ABS(F781))</f>
        <v>0.0</v>
      </c>
      <c r="I781" s="10">
        <f>'Tolerances'!$B$6</f>
        <v>0.001</v>
      </c>
      <c r="J781" s="15" t="str">
        <f>IF(F781=0,IF(G781&lt;=0.000001,"PASS","FAIL"),IF(H781&lt;=I781,"PASS","FAIL"))</f>
        <v>PASS</v>
      </c>
      <c r="K781" t="inlineStr">
        <is>
          <t xml:space="preserve"/>
        </is>
      </c>
    </row>
    <row r="782">
      <c r="A782" t="inlineStr">
        <is>
          <t xml:space="preserve">VZ</t>
        </is>
      </c>
      <c r="B782" t="inlineStr">
        <is>
          <t xml:space="preserve">Table 3 -- Revenue growth</t>
        </is>
      </c>
      <c r="C782" t="inlineStr">
        <is>
          <t xml:space="preserve">RevGrowth=10.0000%</t>
        </is>
      </c>
      <c r="D782" t="inlineStr">
        <is>
          <t xml:space="preserve">FCF Year 5</t>
        </is>
      </c>
      <c r="E782" s="6">
        <v>34243943421.67302</v>
      </c>
      <c r="F782" s="6">
        <v>34243943421.67302</v>
      </c>
      <c r="G782" s="11">
        <f>ABS(E782-F782)</f>
        <v>0.0</v>
      </c>
      <c r="H782" s="10">
        <f>IF(F782=0,"n/a (zero denom)",G782/ABS(F782))</f>
        <v>0.0</v>
      </c>
      <c r="I782" s="10">
        <f>'Tolerances'!$B$6</f>
        <v>0.001</v>
      </c>
      <c r="J782" s="15" t="str">
        <f>IF(F782=0,IF(G782&lt;=0.000001,"PASS","FAIL"),IF(H782&lt;=I782,"PASS","FAIL"))</f>
        <v>PASS</v>
      </c>
      <c r="K782" t="inlineStr">
        <is>
          <t xml:space="preserve"/>
        </is>
      </c>
    </row>
    <row r="783">
      <c r="A783" t="inlineStr">
        <is>
          <t xml:space="preserve">VZ</t>
        </is>
      </c>
      <c r="B783" t="inlineStr">
        <is>
          <t xml:space="preserve">Table 3 -- Revenue growth</t>
        </is>
      </c>
      <c r="C783" t="inlineStr">
        <is>
          <t xml:space="preserve">RevGrowth=10.0000%</t>
        </is>
      </c>
      <c r="D783" t="inlineStr">
        <is>
          <t xml:space="preserve">Terminal Value</t>
        </is>
      </c>
      <c r="E783" s="6">
        <v>1404001680288.5938</v>
      </c>
      <c r="F783" s="6">
        <v>1404001680288.5938</v>
      </c>
      <c r="G783" s="11">
        <f>ABS(E783-F783)</f>
        <v>0.0</v>
      </c>
      <c r="H783" s="10">
        <f>IF(F783=0,"n/a (zero denom)",G783/ABS(F783))</f>
        <v>0.0</v>
      </c>
      <c r="I783" s="10">
        <f>'Tolerances'!$B$7</f>
        <v>0.002</v>
      </c>
      <c r="J783" s="15" t="str">
        <f>IF(F783=0,IF(G783&lt;=0.000001,"PASS","FAIL"),IF(H783&lt;=I783,"PASS","FAIL"))</f>
        <v>PASS</v>
      </c>
      <c r="K783" t="inlineStr">
        <is>
          <t xml:space="preserve"/>
        </is>
      </c>
    </row>
    <row r="784">
      <c r="A784" t="inlineStr">
        <is>
          <t xml:space="preserve">VZ</t>
        </is>
      </c>
      <c r="B784" t="inlineStr">
        <is>
          <t xml:space="preserve">Table 3 -- Revenue growth</t>
        </is>
      </c>
      <c r="C784" t="inlineStr">
        <is>
          <t xml:space="preserve">RevGrowth=10.0000%</t>
        </is>
      </c>
      <c r="D784" t="inlineStr">
        <is>
          <t xml:space="preserve">Enterprise Value</t>
        </is>
      </c>
      <c r="E784" s="6">
        <v>1222573137543.357</v>
      </c>
      <c r="F784" s="6">
        <v>1222573137543.357</v>
      </c>
      <c r="G784" s="11">
        <f>ABS(E784-F784)</f>
        <v>0.0</v>
      </c>
      <c r="H784" s="10">
        <f>IF(F784=0,"n/a (zero denom)",G784/ABS(F784))</f>
        <v>0.0</v>
      </c>
      <c r="I784" s="10">
        <f>'Tolerances'!$B$10</f>
        <v>0.002</v>
      </c>
      <c r="J784" s="15" t="str">
        <f>IF(F784=0,IF(G784&lt;=0.000001,"PASS","FAIL"),IF(H784&lt;=I784,"PASS","FAIL"))</f>
        <v>PASS</v>
      </c>
      <c r="K784" t="inlineStr">
        <is>
          <t xml:space="preserve"/>
        </is>
      </c>
    </row>
    <row r="785">
      <c r="A785" t="inlineStr">
        <is>
          <t xml:space="preserve">VZ</t>
        </is>
      </c>
      <c r="B785" t="inlineStr">
        <is>
          <t xml:space="preserve">Table 3 -- Revenue growth</t>
        </is>
      </c>
      <c r="C785" t="inlineStr">
        <is>
          <t xml:space="preserve">RevGrowth=10.0000%</t>
        </is>
      </c>
      <c r="D785" t="inlineStr">
        <is>
          <t xml:space="preserve">Equity Value</t>
        </is>
      </c>
      <c r="E785" s="6">
        <v>1083471137543.3569</v>
      </c>
      <c r="F785" s="6">
        <v>1083471137543.3569</v>
      </c>
      <c r="G785" s="11">
        <f>ABS(E785-F785)</f>
        <v>0.0</v>
      </c>
      <c r="H785" s="10">
        <f>IF(F785=0,"n/a (zero denom)",G785/ABS(F785))</f>
        <v>0.0</v>
      </c>
      <c r="I785" s="10">
        <f>'Tolerances'!$B$11</f>
        <v>0.002</v>
      </c>
      <c r="J785" s="15" t="str">
        <f>IF(F785=0,IF(G785&lt;=0.000001,"PASS","FAIL"),IF(H785&lt;=I785,"PASS","FAIL"))</f>
        <v>PASS</v>
      </c>
      <c r="K785" t="inlineStr">
        <is>
          <t xml:space="preserve"/>
        </is>
      </c>
    </row>
    <row r="786">
      <c r="A786" t="inlineStr">
        <is>
          <t xml:space="preserve">VZ</t>
        </is>
      </c>
      <c r="B786" t="inlineStr">
        <is>
          <t xml:space="preserve">Table 3 -- Revenue growth</t>
        </is>
      </c>
      <c r="C786" t="inlineStr">
        <is>
          <t xml:space="preserve">RevGrowth=10.0000%</t>
        </is>
      </c>
      <c r="D786" t="inlineStr">
        <is>
          <t xml:space="preserve">Intrinsic Value per Share</t>
        </is>
      </c>
      <c r="E786" s="7">
        <v>260.7773188358789</v>
      </c>
      <c r="F786" s="7">
        <v>260.7773188358789</v>
      </c>
      <c r="G786" s="12">
        <f>ABS(E786-F786)</f>
        <v>0.0</v>
      </c>
      <c r="H786" s="10">
        <f>IF(F786=0,"n/a (zero denom)",G786/ABS(F786))</f>
        <v>0.0</v>
      </c>
      <c r="I786" s="10">
        <f>'Tolerances'!$B$13</f>
        <v>0.005</v>
      </c>
      <c r="J786" s="15" t="str">
        <f>IF(F786=0,IF(G786&lt;=0.000001,"PASS","FAIL"),IF(H786&lt;=I786,"PASS","FAIL"))</f>
        <v>PASS</v>
      </c>
      <c r="K786" t="inlineStr">
        <is>
          <t xml:space="preserve"/>
        </is>
      </c>
    </row>
    <row r="787">
      <c r="A787" t="inlineStr">
        <is>
          <t xml:space="preserve">VZ</t>
        </is>
      </c>
      <c r="B787" t="inlineStr">
        <is>
          <t xml:space="preserve">Table 3 -- Revenue growth</t>
        </is>
      </c>
      <c r="C787" t="inlineStr">
        <is>
          <t xml:space="preserve">RevGrowth=20.0000%</t>
        </is>
      </c>
      <c r="D787" t="inlineStr">
        <is>
          <t xml:space="preserve">FCF Year 1</t>
        </is>
      </c>
      <c r="E787" s="6">
        <v>25389725405.559486</v>
      </c>
      <c r="F787" s="6">
        <v>25389725405.559486</v>
      </c>
      <c r="G787" s="11">
        <f>ABS(E787-F787)</f>
        <v>0.0</v>
      </c>
      <c r="H787" s="10">
        <f>IF(F787=0,"n/a (zero denom)",G787/ABS(F787))</f>
        <v>0.0</v>
      </c>
      <c r="I787" s="10">
        <f>'Tolerances'!$B$6</f>
        <v>0.001</v>
      </c>
      <c r="J787" s="15" t="str">
        <f>IF(F787=0,IF(G787&lt;=0.000001,"PASS","FAIL"),IF(H787&lt;=I787,"PASS","FAIL"))</f>
        <v>PASS</v>
      </c>
      <c r="K787" t="inlineStr">
        <is>
          <t xml:space="preserve"/>
        </is>
      </c>
    </row>
    <row r="788">
      <c r="A788" t="inlineStr">
        <is>
          <t xml:space="preserve">VZ</t>
        </is>
      </c>
      <c r="B788" t="inlineStr">
        <is>
          <t xml:space="preserve">Table 3 -- Revenue growth</t>
        </is>
      </c>
      <c r="C788" t="inlineStr">
        <is>
          <t xml:space="preserve">RevGrowth=20.0000%</t>
        </is>
      </c>
      <c r="D788" t="inlineStr">
        <is>
          <t xml:space="preserve">FCF Year 2</t>
        </is>
      </c>
      <c r="E788" s="6">
        <v>30467670486.67138</v>
      </c>
      <c r="F788" s="6">
        <v>30467670486.67138</v>
      </c>
      <c r="G788" s="11">
        <f>ABS(E788-F788)</f>
        <v>0.0</v>
      </c>
      <c r="H788" s="10">
        <f>IF(F788=0,"n/a (zero denom)",G788/ABS(F788))</f>
        <v>0.0</v>
      </c>
      <c r="I788" s="10">
        <f>'Tolerances'!$B$6</f>
        <v>0.001</v>
      </c>
      <c r="J788" s="15" t="str">
        <f>IF(F788=0,IF(G788&lt;=0.000001,"PASS","FAIL"),IF(H788&lt;=I788,"PASS","FAIL"))</f>
        <v>PASS</v>
      </c>
      <c r="K788" t="inlineStr">
        <is>
          <t xml:space="preserve"/>
        </is>
      </c>
    </row>
    <row r="789">
      <c r="A789" t="inlineStr">
        <is>
          <t xml:space="preserve">VZ</t>
        </is>
      </c>
      <c r="B789" t="inlineStr">
        <is>
          <t xml:space="preserve">Table 3 -- Revenue growth</t>
        </is>
      </c>
      <c r="C789" t="inlineStr">
        <is>
          <t xml:space="preserve">RevGrowth=20.0000%</t>
        </is>
      </c>
      <c r="D789" t="inlineStr">
        <is>
          <t xml:space="preserve">FCF Year 3</t>
        </is>
      </c>
      <c r="E789" s="6">
        <v>36561204584.00566</v>
      </c>
      <c r="F789" s="6">
        <v>36561204584.00566</v>
      </c>
      <c r="G789" s="11">
        <f>ABS(E789-F789)</f>
        <v>0.0</v>
      </c>
      <c r="H789" s="10">
        <f>IF(F789=0,"n/a (zero denom)",G789/ABS(F789))</f>
        <v>0.0</v>
      </c>
      <c r="I789" s="10">
        <f>'Tolerances'!$B$6</f>
        <v>0.001</v>
      </c>
      <c r="J789" s="15" t="str">
        <f>IF(F789=0,IF(G789&lt;=0.000001,"PASS","FAIL"),IF(H789&lt;=I789,"PASS","FAIL"))</f>
        <v>PASS</v>
      </c>
      <c r="K789" t="inlineStr">
        <is>
          <t xml:space="preserve"/>
        </is>
      </c>
    </row>
    <row r="790">
      <c r="A790" t="inlineStr">
        <is>
          <t xml:space="preserve">VZ</t>
        </is>
      </c>
      <c r="B790" t="inlineStr">
        <is>
          <t xml:space="preserve">Table 3 -- Revenue growth</t>
        </is>
      </c>
      <c r="C790" t="inlineStr">
        <is>
          <t xml:space="preserve">RevGrowth=20.0000%</t>
        </is>
      </c>
      <c r="D790" t="inlineStr">
        <is>
          <t xml:space="preserve">FCF Year 4</t>
        </is>
      </c>
      <c r="E790" s="6">
        <v>43873445500.806786</v>
      </c>
      <c r="F790" s="6">
        <v>43873445500.806786</v>
      </c>
      <c r="G790" s="11">
        <f>ABS(E790-F790)</f>
        <v>0.0</v>
      </c>
      <c r="H790" s="10">
        <f>IF(F790=0,"n/a (zero denom)",G790/ABS(F790))</f>
        <v>0.0</v>
      </c>
      <c r="I790" s="10">
        <f>'Tolerances'!$B$6</f>
        <v>0.001</v>
      </c>
      <c r="J790" s="15" t="str">
        <f>IF(F790=0,IF(G790&lt;=0.000001,"PASS","FAIL"),IF(H790&lt;=I790,"PASS","FAIL"))</f>
        <v>PASS</v>
      </c>
      <c r="K790" t="inlineStr">
        <is>
          <t xml:space="preserve"/>
        </is>
      </c>
    </row>
    <row r="791">
      <c r="A791" t="inlineStr">
        <is>
          <t xml:space="preserve">VZ</t>
        </is>
      </c>
      <c r="B791" t="inlineStr">
        <is>
          <t xml:space="preserve">Table 3 -- Revenue growth</t>
        </is>
      </c>
      <c r="C791" t="inlineStr">
        <is>
          <t xml:space="preserve">RevGrowth=20.0000%</t>
        </is>
      </c>
      <c r="D791" t="inlineStr">
        <is>
          <t xml:space="preserve">FCF Year 5</t>
        </is>
      </c>
      <c r="E791" s="6">
        <v>52648134600.96815</v>
      </c>
      <c r="F791" s="6">
        <v>52648134600.96815</v>
      </c>
      <c r="G791" s="11">
        <f>ABS(E791-F791)</f>
        <v>0.0</v>
      </c>
      <c r="H791" s="10">
        <f>IF(F791=0,"n/a (zero denom)",G791/ABS(F791))</f>
        <v>0.0</v>
      </c>
      <c r="I791" s="10">
        <f>'Tolerances'!$B$6</f>
        <v>0.001</v>
      </c>
      <c r="J791" s="15" t="str">
        <f>IF(F791=0,IF(G791&lt;=0.000001,"PASS","FAIL"),IF(H791&lt;=I791,"PASS","FAIL"))</f>
        <v>PASS</v>
      </c>
      <c r="K791" t="inlineStr">
        <is>
          <t xml:space="preserve"/>
        </is>
      </c>
    </row>
    <row r="792">
      <c r="A792" t="inlineStr">
        <is>
          <t xml:space="preserve">VZ</t>
        </is>
      </c>
      <c r="B792" t="inlineStr">
        <is>
          <t xml:space="preserve">Table 3 -- Revenue growth</t>
        </is>
      </c>
      <c r="C792" t="inlineStr">
        <is>
          <t xml:space="preserve">RevGrowth=20.0000%</t>
        </is>
      </c>
      <c r="D792" t="inlineStr">
        <is>
          <t xml:space="preserve">Terminal Value</t>
        </is>
      </c>
      <c r="E792" s="6">
        <v>2158573518639.6938</v>
      </c>
      <c r="F792" s="6">
        <v>2158573518639.6938</v>
      </c>
      <c r="G792" s="11">
        <f>ABS(E792-F792)</f>
        <v>0.0</v>
      </c>
      <c r="H792" s="10">
        <f>IF(F792=0,"n/a (zero denom)",G792/ABS(F792))</f>
        <v>0.0</v>
      </c>
      <c r="I792" s="10">
        <f>'Tolerances'!$B$7</f>
        <v>0.002</v>
      </c>
      <c r="J792" s="15" t="str">
        <f>IF(F792=0,IF(G792&lt;=0.000001,"PASS","FAIL"),IF(H792&lt;=I792,"PASS","FAIL"))</f>
        <v>PASS</v>
      </c>
      <c r="K792" t="inlineStr">
        <is>
          <t xml:space="preserve"/>
        </is>
      </c>
    </row>
    <row r="793">
      <c r="A793" t="inlineStr">
        <is>
          <t xml:space="preserve">VZ</t>
        </is>
      </c>
      <c r="B793" t="inlineStr">
        <is>
          <t xml:space="preserve">Table 3 -- Revenue growth</t>
        </is>
      </c>
      <c r="C793" t="inlineStr">
        <is>
          <t xml:space="preserve">RevGrowth=20.0000%</t>
        </is>
      </c>
      <c r="D793" t="inlineStr">
        <is>
          <t xml:space="preserve">Enterprise Value</t>
        </is>
      </c>
      <c r="E793" s="6">
        <v>1852043526667.9243</v>
      </c>
      <c r="F793" s="6">
        <v>1852043526667.9243</v>
      </c>
      <c r="G793" s="11">
        <f>ABS(E793-F793)</f>
        <v>0.0</v>
      </c>
      <c r="H793" s="10">
        <f>IF(F793=0,"n/a (zero denom)",G793/ABS(F793))</f>
        <v>0.0</v>
      </c>
      <c r="I793" s="10">
        <f>'Tolerances'!$B$10</f>
        <v>0.002</v>
      </c>
      <c r="J793" s="15" t="str">
        <f>IF(F793=0,IF(G793&lt;=0.000001,"PASS","FAIL"),IF(H793&lt;=I793,"PASS","FAIL"))</f>
        <v>PASS</v>
      </c>
      <c r="K793" t="inlineStr">
        <is>
          <t xml:space="preserve"/>
        </is>
      </c>
    </row>
    <row r="794">
      <c r="A794" t="inlineStr">
        <is>
          <t xml:space="preserve">VZ</t>
        </is>
      </c>
      <c r="B794" t="inlineStr">
        <is>
          <t xml:space="preserve">Table 3 -- Revenue growth</t>
        </is>
      </c>
      <c r="C794" t="inlineStr">
        <is>
          <t xml:space="preserve">RevGrowth=20.0000%</t>
        </is>
      </c>
      <c r="D794" t="inlineStr">
        <is>
          <t xml:space="preserve">Equity Value</t>
        </is>
      </c>
      <c r="E794" s="6">
        <v>1712941526667.9243</v>
      </c>
      <c r="F794" s="6">
        <v>1712941526667.9243</v>
      </c>
      <c r="G794" s="11">
        <f>ABS(E794-F794)</f>
        <v>0.0</v>
      </c>
      <c r="H794" s="10">
        <f>IF(F794=0,"n/a (zero denom)",G794/ABS(F794))</f>
        <v>0.0</v>
      </c>
      <c r="I794" s="10">
        <f>'Tolerances'!$B$11</f>
        <v>0.002</v>
      </c>
      <c r="J794" s="15" t="str">
        <f>IF(F794=0,IF(G794&lt;=0.000001,"PASS","FAIL"),IF(H794&lt;=I794,"PASS","FAIL"))</f>
        <v>PASS</v>
      </c>
      <c r="K794" t="inlineStr">
        <is>
          <t xml:space="preserve"/>
        </is>
      </c>
    </row>
    <row r="795">
      <c r="A795" t="inlineStr">
        <is>
          <t xml:space="preserve">VZ</t>
        </is>
      </c>
      <c r="B795" t="inlineStr">
        <is>
          <t xml:space="preserve">Table 3 -- Revenue growth</t>
        </is>
      </c>
      <c r="C795" t="inlineStr">
        <is>
          <t xml:space="preserve">RevGrowth=20.0000%</t>
        </is>
      </c>
      <c r="D795" t="inlineStr">
        <is>
          <t xml:space="preserve">Intrinsic Value per Share</t>
        </is>
      </c>
      <c r="E795" s="7">
        <v>412.28260095596966</v>
      </c>
      <c r="F795" s="7">
        <v>412.28260095596966</v>
      </c>
      <c r="G795" s="12">
        <f>ABS(E795-F795)</f>
        <v>0.0</v>
      </c>
      <c r="H795" s="10">
        <f>IF(F795=0,"n/a (zero denom)",G795/ABS(F795))</f>
        <v>0.0</v>
      </c>
      <c r="I795" s="10">
        <f>'Tolerances'!$B$13</f>
        <v>0.005</v>
      </c>
      <c r="J795" s="15" t="str">
        <f>IF(F795=0,IF(G795&lt;=0.000001,"PASS","FAIL"),IF(H795&lt;=I795,"PASS","FAIL"))</f>
        <v>PASS</v>
      </c>
      <c r="K795" t="inlineStr">
        <is>
          <t xml:space="preserve"/>
        </is>
      </c>
    </row>
    <row r="796">
      <c r="A796" t="inlineStr">
        <is>
          <t xml:space="preserve">VZ</t>
        </is>
      </c>
      <c r="B796" t="inlineStr">
        <is>
          <t xml:space="preserve">Table 3 -- Revenue growth</t>
        </is>
      </c>
      <c r="C796" t="inlineStr">
        <is>
          <t xml:space="preserve">RevGrowth=30.0000%</t>
        </is>
      </c>
      <c r="D796" t="inlineStr">
        <is>
          <t xml:space="preserve">FCF Year 1</t>
        </is>
      </c>
      <c r="E796" s="6">
        <v>27390376689.35611</v>
      </c>
      <c r="F796" s="6">
        <v>27390376689.35611</v>
      </c>
      <c r="G796" s="11">
        <f>ABS(E796-F796)</f>
        <v>0.0</v>
      </c>
      <c r="H796" s="10">
        <f>IF(F796=0,"n/a (zero denom)",G796/ABS(F796))</f>
        <v>0.0</v>
      </c>
      <c r="I796" s="10">
        <f>'Tolerances'!$B$6</f>
        <v>0.001</v>
      </c>
      <c r="J796" s="15" t="str">
        <f>IF(F796=0,IF(G796&lt;=0.000001,"PASS","FAIL"),IF(H796&lt;=I796,"PASS","FAIL"))</f>
        <v>PASS</v>
      </c>
      <c r="K796" t="inlineStr">
        <is>
          <t xml:space="preserve"/>
        </is>
      </c>
    </row>
    <row r="797">
      <c r="A797" t="inlineStr">
        <is>
          <t xml:space="preserve">VZ</t>
        </is>
      </c>
      <c r="B797" t="inlineStr">
        <is>
          <t xml:space="preserve">Table 3 -- Revenue growth</t>
        </is>
      </c>
      <c r="C797" t="inlineStr">
        <is>
          <t xml:space="preserve">RevGrowth=30.0000%</t>
        </is>
      </c>
      <c r="D797" t="inlineStr">
        <is>
          <t xml:space="preserve">FCF Year 2</t>
        </is>
      </c>
      <c r="E797" s="6">
        <v>35607489696.16294</v>
      </c>
      <c r="F797" s="6">
        <v>35607489696.16294</v>
      </c>
      <c r="G797" s="11">
        <f>ABS(E797-F797)</f>
        <v>0.0</v>
      </c>
      <c r="H797" s="10">
        <f>IF(F797=0,"n/a (zero denom)",G797/ABS(F797))</f>
        <v>0.0</v>
      </c>
      <c r="I797" s="10">
        <f>'Tolerances'!$B$6</f>
        <v>0.001</v>
      </c>
      <c r="J797" s="15" t="str">
        <f>IF(F797=0,IF(G797&lt;=0.000001,"PASS","FAIL"),IF(H797&lt;=I797,"PASS","FAIL"))</f>
        <v>PASS</v>
      </c>
      <c r="K797" t="inlineStr">
        <is>
          <t xml:space="preserve"/>
        </is>
      </c>
    </row>
    <row r="798">
      <c r="A798" t="inlineStr">
        <is>
          <t xml:space="preserve">VZ</t>
        </is>
      </c>
      <c r="B798" t="inlineStr">
        <is>
          <t xml:space="preserve">Table 3 -- Revenue growth</t>
        </is>
      </c>
      <c r="C798" t="inlineStr">
        <is>
          <t xml:space="preserve">RevGrowth=30.0000%</t>
        </is>
      </c>
      <c r="D798" t="inlineStr">
        <is>
          <t xml:space="preserve">FCF Year 3</t>
        </is>
      </c>
      <c r="E798" s="6">
        <v>46289736605.01182</v>
      </c>
      <c r="F798" s="6">
        <v>46289736605.01182</v>
      </c>
      <c r="G798" s="11">
        <f>ABS(E798-F798)</f>
        <v>0.0</v>
      </c>
      <c r="H798" s="10">
        <f>IF(F798=0,"n/a (zero denom)",G798/ABS(F798))</f>
        <v>0.0</v>
      </c>
      <c r="I798" s="10">
        <f>'Tolerances'!$B$6</f>
        <v>0.001</v>
      </c>
      <c r="J798" s="15" t="str">
        <f>IF(F798=0,IF(G798&lt;=0.000001,"PASS","FAIL"),IF(H798&lt;=I798,"PASS","FAIL"))</f>
        <v>PASS</v>
      </c>
      <c r="K798" t="inlineStr">
        <is>
          <t xml:space="preserve"/>
        </is>
      </c>
    </row>
    <row r="799">
      <c r="A799" t="inlineStr">
        <is>
          <t xml:space="preserve">VZ</t>
        </is>
      </c>
      <c r="B799" t="inlineStr">
        <is>
          <t xml:space="preserve">Table 3 -- Revenue growth</t>
        </is>
      </c>
      <c r="C799" t="inlineStr">
        <is>
          <t xml:space="preserve">RevGrowth=30.0000%</t>
        </is>
      </c>
      <c r="D799" t="inlineStr">
        <is>
          <t xml:space="preserve">FCF Year 4</t>
        </is>
      </c>
      <c r="E799" s="6">
        <v>60176657586.51538</v>
      </c>
      <c r="F799" s="6">
        <v>60176657586.51538</v>
      </c>
      <c r="G799" s="11">
        <f>ABS(E799-F799)</f>
        <v>0.0</v>
      </c>
      <c r="H799" s="10">
        <f>IF(F799=0,"n/a (zero denom)",G799/ABS(F799))</f>
        <v>0.0</v>
      </c>
      <c r="I799" s="10">
        <f>'Tolerances'!$B$6</f>
        <v>0.001</v>
      </c>
      <c r="J799" s="15" t="str">
        <f>IF(F799=0,IF(G799&lt;=0.000001,"PASS","FAIL"),IF(H799&lt;=I799,"PASS","FAIL"))</f>
        <v>PASS</v>
      </c>
      <c r="K799" t="inlineStr">
        <is>
          <t xml:space="preserve"/>
        </is>
      </c>
    </row>
    <row r="800">
      <c r="A800" t="inlineStr">
        <is>
          <t xml:space="preserve">VZ</t>
        </is>
      </c>
      <c r="B800" t="inlineStr">
        <is>
          <t xml:space="preserve">Table 3 -- Revenue growth</t>
        </is>
      </c>
      <c r="C800" t="inlineStr">
        <is>
          <t xml:space="preserve">RevGrowth=30.0000%</t>
        </is>
      </c>
      <c r="D800" t="inlineStr">
        <is>
          <t xml:space="preserve">FCF Year 5</t>
        </is>
      </c>
      <c r="E800" s="6">
        <v>78229654862.46997</v>
      </c>
      <c r="F800" s="6">
        <v>78229654862.46997</v>
      </c>
      <c r="G800" s="11">
        <f>ABS(E800-F800)</f>
        <v>0.0</v>
      </c>
      <c r="H800" s="10">
        <f>IF(F800=0,"n/a (zero denom)",G800/ABS(F800))</f>
        <v>0.0</v>
      </c>
      <c r="I800" s="10">
        <f>'Tolerances'!$B$6</f>
        <v>0.001</v>
      </c>
      <c r="J800" s="15" t="str">
        <f>IF(F800=0,IF(G800&lt;=0.000001,"PASS","FAIL"),IF(H800&lt;=I800,"PASS","FAIL"))</f>
        <v>PASS</v>
      </c>
      <c r="K800" t="inlineStr">
        <is>
          <t xml:space="preserve"/>
        </is>
      </c>
    </row>
    <row r="801">
      <c r="A801" t="inlineStr">
        <is>
          <t xml:space="preserve">VZ</t>
        </is>
      </c>
      <c r="B801" t="inlineStr">
        <is>
          <t xml:space="preserve">Table 3 -- Revenue growth</t>
        </is>
      </c>
      <c r="C801" t="inlineStr">
        <is>
          <t xml:space="preserve">RevGrowth=30.0000%</t>
        </is>
      </c>
      <c r="D801" t="inlineStr">
        <is>
          <t xml:space="preserve">Terminal Value</t>
        </is>
      </c>
      <c r="E801" s="6">
        <v>3207415849361.268</v>
      </c>
      <c r="F801" s="6">
        <v>3207415849361.268</v>
      </c>
      <c r="G801" s="11">
        <f>ABS(E801-F801)</f>
        <v>0.0</v>
      </c>
      <c r="H801" s="10">
        <f>IF(F801=0,"n/a (zero denom)",G801/ABS(F801))</f>
        <v>0.0</v>
      </c>
      <c r="I801" s="10">
        <f>'Tolerances'!$B$7</f>
        <v>0.002</v>
      </c>
      <c r="J801" s="15" t="str">
        <f>IF(F801=0,IF(G801&lt;=0.000001,"PASS","FAIL"),IF(H801&lt;=I801,"PASS","FAIL"))</f>
        <v>PASS</v>
      </c>
      <c r="K801" t="inlineStr">
        <is>
          <t xml:space="preserve"/>
        </is>
      </c>
    </row>
    <row r="802">
      <c r="A802" t="inlineStr">
        <is>
          <t xml:space="preserve">VZ</t>
        </is>
      </c>
      <c r="B802" t="inlineStr">
        <is>
          <t xml:space="preserve">Table 3 -- Revenue growth</t>
        </is>
      </c>
      <c r="C802" t="inlineStr">
        <is>
          <t xml:space="preserve">RevGrowth=30.0000%</t>
        </is>
      </c>
      <c r="D802" t="inlineStr">
        <is>
          <t xml:space="preserve">Enterprise Value</t>
        </is>
      </c>
      <c r="E802" s="6">
        <v>2722266642171.2026</v>
      </c>
      <c r="F802" s="6">
        <v>2722266642171.2026</v>
      </c>
      <c r="G802" s="11">
        <f>ABS(E802-F802)</f>
        <v>0.0</v>
      </c>
      <c r="H802" s="10">
        <f>IF(F802=0,"n/a (zero denom)",G802/ABS(F802))</f>
        <v>0.0</v>
      </c>
      <c r="I802" s="10">
        <f>'Tolerances'!$B$10</f>
        <v>0.002</v>
      </c>
      <c r="J802" s="15" t="str">
        <f>IF(F802=0,IF(G802&lt;=0.000001,"PASS","FAIL"),IF(H802&lt;=I802,"PASS","FAIL"))</f>
        <v>PASS</v>
      </c>
      <c r="K802" t="inlineStr">
        <is>
          <t xml:space="preserve"/>
        </is>
      </c>
    </row>
    <row r="803">
      <c r="A803" t="inlineStr">
        <is>
          <t xml:space="preserve">VZ</t>
        </is>
      </c>
      <c r="B803" t="inlineStr">
        <is>
          <t xml:space="preserve">Table 3 -- Revenue growth</t>
        </is>
      </c>
      <c r="C803" t="inlineStr">
        <is>
          <t xml:space="preserve">RevGrowth=30.0000%</t>
        </is>
      </c>
      <c r="D803" t="inlineStr">
        <is>
          <t xml:space="preserve">Equity Value</t>
        </is>
      </c>
      <c r="E803" s="6">
        <v>2583164642171.2026</v>
      </c>
      <c r="F803" s="6">
        <v>2583164642171.2026</v>
      </c>
      <c r="G803" s="11">
        <f>ABS(E803-F803)</f>
        <v>0.0</v>
      </c>
      <c r="H803" s="10">
        <f>IF(F803=0,"n/a (zero denom)",G803/ABS(F803))</f>
        <v>0.0</v>
      </c>
      <c r="I803" s="10">
        <f>'Tolerances'!$B$11</f>
        <v>0.002</v>
      </c>
      <c r="J803" s="15" t="str">
        <f>IF(F803=0,IF(G803&lt;=0.000001,"PASS","FAIL"),IF(H803&lt;=I803,"PASS","FAIL"))</f>
        <v>PASS</v>
      </c>
      <c r="K803" t="inlineStr">
        <is>
          <t xml:space="preserve"/>
        </is>
      </c>
    </row>
    <row r="804">
      <c r="A804" t="inlineStr">
        <is>
          <t xml:space="preserve">VZ</t>
        </is>
      </c>
      <c r="B804" t="inlineStr">
        <is>
          <t xml:space="preserve">Table 3 -- Revenue growth</t>
        </is>
      </c>
      <c r="C804" t="inlineStr">
        <is>
          <t xml:space="preserve">RevGrowth=30.0000%</t>
        </is>
      </c>
      <c r="D804" t="inlineStr">
        <is>
          <t xml:space="preserve">Intrinsic Value per Share</t>
        </is>
      </c>
      <c r="E804" s="7">
        <v>621.7339125658916</v>
      </c>
      <c r="F804" s="7">
        <v>621.7339125658916</v>
      </c>
      <c r="G804" s="12">
        <f>ABS(E804-F804)</f>
        <v>0.0</v>
      </c>
      <c r="H804" s="10">
        <f>IF(F804=0,"n/a (zero denom)",G804/ABS(F804))</f>
        <v>0.0</v>
      </c>
      <c r="I804" s="10">
        <f>'Tolerances'!$B$13</f>
        <v>0.005</v>
      </c>
      <c r="J804" s="15" t="str">
        <f>IF(F804=0,IF(G804&lt;=0.000001,"PASS","FAIL"),IF(H804&lt;=I804,"PASS","FAIL"))</f>
        <v>PASS</v>
      </c>
      <c r="K804" t="inlineStr">
        <is>
          <t xml:space="preserve"/>
        </is>
      </c>
    </row>
    <row r="805">
      <c r="A805" t="inlineStr">
        <is>
          <t xml:space="preserve">VZ</t>
        </is>
      </c>
      <c r="B805" t="inlineStr">
        <is>
          <t xml:space="preserve">Table 3 -- Revenue growth</t>
        </is>
      </c>
      <c r="C805" t="inlineStr">
        <is>
          <t xml:space="preserve">RevGrowth=40.0000%</t>
        </is>
      </c>
      <c r="D805" t="inlineStr">
        <is>
          <t xml:space="preserve">FCF Year 1</t>
        </is>
      </c>
      <c r="E805" s="6">
        <v>29391027973.152733</v>
      </c>
      <c r="F805" s="6">
        <v>29391027973.152733</v>
      </c>
      <c r="G805" s="11">
        <f>ABS(E805-F805)</f>
        <v>0.0</v>
      </c>
      <c r="H805" s="10">
        <f>IF(F805=0,"n/a (zero denom)",G805/ABS(F805))</f>
        <v>0.0</v>
      </c>
      <c r="I805" s="10">
        <f>'Tolerances'!$B$6</f>
        <v>0.001</v>
      </c>
      <c r="J805" s="15" t="str">
        <f>IF(F805=0,IF(G805&lt;=0.000001,"PASS","FAIL"),IF(H805&lt;=I805,"PASS","FAIL"))</f>
        <v>PASS</v>
      </c>
      <c r="K805" t="inlineStr">
        <is>
          <t xml:space="preserve"/>
        </is>
      </c>
    </row>
    <row r="806">
      <c r="A806" t="inlineStr">
        <is>
          <t xml:space="preserve">VZ</t>
        </is>
      </c>
      <c r="B806" t="inlineStr">
        <is>
          <t xml:space="preserve">Table 3 -- Revenue growth</t>
        </is>
      </c>
      <c r="C806" t="inlineStr">
        <is>
          <t xml:space="preserve">RevGrowth=40.0000%</t>
        </is>
      </c>
      <c r="D806" t="inlineStr">
        <is>
          <t xml:space="preserve">FCF Year 2</t>
        </is>
      </c>
      <c r="E806" s="6">
        <v>41147439162.41382</v>
      </c>
      <c r="F806" s="6">
        <v>41147439162.41382</v>
      </c>
      <c r="G806" s="11">
        <f>ABS(E806-F806)</f>
        <v>0.0</v>
      </c>
      <c r="H806" s="10">
        <f>IF(F806=0,"n/a (zero denom)",G806/ABS(F806))</f>
        <v>0.0</v>
      </c>
      <c r="I806" s="10">
        <f>'Tolerances'!$B$6</f>
        <v>0.001</v>
      </c>
      <c r="J806" s="15" t="str">
        <f>IF(F806=0,IF(G806&lt;=0.000001,"PASS","FAIL"),IF(H806&lt;=I806,"PASS","FAIL"))</f>
        <v>PASS</v>
      </c>
      <c r="K806" t="inlineStr">
        <is>
          <t xml:space="preserve"/>
        </is>
      </c>
    </row>
    <row r="807">
      <c r="A807" t="inlineStr">
        <is>
          <t xml:space="preserve">VZ</t>
        </is>
      </c>
      <c r="B807" t="inlineStr">
        <is>
          <t xml:space="preserve">Table 3 -- Revenue growth</t>
        </is>
      </c>
      <c r="C807" t="inlineStr">
        <is>
          <t xml:space="preserve">RevGrowth=40.0000%</t>
        </is>
      </c>
      <c r="D807" t="inlineStr">
        <is>
          <t xml:space="preserve">FCF Year 3</t>
        </is>
      </c>
      <c r="E807" s="6">
        <v>57606414827.37935</v>
      </c>
      <c r="F807" s="6">
        <v>57606414827.37935</v>
      </c>
      <c r="G807" s="11">
        <f>ABS(E807-F807)</f>
        <v>0.0</v>
      </c>
      <c r="H807" s="10">
        <f>IF(F807=0,"n/a (zero denom)",G807/ABS(F807))</f>
        <v>0.0</v>
      </c>
      <c r="I807" s="10">
        <f>'Tolerances'!$B$6</f>
        <v>0.001</v>
      </c>
      <c r="J807" s="15" t="str">
        <f>IF(F807=0,IF(G807&lt;=0.000001,"PASS","FAIL"),IF(H807&lt;=I807,"PASS","FAIL"))</f>
        <v>PASS</v>
      </c>
      <c r="K807" t="inlineStr">
        <is>
          <t xml:space="preserve"/>
        </is>
      </c>
    </row>
    <row r="808">
      <c r="A808" t="inlineStr">
        <is>
          <t xml:space="preserve">VZ</t>
        </is>
      </c>
      <c r="B808" t="inlineStr">
        <is>
          <t xml:space="preserve">Table 3 -- Revenue growth</t>
        </is>
      </c>
      <c r="C808" t="inlineStr">
        <is>
          <t xml:space="preserve">RevGrowth=40.0000%</t>
        </is>
      </c>
      <c r="D808" t="inlineStr">
        <is>
          <t xml:space="preserve">FCF Year 4</t>
        </is>
      </c>
      <c r="E808" s="6">
        <v>80648980758.33109</v>
      </c>
      <c r="F808" s="6">
        <v>80648980758.33109</v>
      </c>
      <c r="G808" s="11">
        <f>ABS(E808-F808)</f>
        <v>0.0</v>
      </c>
      <c r="H808" s="10">
        <f>IF(F808=0,"n/a (zero denom)",G808/ABS(F808))</f>
        <v>0.0</v>
      </c>
      <c r="I808" s="10">
        <f>'Tolerances'!$B$6</f>
        <v>0.001</v>
      </c>
      <c r="J808" s="15" t="str">
        <f>IF(F808=0,IF(G808&lt;=0.000001,"PASS","FAIL"),IF(H808&lt;=I808,"PASS","FAIL"))</f>
        <v>PASS</v>
      </c>
      <c r="K808" t="inlineStr">
        <is>
          <t xml:space="preserve"/>
        </is>
      </c>
    </row>
    <row r="809">
      <c r="A809" t="inlineStr">
        <is>
          <t xml:space="preserve">VZ</t>
        </is>
      </c>
      <c r="B809" t="inlineStr">
        <is>
          <t xml:space="preserve">Table 3 -- Revenue growth</t>
        </is>
      </c>
      <c r="C809" t="inlineStr">
        <is>
          <t xml:space="preserve">RevGrowth=40.0000%</t>
        </is>
      </c>
      <c r="D809" t="inlineStr">
        <is>
          <t xml:space="preserve">FCF Year 5</t>
        </is>
      </c>
      <c r="E809" s="6">
        <v>112908573061.6635</v>
      </c>
      <c r="F809" s="6">
        <v>112908573061.6635</v>
      </c>
      <c r="G809" s="11">
        <f>ABS(E809-F809)</f>
        <v>0.0</v>
      </c>
      <c r="H809" s="10">
        <f>IF(F809=0,"n/a (zero denom)",G809/ABS(F809))</f>
        <v>0.0</v>
      </c>
      <c r="I809" s="10">
        <f>'Tolerances'!$B$6</f>
        <v>0.001</v>
      </c>
      <c r="J809" s="15" t="str">
        <f>IF(F809=0,IF(G809&lt;=0.000001,"PASS","FAIL"),IF(H809&lt;=I809,"PASS","FAIL"))</f>
        <v>PASS</v>
      </c>
      <c r="K809" t="inlineStr">
        <is>
          <t xml:space="preserve"/>
        </is>
      </c>
    </row>
    <row r="810">
      <c r="A810" t="inlineStr">
        <is>
          <t xml:space="preserve">VZ</t>
        </is>
      </c>
      <c r="B810" t="inlineStr">
        <is>
          <t xml:space="preserve">Table 3 -- Revenue growth</t>
        </is>
      </c>
      <c r="C810" t="inlineStr">
        <is>
          <t xml:space="preserve">RevGrowth=40.0000%</t>
        </is>
      </c>
      <c r="D810" t="inlineStr">
        <is>
          <t xml:space="preserve">Terminal Value</t>
        </is>
      </c>
      <c r="E810" s="6">
        <v>4629251495528.203</v>
      </c>
      <c r="F810" s="6">
        <v>4629251495528.203</v>
      </c>
      <c r="G810" s="11">
        <f>ABS(E810-F810)</f>
        <v>0.0</v>
      </c>
      <c r="H810" s="10">
        <f>IF(F810=0,"n/a (zero denom)",G810/ABS(F810))</f>
        <v>0.0</v>
      </c>
      <c r="I810" s="10">
        <f>'Tolerances'!$B$7</f>
        <v>0.002</v>
      </c>
      <c r="J810" s="15" t="str">
        <f>IF(F810=0,IF(G810&lt;=0.000001,"PASS","FAIL"),IF(H810&lt;=I810,"PASS","FAIL"))</f>
        <v>PASS</v>
      </c>
      <c r="K810" t="inlineStr">
        <is>
          <t xml:space="preserve"/>
        </is>
      </c>
    </row>
    <row r="811">
      <c r="A811" t="inlineStr">
        <is>
          <t xml:space="preserve">VZ</t>
        </is>
      </c>
      <c r="B811" t="inlineStr">
        <is>
          <t xml:space="preserve">Table 3 -- Revenue growth</t>
        </is>
      </c>
      <c r="C811" t="inlineStr">
        <is>
          <t xml:space="preserve">RevGrowth=40.0000%</t>
        </is>
      </c>
      <c r="D811" t="inlineStr">
        <is>
          <t xml:space="preserve">Enterprise Value</t>
        </is>
      </c>
      <c r="E811" s="6">
        <v>3897032597921.73</v>
      </c>
      <c r="F811" s="6">
        <v>3897032597921.73</v>
      </c>
      <c r="G811" s="11">
        <f>ABS(E811-F811)</f>
        <v>0.0</v>
      </c>
      <c r="H811" s="10">
        <f>IF(F811=0,"n/a (zero denom)",G811/ABS(F811))</f>
        <v>0.0</v>
      </c>
      <c r="I811" s="10">
        <f>'Tolerances'!$B$10</f>
        <v>0.002</v>
      </c>
      <c r="J811" s="15" t="str">
        <f>IF(F811=0,IF(G811&lt;=0.000001,"PASS","FAIL"),IF(H811&lt;=I811,"PASS","FAIL"))</f>
        <v>PASS</v>
      </c>
      <c r="K811" t="inlineStr">
        <is>
          <t xml:space="preserve"/>
        </is>
      </c>
    </row>
    <row r="812">
      <c r="A812" t="inlineStr">
        <is>
          <t xml:space="preserve">VZ</t>
        </is>
      </c>
      <c r="B812" t="inlineStr">
        <is>
          <t xml:space="preserve">Table 3 -- Revenue growth</t>
        </is>
      </c>
      <c r="C812" t="inlineStr">
        <is>
          <t xml:space="preserve">RevGrowth=40.0000%</t>
        </is>
      </c>
      <c r="D812" t="inlineStr">
        <is>
          <t xml:space="preserve">Equity Value</t>
        </is>
      </c>
      <c r="E812" s="6">
        <v>3757930597921.73</v>
      </c>
      <c r="F812" s="6">
        <v>3757930597921.73</v>
      </c>
      <c r="G812" s="11">
        <f>ABS(E812-F812)</f>
        <v>0.0</v>
      </c>
      <c r="H812" s="10">
        <f>IF(F812=0,"n/a (zero denom)",G812/ABS(F812))</f>
        <v>0.0</v>
      </c>
      <c r="I812" s="10">
        <f>'Tolerances'!$B$11</f>
        <v>0.002</v>
      </c>
      <c r="J812" s="15" t="str">
        <f>IF(F812=0,IF(G812&lt;=0.000001,"PASS","FAIL"),IF(H812&lt;=I812,"PASS","FAIL"))</f>
        <v>PASS</v>
      </c>
      <c r="K812" t="inlineStr">
        <is>
          <t xml:space="preserve"/>
        </is>
      </c>
    </row>
    <row r="813">
      <c r="A813" t="inlineStr">
        <is>
          <t xml:space="preserve">VZ</t>
        </is>
      </c>
      <c r="B813" t="inlineStr">
        <is>
          <t xml:space="preserve">Table 3 -- Revenue growth</t>
        </is>
      </c>
      <c r="C813" t="inlineStr">
        <is>
          <t xml:space="preserve">RevGrowth=40.0000%</t>
        </is>
      </c>
      <c r="D813" t="inlineStr">
        <is>
          <t xml:space="preserve">Intrinsic Value per Share</t>
        </is>
      </c>
      <c r="E813" s="7">
        <v>904.4846989826935</v>
      </c>
      <c r="F813" s="7">
        <v>904.4846989826935</v>
      </c>
      <c r="G813" s="12">
        <f>ABS(E813-F813)</f>
        <v>0.0</v>
      </c>
      <c r="H813" s="10">
        <f>IF(F813=0,"n/a (zero denom)",G813/ABS(F813))</f>
        <v>0.0</v>
      </c>
      <c r="I813" s="10">
        <f>'Tolerances'!$B$13</f>
        <v>0.005</v>
      </c>
      <c r="J813" s="15" t="str">
        <f>IF(F813=0,IF(G813&lt;=0.000001,"PASS","FAIL"),IF(H813&lt;=I813,"PASS","FAIL"))</f>
        <v>PASS</v>
      </c>
      <c r="K813" t="inlineStr">
        <is>
          <t xml:space="preserve"/>
        </is>
      </c>
    </row>
    <row r="814">
      <c r="A814" t="inlineStr">
        <is>
          <t xml:space="preserve">VZ</t>
        </is>
      </c>
      <c r="B814" t="inlineStr">
        <is>
          <t xml:space="preserve">Table 4 -- Operating margin</t>
        </is>
      </c>
      <c r="C814" t="inlineStr">
        <is>
          <t xml:space="preserve">Margin=0.0000%</t>
        </is>
      </c>
      <c r="D814" t="inlineStr">
        <is>
          <t xml:space="preserve">FCF Year 1</t>
        </is>
      </c>
      <c r="E814" s="6">
        <v>-1405286039.976608</v>
      </c>
      <c r="F814" s="6">
        <v>-1405286039.976608</v>
      </c>
      <c r="G814" s="11">
        <f>ABS(E814-F814)</f>
        <v>0.0</v>
      </c>
      <c r="H814" s="10">
        <f>IF(F814=0,"n/a (zero denom)",G814/ABS(F814))</f>
        <v>0.0</v>
      </c>
      <c r="I814" s="10">
        <f>'Tolerances'!$B$6</f>
        <v>0.001</v>
      </c>
      <c r="J814" s="15" t="str">
        <f>IF(F814=0,IF(G814&lt;=0.000001,"PASS","FAIL"),IF(H814&lt;=I814,"PASS","FAIL"))</f>
        <v>PASS</v>
      </c>
      <c r="K814" t="inlineStr">
        <is>
          <t xml:space="preserve"/>
        </is>
      </c>
    </row>
    <row r="815">
      <c r="A815" t="inlineStr">
        <is>
          <t xml:space="preserve">VZ</t>
        </is>
      </c>
      <c r="B815" t="inlineStr">
        <is>
          <t xml:space="preserve">Table 4 -- Operating margin</t>
        </is>
      </c>
      <c r="C815" t="inlineStr">
        <is>
          <t xml:space="preserve">Margin=0.0000%</t>
        </is>
      </c>
      <c r="D815" t="inlineStr">
        <is>
          <t xml:space="preserve">FCF Year 2</t>
        </is>
      </c>
      <c r="E815" s="6">
        <v>-1417171771.5543027</v>
      </c>
      <c r="F815" s="6">
        <v>-1417171771.5543027</v>
      </c>
      <c r="G815" s="11">
        <f>ABS(E815-F815)</f>
        <v>0.0</v>
      </c>
      <c r="H815" s="10">
        <f>IF(F815=0,"n/a (zero denom)",G815/ABS(F815))</f>
        <v>0.0</v>
      </c>
      <c r="I815" s="10">
        <f>'Tolerances'!$B$6</f>
        <v>0.001</v>
      </c>
      <c r="J815" s="15" t="str">
        <f>IF(F815=0,IF(G815&lt;=0.000001,"PASS","FAIL"),IF(H815&lt;=I815,"PASS","FAIL"))</f>
        <v>PASS</v>
      </c>
      <c r="K815" t="inlineStr">
        <is>
          <t xml:space="preserve"/>
        </is>
      </c>
    </row>
    <row r="816">
      <c r="A816" t="inlineStr">
        <is>
          <t xml:space="preserve">VZ</t>
        </is>
      </c>
      <c r="B816" t="inlineStr">
        <is>
          <t xml:space="preserve">Table 4 -- Operating margin</t>
        </is>
      </c>
      <c r="C816" t="inlineStr">
        <is>
          <t xml:space="preserve">Margin=0.0000%</t>
        </is>
      </c>
      <c r="D816" t="inlineStr">
        <is>
          <t xml:space="preserve">FCF Year 3</t>
        </is>
      </c>
      <c r="E816" s="6">
        <v>-1429158031.1463065</v>
      </c>
      <c r="F816" s="6">
        <v>-1429158031.1463065</v>
      </c>
      <c r="G816" s="11">
        <f>ABS(E816-F816)</f>
        <v>0.0</v>
      </c>
      <c r="H816" s="10">
        <f>IF(F816=0,"n/a (zero denom)",G816/ABS(F816))</f>
        <v>0.0</v>
      </c>
      <c r="I816" s="10">
        <f>'Tolerances'!$B$6</f>
        <v>0.001</v>
      </c>
      <c r="J816" s="15" t="str">
        <f>IF(F816=0,IF(G816&lt;=0.000001,"PASS","FAIL"),IF(H816&lt;=I816,"PASS","FAIL"))</f>
        <v>PASS</v>
      </c>
      <c r="K816" t="inlineStr">
        <is>
          <t xml:space="preserve"/>
        </is>
      </c>
    </row>
    <row r="817">
      <c r="A817" t="inlineStr">
        <is>
          <t xml:space="preserve">VZ</t>
        </is>
      </c>
      <c r="B817" t="inlineStr">
        <is>
          <t xml:space="preserve">Table 4 -- Operating margin</t>
        </is>
      </c>
      <c r="C817" t="inlineStr">
        <is>
          <t xml:space="preserve">Margin=0.0000%</t>
        </is>
      </c>
      <c r="D817" t="inlineStr">
        <is>
          <t xml:space="preserve">FCF Year 4</t>
        </is>
      </c>
      <c r="E817" s="6">
        <v>-1441245669.0058513</v>
      </c>
      <c r="F817" s="6">
        <v>-1441245669.0058513</v>
      </c>
      <c r="G817" s="11">
        <f>ABS(E817-F817)</f>
        <v>0.0</v>
      </c>
      <c r="H817" s="10">
        <f>IF(F817=0,"n/a (zero denom)",G817/ABS(F817))</f>
        <v>0.0</v>
      </c>
      <c r="I817" s="10">
        <f>'Tolerances'!$B$6</f>
        <v>0.001</v>
      </c>
      <c r="J817" s="15" t="str">
        <f>IF(F817=0,IF(G817&lt;=0.000001,"PASS","FAIL"),IF(H817&lt;=I817,"PASS","FAIL"))</f>
        <v>PASS</v>
      </c>
      <c r="K817" t="inlineStr">
        <is>
          <t xml:space="preserve"/>
        </is>
      </c>
    </row>
    <row r="818">
      <c r="A818" t="inlineStr">
        <is>
          <t xml:space="preserve">VZ</t>
        </is>
      </c>
      <c r="B818" t="inlineStr">
        <is>
          <t xml:space="preserve">Table 4 -- Operating margin</t>
        </is>
      </c>
      <c r="C818" t="inlineStr">
        <is>
          <t xml:space="preserve">Margin=0.0000%</t>
        </is>
      </c>
      <c r="D818" t="inlineStr">
        <is>
          <t xml:space="preserve">FCF Year 5</t>
        </is>
      </c>
      <c r="E818" s="6">
        <v>-1453435542.5774996</v>
      </c>
      <c r="F818" s="6">
        <v>-1453435542.5774996</v>
      </c>
      <c r="G818" s="11">
        <f>ABS(E818-F818)</f>
        <v>0.0</v>
      </c>
      <c r="H818" s="10">
        <f>IF(F818=0,"n/a (zero denom)",G818/ABS(F818))</f>
        <v>0.0</v>
      </c>
      <c r="I818" s="10">
        <f>'Tolerances'!$B$6</f>
        <v>0.001</v>
      </c>
      <c r="J818" s="15" t="str">
        <f>IF(F818=0,IF(G818&lt;=0.000001,"PASS","FAIL"),IF(H818&lt;=I818,"PASS","FAIL"))</f>
        <v>PASS</v>
      </c>
      <c r="K818" t="inlineStr">
        <is>
          <t xml:space="preserve"/>
        </is>
      </c>
    </row>
    <row r="819">
      <c r="A819" t="inlineStr">
        <is>
          <t xml:space="preserve">VZ</t>
        </is>
      </c>
      <c r="B819" t="inlineStr">
        <is>
          <t xml:space="preserve">Table 4 -- Operating margin</t>
        </is>
      </c>
      <c r="C819" t="inlineStr">
        <is>
          <t xml:space="preserve">Margin=0.0000%</t>
        </is>
      </c>
      <c r="D819" t="inlineStr">
        <is>
          <t xml:space="preserve">Terminal Value</t>
        </is>
      </c>
      <c r="E819" s="6">
        <v>-59590857245.677475</v>
      </c>
      <c r="F819" s="6">
        <v>-59590857245.677475</v>
      </c>
      <c r="G819" s="11">
        <f>ABS(E819-F819)</f>
        <v>0.0</v>
      </c>
      <c r="H819" s="10">
        <f>IF(F819=0,"n/a (zero denom)",G819/ABS(F819))</f>
        <v>0.0</v>
      </c>
      <c r="I819" s="10">
        <f>'Tolerances'!$B$7</f>
        <v>0.002</v>
      </c>
      <c r="J819" s="15" t="str">
        <f>IF(F819=0,IF(G819&lt;=0.000001,"PASS","FAIL"),IF(H819&lt;=I819,"PASS","FAIL"))</f>
        <v>PASS</v>
      </c>
      <c r="K819" t="inlineStr">
        <is>
          <t xml:space="preserve"/>
        </is>
      </c>
    </row>
    <row r="820">
      <c r="A820" t="inlineStr">
        <is>
          <t xml:space="preserve">VZ</t>
        </is>
      </c>
      <c r="B820" t="inlineStr">
        <is>
          <t xml:space="preserve">Table 4 -- Operating margin</t>
        </is>
      </c>
      <c r="C820" t="inlineStr">
        <is>
          <t xml:space="preserve">Margin=0.0000%</t>
        </is>
      </c>
      <c r="D820" t="inlineStr">
        <is>
          <t xml:space="preserve">Enterprise Value</t>
        </is>
      </c>
      <c r="E820" s="6">
        <v>-52873861763.34015</v>
      </c>
      <c r="F820" s="6">
        <v>-52873861763.34015</v>
      </c>
      <c r="G820" s="11">
        <f>ABS(E820-F820)</f>
        <v>0.0</v>
      </c>
      <c r="H820" s="10">
        <f>IF(F820=0,"n/a (zero denom)",G820/ABS(F820))</f>
        <v>0.0</v>
      </c>
      <c r="I820" s="10">
        <f>'Tolerances'!$B$10</f>
        <v>0.002</v>
      </c>
      <c r="J820" s="15" t="str">
        <f>IF(F820=0,IF(G820&lt;=0.000001,"PASS","FAIL"),IF(H820&lt;=I820,"PASS","FAIL"))</f>
        <v>PASS</v>
      </c>
      <c r="K820" t="inlineStr">
        <is>
          <t xml:space="preserve"/>
        </is>
      </c>
    </row>
    <row r="821">
      <c r="A821" t="inlineStr">
        <is>
          <t xml:space="preserve">VZ</t>
        </is>
      </c>
      <c r="B821" t="inlineStr">
        <is>
          <t xml:space="preserve">Table 4 -- Operating margin</t>
        </is>
      </c>
      <c r="C821" t="inlineStr">
        <is>
          <t xml:space="preserve">Margin=0.0000%</t>
        </is>
      </c>
      <c r="D821" t="inlineStr">
        <is>
          <t xml:space="preserve">Equity Value</t>
        </is>
      </c>
      <c r="E821" s="6">
        <v>-191975861763.34015</v>
      </c>
      <c r="F821" s="6">
        <v>-191975861763.34015</v>
      </c>
      <c r="G821" s="11">
        <f>ABS(E821-F821)</f>
        <v>0.0</v>
      </c>
      <c r="H821" s="10">
        <f>IF(F821=0,"n/a (zero denom)",G821/ABS(F821))</f>
        <v>0.0</v>
      </c>
      <c r="I821" s="10">
        <f>'Tolerances'!$B$11</f>
        <v>0.002</v>
      </c>
      <c r="J821" s="15" t="str">
        <f>IF(F821=0,IF(G821&lt;=0.000001,"PASS","FAIL"),IF(H821&lt;=I821,"PASS","FAIL"))</f>
        <v>PASS</v>
      </c>
      <c r="K821" t="inlineStr">
        <is>
          <t xml:space="preserve"/>
        </is>
      </c>
    </row>
    <row r="822">
      <c r="A822" t="inlineStr">
        <is>
          <t xml:space="preserve">VZ</t>
        </is>
      </c>
      <c r="B822" t="inlineStr">
        <is>
          <t xml:space="preserve">Table 4 -- Operating margin</t>
        </is>
      </c>
      <c r="C822" t="inlineStr">
        <is>
          <t xml:space="preserve">Margin=0.0000%</t>
        </is>
      </c>
      <c r="D822" t="inlineStr">
        <is>
          <t xml:space="preserve">Intrinsic Value per Share</t>
        </is>
      </c>
      <c r="E822" s="7">
        <v>-46.20607672610735</v>
      </c>
      <c r="F822" s="7">
        <v>-46.20607672610735</v>
      </c>
      <c r="G822" s="12">
        <f>ABS(E822-F822)</f>
        <v>0.0</v>
      </c>
      <c r="H822" s="10">
        <f>IF(F822=0,"n/a (zero denom)",G822/ABS(F822))</f>
        <v>0.0</v>
      </c>
      <c r="I822" s="10">
        <f>'Tolerances'!$B$13</f>
        <v>0.005</v>
      </c>
      <c r="J822" s="15" t="str">
        <f>IF(F822=0,IF(G822&lt;=0.000001,"PASS","FAIL"),IF(H822&lt;=I822,"PASS","FAIL"))</f>
        <v>PASS</v>
      </c>
      <c r="K822" t="inlineStr">
        <is>
          <t xml:space="preserve"/>
        </is>
      </c>
    </row>
    <row r="823">
      <c r="A823" t="inlineStr">
        <is>
          <t xml:space="preserve">VZ</t>
        </is>
      </c>
      <c r="B823" t="inlineStr">
        <is>
          <t xml:space="preserve">Table 4 -- Operating margin</t>
        </is>
      </c>
      <c r="C823" t="inlineStr">
        <is>
          <t xml:space="preserve">Margin=10.0000%</t>
        </is>
      </c>
      <c r="D823" t="inlineStr">
        <is>
          <t xml:space="preserve">FCF Year 1</t>
        </is>
      </c>
      <c r="E823" s="6">
        <v>9417964637.490776</v>
      </c>
      <c r="F823" s="6">
        <v>9417964637.490776</v>
      </c>
      <c r="G823" s="11">
        <f>ABS(E823-F823)</f>
        <v>0.0</v>
      </c>
      <c r="H823" s="10">
        <f>IF(F823=0,"n/a (zero denom)",G823/ABS(F823))</f>
        <v>0.0</v>
      </c>
      <c r="I823" s="10">
        <f>'Tolerances'!$B$6</f>
        <v>0.001</v>
      </c>
      <c r="J823" s="15" t="str">
        <f>IF(F823=0,IF(G823&lt;=0.000001,"PASS","FAIL"),IF(H823&lt;=I823,"PASS","FAIL"))</f>
        <v>PASS</v>
      </c>
      <c r="K823" t="inlineStr">
        <is>
          <t xml:space="preserve"/>
        </is>
      </c>
    </row>
    <row r="824">
      <c r="A824" t="inlineStr">
        <is>
          <t xml:space="preserve">VZ</t>
        </is>
      </c>
      <c r="B824" t="inlineStr">
        <is>
          <t xml:space="preserve">Table 4 -- Operating margin</t>
        </is>
      </c>
      <c r="C824" t="inlineStr">
        <is>
          <t xml:space="preserve">Margin=10.0000%</t>
        </is>
      </c>
      <c r="D824" t="inlineStr">
        <is>
          <t xml:space="preserve">FCF Year 2</t>
        </is>
      </c>
      <c r="E824" s="6">
        <v>9497620591.157896</v>
      </c>
      <c r="F824" s="6">
        <v>9497620591.157896</v>
      </c>
      <c r="G824" s="11">
        <f>ABS(E824-F824)</f>
        <v>0.0</v>
      </c>
      <c r="H824" s="10">
        <f>IF(F824=0,"n/a (zero denom)",G824/ABS(F824))</f>
        <v>0.0</v>
      </c>
      <c r="I824" s="10">
        <f>'Tolerances'!$B$6</f>
        <v>0.001</v>
      </c>
      <c r="J824" s="15" t="str">
        <f>IF(F824=0,IF(G824&lt;=0.000001,"PASS","FAIL"),IF(H824&lt;=I824,"PASS","FAIL"))</f>
        <v>PASS</v>
      </c>
      <c r="K824" t="inlineStr">
        <is>
          <t xml:space="preserve"/>
        </is>
      </c>
    </row>
    <row r="825">
      <c r="A825" t="inlineStr">
        <is>
          <t xml:space="preserve">VZ</t>
        </is>
      </c>
      <c r="B825" t="inlineStr">
        <is>
          <t xml:space="preserve">Table 4 -- Operating margin</t>
        </is>
      </c>
      <c r="C825" t="inlineStr">
        <is>
          <t xml:space="preserve">Margin=10.0000%</t>
        </is>
      </c>
      <c r="D825" t="inlineStr">
        <is>
          <t xml:space="preserve">FCF Year 3</t>
        </is>
      </c>
      <c r="E825" s="6">
        <v>9577950264.805807</v>
      </c>
      <c r="F825" s="6">
        <v>9577950264.805807</v>
      </c>
      <c r="G825" s="11">
        <f>ABS(E825-F825)</f>
        <v>0.0</v>
      </c>
      <c r="H825" s="10">
        <f>IF(F825=0,"n/a (zero denom)",G825/ABS(F825))</f>
        <v>0.0</v>
      </c>
      <c r="I825" s="10">
        <f>'Tolerances'!$B$6</f>
        <v>0.001</v>
      </c>
      <c r="J825" s="15" t="str">
        <f>IF(F825=0,IF(G825&lt;=0.000001,"PASS","FAIL"),IF(H825&lt;=I825,"PASS","FAIL"))</f>
        <v>PASS</v>
      </c>
      <c r="K825" t="inlineStr">
        <is>
          <t xml:space="preserve"/>
        </is>
      </c>
    </row>
    <row r="826">
      <c r="A826" t="inlineStr">
        <is>
          <t xml:space="preserve">VZ</t>
        </is>
      </c>
      <c r="B826" t="inlineStr">
        <is>
          <t xml:space="preserve">Table 4 -- Operating margin</t>
        </is>
      </c>
      <c r="C826" t="inlineStr">
        <is>
          <t xml:space="preserve">Margin=10.0000%</t>
        </is>
      </c>
      <c r="D826" t="inlineStr">
        <is>
          <t xml:space="preserve">FCF Year 4</t>
        </is>
      </c>
      <c r="E826" s="6">
        <v>9658959356.672884</v>
      </c>
      <c r="F826" s="6">
        <v>9658959356.672884</v>
      </c>
      <c r="G826" s="11">
        <f>ABS(E826-F826)</f>
        <v>0.0</v>
      </c>
      <c r="H826" s="10">
        <f>IF(F826=0,"n/a (zero denom)",G826/ABS(F826))</f>
        <v>0.0</v>
      </c>
      <c r="I826" s="10">
        <f>'Tolerances'!$B$6</f>
        <v>0.001</v>
      </c>
      <c r="J826" s="15" t="str">
        <f>IF(F826=0,IF(G826&lt;=0.000001,"PASS","FAIL"),IF(H826&lt;=I826,"PASS","FAIL"))</f>
        <v>PASS</v>
      </c>
      <c r="K826" t="inlineStr">
        <is>
          <t xml:space="preserve"/>
        </is>
      </c>
    </row>
    <row r="827">
      <c r="A827" t="inlineStr">
        <is>
          <t xml:space="preserve">VZ</t>
        </is>
      </c>
      <c r="B827" t="inlineStr">
        <is>
          <t xml:space="preserve">Table 4 -- Operating margin</t>
        </is>
      </c>
      <c r="C827" t="inlineStr">
        <is>
          <t xml:space="preserve">Margin=10.0000%</t>
        </is>
      </c>
      <c r="D827" t="inlineStr">
        <is>
          <t xml:space="preserve">FCF Year 5</t>
        </is>
      </c>
      <c r="E827" s="6">
        <v>9740653613.192486</v>
      </c>
      <c r="F827" s="6">
        <v>9740653613.192486</v>
      </c>
      <c r="G827" s="11">
        <f>ABS(E827-F827)</f>
        <v>0.0</v>
      </c>
      <c r="H827" s="10">
        <f>IF(F827=0,"n/a (zero denom)",G827/ABS(F827))</f>
        <v>0.0</v>
      </c>
      <c r="I827" s="10">
        <f>'Tolerances'!$B$6</f>
        <v>0.001</v>
      </c>
      <c r="J827" s="15" t="str">
        <f>IF(F827=0,IF(G827&lt;=0.000001,"PASS","FAIL"),IF(H827&lt;=I827,"PASS","FAIL"))</f>
        <v>PASS</v>
      </c>
      <c r="K827" t="inlineStr">
        <is>
          <t xml:space="preserve"/>
        </is>
      </c>
    </row>
    <row r="828">
      <c r="A828" t="inlineStr">
        <is>
          <t xml:space="preserve">VZ</t>
        </is>
      </c>
      <c r="B828" t="inlineStr">
        <is>
          <t xml:space="preserve">Table 4 -- Operating margin</t>
        </is>
      </c>
      <c r="C828" t="inlineStr">
        <is>
          <t xml:space="preserve">Margin=10.0000%</t>
        </is>
      </c>
      <c r="D828" t="inlineStr">
        <is>
          <t xml:space="preserve">Terminal Value</t>
        </is>
      </c>
      <c r="E828" s="6">
        <v>399366798140.89185</v>
      </c>
      <c r="F828" s="6">
        <v>399366798140.89185</v>
      </c>
      <c r="G828" s="11">
        <f>ABS(E828-F828)</f>
        <v>0.0</v>
      </c>
      <c r="H828" s="10">
        <f>IF(F828=0,"n/a (zero denom)",G828/ABS(F828))</f>
        <v>0.0</v>
      </c>
      <c r="I828" s="10">
        <f>'Tolerances'!$B$7</f>
        <v>0.002</v>
      </c>
      <c r="J828" s="15" t="str">
        <f>IF(F828=0,IF(G828&lt;=0.000001,"PASS","FAIL"),IF(H828&lt;=I828,"PASS","FAIL"))</f>
        <v>PASS</v>
      </c>
      <c r="K828" t="inlineStr">
        <is>
          <t xml:space="preserve"/>
        </is>
      </c>
    </row>
    <row r="829">
      <c r="A829" t="inlineStr">
        <is>
          <t xml:space="preserve">VZ</t>
        </is>
      </c>
      <c r="B829" t="inlineStr">
        <is>
          <t xml:space="preserve">Table 4 -- Operating margin</t>
        </is>
      </c>
      <c r="C829" t="inlineStr">
        <is>
          <t xml:space="preserve">Margin=10.0000%</t>
        </is>
      </c>
      <c r="D829" t="inlineStr">
        <is>
          <t xml:space="preserve">Enterprise Value</t>
        </is>
      </c>
      <c r="E829" s="6">
        <v>354350748651.14435</v>
      </c>
      <c r="F829" s="6">
        <v>354350748651.14435</v>
      </c>
      <c r="G829" s="11">
        <f>ABS(E829-F829)</f>
        <v>0.0</v>
      </c>
      <c r="H829" s="10">
        <f>IF(F829=0,"n/a (zero denom)",G829/ABS(F829))</f>
        <v>0.0</v>
      </c>
      <c r="I829" s="10">
        <f>'Tolerances'!$B$10</f>
        <v>0.002</v>
      </c>
      <c r="J829" s="15" t="str">
        <f>IF(F829=0,IF(G829&lt;=0.000001,"PASS","FAIL"),IF(H829&lt;=I829,"PASS","FAIL"))</f>
        <v>PASS</v>
      </c>
      <c r="K829" t="inlineStr">
        <is>
          <t xml:space="preserve"/>
        </is>
      </c>
    </row>
    <row r="830">
      <c r="A830" t="inlineStr">
        <is>
          <t xml:space="preserve">VZ</t>
        </is>
      </c>
      <c r="B830" t="inlineStr">
        <is>
          <t xml:space="preserve">Table 4 -- Operating margin</t>
        </is>
      </c>
      <c r="C830" t="inlineStr">
        <is>
          <t xml:space="preserve">Margin=10.0000%</t>
        </is>
      </c>
      <c r="D830" t="inlineStr">
        <is>
          <t xml:space="preserve">Equity Value</t>
        </is>
      </c>
      <c r="E830" s="6">
        <v>215248748651.14435</v>
      </c>
      <c r="F830" s="6">
        <v>215248748651.14435</v>
      </c>
      <c r="G830" s="11">
        <f>ABS(E830-F830)</f>
        <v>0.0</v>
      </c>
      <c r="H830" s="10">
        <f>IF(F830=0,"n/a (zero denom)",G830/ABS(F830))</f>
        <v>0.0</v>
      </c>
      <c r="I830" s="10">
        <f>'Tolerances'!$B$11</f>
        <v>0.002</v>
      </c>
      <c r="J830" s="15" t="str">
        <f>IF(F830=0,IF(G830&lt;=0.000001,"PASS","FAIL"),IF(H830&lt;=I830,"PASS","FAIL"))</f>
        <v>PASS</v>
      </c>
      <c r="K830" t="inlineStr">
        <is>
          <t xml:space="preserve"/>
        </is>
      </c>
    </row>
    <row r="831">
      <c r="A831" t="inlineStr">
        <is>
          <t xml:space="preserve">VZ</t>
        </is>
      </c>
      <c r="B831" t="inlineStr">
        <is>
          <t xml:space="preserve">Table 4 -- Operating margin</t>
        </is>
      </c>
      <c r="C831" t="inlineStr">
        <is>
          <t xml:space="preserve">Margin=10.0000%</t>
        </is>
      </c>
      <c r="D831" t="inlineStr">
        <is>
          <t xml:space="preserve">Intrinsic Value per Share</t>
        </is>
      </c>
      <c r="E831" s="7">
        <v>51.80755592926646</v>
      </c>
      <c r="F831" s="7">
        <v>51.80755592926646</v>
      </c>
      <c r="G831" s="12">
        <f>ABS(E831-F831)</f>
        <v>0.0</v>
      </c>
      <c r="H831" s="10">
        <f>IF(F831=0,"n/a (zero denom)",G831/ABS(F831))</f>
        <v>0.0</v>
      </c>
      <c r="I831" s="10">
        <f>'Tolerances'!$B$13</f>
        <v>0.005</v>
      </c>
      <c r="J831" s="15" t="str">
        <f>IF(F831=0,IF(G831&lt;=0.000001,"PASS","FAIL"),IF(H831&lt;=I831,"PASS","FAIL"))</f>
        <v>PASS</v>
      </c>
      <c r="K831" t="inlineStr">
        <is>
          <t xml:space="preserve"/>
        </is>
      </c>
    </row>
    <row r="832">
      <c r="A832" t="inlineStr">
        <is>
          <t xml:space="preserve">VZ</t>
        </is>
      </c>
      <c r="B832" t="inlineStr">
        <is>
          <t xml:space="preserve">Table 4 -- Operating margin</t>
        </is>
      </c>
      <c r="C832" t="inlineStr">
        <is>
          <t xml:space="preserve">Margin=20.0000%</t>
        </is>
      </c>
      <c r="D832" t="inlineStr">
        <is>
          <t xml:space="preserve">FCF Year 1</t>
        </is>
      </c>
      <c r="E832" s="6">
        <v>20241215314.958164</v>
      </c>
      <c r="F832" s="6">
        <v>20241215314.958164</v>
      </c>
      <c r="G832" s="11">
        <f>ABS(E832-F832)</f>
        <v>0.0</v>
      </c>
      <c r="H832" s="10">
        <f>IF(F832=0,"n/a (zero denom)",G832/ABS(F832))</f>
        <v>0.0</v>
      </c>
      <c r="I832" s="10">
        <f>'Tolerances'!$B$6</f>
        <v>0.001</v>
      </c>
      <c r="J832" s="15" t="str">
        <f>IF(F832=0,IF(G832&lt;=0.000001,"PASS","FAIL"),IF(H832&lt;=I832,"PASS","FAIL"))</f>
        <v>PASS</v>
      </c>
      <c r="K832" t="inlineStr">
        <is>
          <t xml:space="preserve"/>
        </is>
      </c>
    </row>
    <row r="833">
      <c r="A833" t="inlineStr">
        <is>
          <t xml:space="preserve">VZ</t>
        </is>
      </c>
      <c r="B833" t="inlineStr">
        <is>
          <t xml:space="preserve">Table 4 -- Operating margin</t>
        </is>
      </c>
      <c r="C833" t="inlineStr">
        <is>
          <t xml:space="preserve">Margin=20.0000%</t>
        </is>
      </c>
      <c r="D833" t="inlineStr">
        <is>
          <t xml:space="preserve">FCF Year 2</t>
        </is>
      </c>
      <c r="E833" s="6">
        <v>20412412953.8701</v>
      </c>
      <c r="F833" s="6">
        <v>20412412953.8701</v>
      </c>
      <c r="G833" s="11">
        <f>ABS(E833-F833)</f>
        <v>0.0</v>
      </c>
      <c r="H833" s="10">
        <f>IF(F833=0,"n/a (zero denom)",G833/ABS(F833))</f>
        <v>0.0</v>
      </c>
      <c r="I833" s="10">
        <f>'Tolerances'!$B$6</f>
        <v>0.001</v>
      </c>
      <c r="J833" s="15" t="str">
        <f>IF(F833=0,IF(G833&lt;=0.000001,"PASS","FAIL"),IF(H833&lt;=I833,"PASS","FAIL"))</f>
        <v>PASS</v>
      </c>
      <c r="K833" t="inlineStr">
        <is>
          <t xml:space="preserve"/>
        </is>
      </c>
    </row>
    <row r="834">
      <c r="A834" t="inlineStr">
        <is>
          <t xml:space="preserve">VZ</t>
        </is>
      </c>
      <c r="B834" t="inlineStr">
        <is>
          <t xml:space="preserve">Table 4 -- Operating margin</t>
        </is>
      </c>
      <c r="C834" t="inlineStr">
        <is>
          <t xml:space="preserve">Margin=20.0000%</t>
        </is>
      </c>
      <c r="D834" t="inlineStr">
        <is>
          <t xml:space="preserve">FCF Year 3</t>
        </is>
      </c>
      <c r="E834" s="6">
        <v>20585058560.757927</v>
      </c>
      <c r="F834" s="6">
        <v>20585058560.757927</v>
      </c>
      <c r="G834" s="11">
        <f>ABS(E834-F834)</f>
        <v>0.0</v>
      </c>
      <c r="H834" s="10">
        <f>IF(F834=0,"n/a (zero denom)",G834/ABS(F834))</f>
        <v>0.0</v>
      </c>
      <c r="I834" s="10">
        <f>'Tolerances'!$B$6</f>
        <v>0.001</v>
      </c>
      <c r="J834" s="15" t="str">
        <f>IF(F834=0,IF(G834&lt;=0.000001,"PASS","FAIL"),IF(H834&lt;=I834,"PASS","FAIL"))</f>
        <v>PASS</v>
      </c>
      <c r="K834" t="inlineStr">
        <is>
          <t xml:space="preserve"/>
        </is>
      </c>
    </row>
    <row r="835">
      <c r="A835" t="inlineStr">
        <is>
          <t xml:space="preserve">VZ</t>
        </is>
      </c>
      <c r="B835" t="inlineStr">
        <is>
          <t xml:space="preserve">Table 4 -- Operating margin</t>
        </is>
      </c>
      <c r="C835" t="inlineStr">
        <is>
          <t xml:space="preserve">Margin=20.0000%</t>
        </is>
      </c>
      <c r="D835" t="inlineStr">
        <is>
          <t xml:space="preserve">FCF Year 4</t>
        </is>
      </c>
      <c r="E835" s="6">
        <v>20759164382.35162</v>
      </c>
      <c r="F835" s="6">
        <v>20759164382.35162</v>
      </c>
      <c r="G835" s="11">
        <f>ABS(E835-F835)</f>
        <v>0.0</v>
      </c>
      <c r="H835" s="10">
        <f>IF(F835=0,"n/a (zero denom)",G835/ABS(F835))</f>
        <v>0.0</v>
      </c>
      <c r="I835" s="10">
        <f>'Tolerances'!$B$6</f>
        <v>0.001</v>
      </c>
      <c r="J835" s="15" t="str">
        <f>IF(F835=0,IF(G835&lt;=0.000001,"PASS","FAIL"),IF(H835&lt;=I835,"PASS","FAIL"))</f>
        <v>PASS</v>
      </c>
      <c r="K835" t="inlineStr">
        <is>
          <t xml:space="preserve"/>
        </is>
      </c>
    </row>
    <row r="836">
      <c r="A836" t="inlineStr">
        <is>
          <t xml:space="preserve">VZ</t>
        </is>
      </c>
      <c r="B836" t="inlineStr">
        <is>
          <t xml:space="preserve">Table 4 -- Operating margin</t>
        </is>
      </c>
      <c r="C836" t="inlineStr">
        <is>
          <t xml:space="preserve">Margin=20.0000%</t>
        </is>
      </c>
      <c r="D836" t="inlineStr">
        <is>
          <t xml:space="preserve">FCF Year 5</t>
        </is>
      </c>
      <c r="E836" s="6">
        <v>20934742768.96248</v>
      </c>
      <c r="F836" s="6">
        <v>20934742768.96248</v>
      </c>
      <c r="G836" s="11">
        <f>ABS(E836-F836)</f>
        <v>0.0</v>
      </c>
      <c r="H836" s="10">
        <f>IF(F836=0,"n/a (zero denom)",G836/ABS(F836))</f>
        <v>0.0</v>
      </c>
      <c r="I836" s="10">
        <f>'Tolerances'!$B$6</f>
        <v>0.001</v>
      </c>
      <c r="J836" s="15" t="str">
        <f>IF(F836=0,IF(G836&lt;=0.000001,"PASS","FAIL"),IF(H836&lt;=I836,"PASS","FAIL"))</f>
        <v>PASS</v>
      </c>
      <c r="K836" t="inlineStr">
        <is>
          <t xml:space="preserve"/>
        </is>
      </c>
    </row>
    <row r="837">
      <c r="A837" t="inlineStr">
        <is>
          <t xml:space="preserve">VZ</t>
        </is>
      </c>
      <c r="B837" t="inlineStr">
        <is>
          <t xml:space="preserve">Table 4 -- Operating margin</t>
        </is>
      </c>
      <c r="C837" t="inlineStr">
        <is>
          <t xml:space="preserve">Margin=20.0000%</t>
        </is>
      </c>
      <c r="D837" t="inlineStr">
        <is>
          <t xml:space="preserve">Terminal Value</t>
        </is>
      </c>
      <c r="E837" s="6">
        <v>858324453527.4615</v>
      </c>
      <c r="F837" s="6">
        <v>858324453527.4615</v>
      </c>
      <c r="G837" s="11">
        <f>ABS(E837-F837)</f>
        <v>0.0</v>
      </c>
      <c r="H837" s="10">
        <f>IF(F837=0,"n/a (zero denom)",G837/ABS(F837))</f>
        <v>0.0</v>
      </c>
      <c r="I837" s="10">
        <f>'Tolerances'!$B$7</f>
        <v>0.002</v>
      </c>
      <c r="J837" s="15" t="str">
        <f>IF(F837=0,IF(G837&lt;=0.000001,"PASS","FAIL"),IF(H837&lt;=I837,"PASS","FAIL"))</f>
        <v>PASS</v>
      </c>
      <c r="K837" t="inlineStr">
        <is>
          <t xml:space="preserve"/>
        </is>
      </c>
    </row>
    <row r="838">
      <c r="A838" t="inlineStr">
        <is>
          <t xml:space="preserve">VZ</t>
        </is>
      </c>
      <c r="B838" t="inlineStr">
        <is>
          <t xml:space="preserve">Table 4 -- Operating margin</t>
        </is>
      </c>
      <c r="C838" t="inlineStr">
        <is>
          <t xml:space="preserve">Margin=20.0000%</t>
        </is>
      </c>
      <c r="D838" t="inlineStr">
        <is>
          <t xml:space="preserve">Enterprise Value</t>
        </is>
      </c>
      <c r="E838" s="6">
        <v>761575359065.6293</v>
      </c>
      <c r="F838" s="6">
        <v>761575359065.6293</v>
      </c>
      <c r="G838" s="11">
        <f>ABS(E838-F838)</f>
        <v>0.0</v>
      </c>
      <c r="H838" s="10">
        <f>IF(F838=0,"n/a (zero denom)",G838/ABS(F838))</f>
        <v>0.0</v>
      </c>
      <c r="I838" s="10">
        <f>'Tolerances'!$B$10</f>
        <v>0.002</v>
      </c>
      <c r="J838" s="15" t="str">
        <f>IF(F838=0,IF(G838&lt;=0.000001,"PASS","FAIL"),IF(H838&lt;=I838,"PASS","FAIL"))</f>
        <v>PASS</v>
      </c>
      <c r="K838" t="inlineStr">
        <is>
          <t xml:space="preserve"/>
        </is>
      </c>
    </row>
    <row r="839">
      <c r="A839" t="inlineStr">
        <is>
          <t xml:space="preserve">VZ</t>
        </is>
      </c>
      <c r="B839" t="inlineStr">
        <is>
          <t xml:space="preserve">Table 4 -- Operating margin</t>
        </is>
      </c>
      <c r="C839" t="inlineStr">
        <is>
          <t xml:space="preserve">Margin=20.0000%</t>
        </is>
      </c>
      <c r="D839" t="inlineStr">
        <is>
          <t xml:space="preserve">Equity Value</t>
        </is>
      </c>
      <c r="E839" s="6">
        <v>622473359065.6293</v>
      </c>
      <c r="F839" s="6">
        <v>622473359065.6293</v>
      </c>
      <c r="G839" s="11">
        <f>ABS(E839-F839)</f>
        <v>0.0</v>
      </c>
      <c r="H839" s="10">
        <f>IF(F839=0,"n/a (zero denom)",G839/ABS(F839))</f>
        <v>0.0</v>
      </c>
      <c r="I839" s="10">
        <f>'Tolerances'!$B$11</f>
        <v>0.002</v>
      </c>
      <c r="J839" s="15" t="str">
        <f>IF(F839=0,IF(G839&lt;=0.000001,"PASS","FAIL"),IF(H839&lt;=I839,"PASS","FAIL"))</f>
        <v>PASS</v>
      </c>
      <c r="K839" t="inlineStr">
        <is>
          <t xml:space="preserve"/>
        </is>
      </c>
    </row>
    <row r="840">
      <c r="A840" t="inlineStr">
        <is>
          <t xml:space="preserve">VZ</t>
        </is>
      </c>
      <c r="B840" t="inlineStr">
        <is>
          <t xml:space="preserve">Table 4 -- Operating margin</t>
        </is>
      </c>
      <c r="C840" t="inlineStr">
        <is>
          <t xml:space="preserve">Margin=20.0000%</t>
        </is>
      </c>
      <c r="D840" t="inlineStr">
        <is>
          <t xml:space="preserve">Intrinsic Value per Share</t>
        </is>
      </c>
      <c r="E840" s="7">
        <v>149.82118858464037</v>
      </c>
      <c r="F840" s="7">
        <v>149.82118858464037</v>
      </c>
      <c r="G840" s="12">
        <f>ABS(E840-F840)</f>
        <v>0.0</v>
      </c>
      <c r="H840" s="10">
        <f>IF(F840=0,"n/a (zero denom)",G840/ABS(F840))</f>
        <v>0.0</v>
      </c>
      <c r="I840" s="10">
        <f>'Tolerances'!$B$13</f>
        <v>0.005</v>
      </c>
      <c r="J840" s="15" t="str">
        <f>IF(F840=0,IF(G840&lt;=0.000001,"PASS","FAIL"),IF(H840&lt;=I840,"PASS","FAIL"))</f>
        <v>PASS</v>
      </c>
      <c r="K840" t="inlineStr">
        <is>
          <t xml:space="preserve"/>
        </is>
      </c>
    </row>
    <row r="841">
      <c r="A841" t="inlineStr">
        <is>
          <t xml:space="preserve">VZ</t>
        </is>
      </c>
      <c r="B841" t="inlineStr">
        <is>
          <t xml:space="preserve">Table 4 -- Operating margin</t>
        </is>
      </c>
      <c r="C841" t="inlineStr">
        <is>
          <t xml:space="preserve">Margin=30.0000%</t>
        </is>
      </c>
      <c r="D841" t="inlineStr">
        <is>
          <t xml:space="preserve">FCF Year 1</t>
        </is>
      </c>
      <c r="E841" s="6">
        <v>31064465992.425545</v>
      </c>
      <c r="F841" s="6">
        <v>31064465992.425545</v>
      </c>
      <c r="G841" s="11">
        <f>ABS(E841-F841)</f>
        <v>0.0</v>
      </c>
      <c r="H841" s="10">
        <f>IF(F841=0,"n/a (zero denom)",G841/ABS(F841))</f>
        <v>0.0</v>
      </c>
      <c r="I841" s="10">
        <f>'Tolerances'!$B$6</f>
        <v>0.001</v>
      </c>
      <c r="J841" s="15" t="str">
        <f>IF(F841=0,IF(G841&lt;=0.000001,"PASS","FAIL"),IF(H841&lt;=I841,"PASS","FAIL"))</f>
        <v>PASS</v>
      </c>
      <c r="K841" t="inlineStr">
        <is>
          <t xml:space="preserve"/>
        </is>
      </c>
    </row>
    <row r="842">
      <c r="A842" t="inlineStr">
        <is>
          <t xml:space="preserve">VZ</t>
        </is>
      </c>
      <c r="B842" t="inlineStr">
        <is>
          <t xml:space="preserve">Table 4 -- Operating margin</t>
        </is>
      </c>
      <c r="C842" t="inlineStr">
        <is>
          <t xml:space="preserve">Margin=30.0000%</t>
        </is>
      </c>
      <c r="D842" t="inlineStr">
        <is>
          <t xml:space="preserve">FCF Year 2</t>
        </is>
      </c>
      <c r="E842" s="6">
        <v>31327205316.5823</v>
      </c>
      <c r="F842" s="6">
        <v>31327205316.5823</v>
      </c>
      <c r="G842" s="11">
        <f>ABS(E842-F842)</f>
        <v>0.0</v>
      </c>
      <c r="H842" s="10">
        <f>IF(F842=0,"n/a (zero denom)",G842/ABS(F842))</f>
        <v>0.0</v>
      </c>
      <c r="I842" s="10">
        <f>'Tolerances'!$B$6</f>
        <v>0.001</v>
      </c>
      <c r="J842" s="15" t="str">
        <f>IF(F842=0,IF(G842&lt;=0.000001,"PASS","FAIL"),IF(H842&lt;=I842,"PASS","FAIL"))</f>
        <v>PASS</v>
      </c>
      <c r="K842" t="inlineStr">
        <is>
          <t xml:space="preserve"/>
        </is>
      </c>
    </row>
    <row r="843">
      <c r="A843" t="inlineStr">
        <is>
          <t xml:space="preserve">VZ</t>
        </is>
      </c>
      <c r="B843" t="inlineStr">
        <is>
          <t xml:space="preserve">Table 4 -- Operating margin</t>
        </is>
      </c>
      <c r="C843" t="inlineStr">
        <is>
          <t xml:space="preserve">Margin=30.0000%</t>
        </is>
      </c>
      <c r="D843" t="inlineStr">
        <is>
          <t xml:space="preserve">FCF Year 3</t>
        </is>
      </c>
      <c r="E843" s="6">
        <v>31592166856.71003</v>
      </c>
      <c r="F843" s="6">
        <v>31592166856.71003</v>
      </c>
      <c r="G843" s="11">
        <f>ABS(E843-F843)</f>
        <v>0.0</v>
      </c>
      <c r="H843" s="10">
        <f>IF(F843=0,"n/a (zero denom)",G843/ABS(F843))</f>
        <v>0.0</v>
      </c>
      <c r="I843" s="10">
        <f>'Tolerances'!$B$6</f>
        <v>0.001</v>
      </c>
      <c r="J843" s="15" t="str">
        <f>IF(F843=0,IF(G843&lt;=0.000001,"PASS","FAIL"),IF(H843&lt;=I843,"PASS","FAIL"))</f>
        <v>PASS</v>
      </c>
      <c r="K843" t="inlineStr">
        <is>
          <t xml:space="preserve"/>
        </is>
      </c>
    </row>
    <row r="844">
      <c r="A844" t="inlineStr">
        <is>
          <t xml:space="preserve">VZ</t>
        </is>
      </c>
      <c r="B844" t="inlineStr">
        <is>
          <t xml:space="preserve">Table 4 -- Operating margin</t>
        </is>
      </c>
      <c r="C844" t="inlineStr">
        <is>
          <t xml:space="preserve">Margin=30.0000%</t>
        </is>
      </c>
      <c r="D844" t="inlineStr">
        <is>
          <t xml:space="preserve">FCF Year 4</t>
        </is>
      </c>
      <c r="E844" s="6">
        <v>31859369408.030346</v>
      </c>
      <c r="F844" s="6">
        <v>31859369408.030346</v>
      </c>
      <c r="G844" s="11">
        <f>ABS(E844-F844)</f>
        <v>0.0</v>
      </c>
      <c r="H844" s="10">
        <f>IF(F844=0,"n/a (zero denom)",G844/ABS(F844))</f>
        <v>0.0</v>
      </c>
      <c r="I844" s="10">
        <f>'Tolerances'!$B$6</f>
        <v>0.001</v>
      </c>
      <c r="J844" s="15" t="str">
        <f>IF(F844=0,IF(G844&lt;=0.000001,"PASS","FAIL"),IF(H844&lt;=I844,"PASS","FAIL"))</f>
        <v>PASS</v>
      </c>
      <c r="K844" t="inlineStr">
        <is>
          <t xml:space="preserve"/>
        </is>
      </c>
    </row>
    <row r="845">
      <c r="A845" t="inlineStr">
        <is>
          <t xml:space="preserve">VZ</t>
        </is>
      </c>
      <c r="B845" t="inlineStr">
        <is>
          <t xml:space="preserve">Table 4 -- Operating margin</t>
        </is>
      </c>
      <c r="C845" t="inlineStr">
        <is>
          <t xml:space="preserve">Margin=30.0000%</t>
        </is>
      </c>
      <c r="D845" t="inlineStr">
        <is>
          <t xml:space="preserve">FCF Year 5</t>
        </is>
      </c>
      <c r="E845" s="6">
        <v>32128831924.73246</v>
      </c>
      <c r="F845" s="6">
        <v>32128831924.73246</v>
      </c>
      <c r="G845" s="11">
        <f>ABS(E845-F845)</f>
        <v>0.0</v>
      </c>
      <c r="H845" s="10">
        <f>IF(F845=0,"n/a (zero denom)",G845/ABS(F845))</f>
        <v>0.0</v>
      </c>
      <c r="I845" s="10">
        <f>'Tolerances'!$B$6</f>
        <v>0.001</v>
      </c>
      <c r="J845" s="15" t="str">
        <f>IF(F845=0,IF(G845&lt;=0.000001,"PASS","FAIL"),IF(H845&lt;=I845,"PASS","FAIL"))</f>
        <v>PASS</v>
      </c>
      <c r="K845" t="inlineStr">
        <is>
          <t xml:space="preserve"/>
        </is>
      </c>
    </row>
    <row r="846">
      <c r="A846" t="inlineStr">
        <is>
          <t xml:space="preserve">VZ</t>
        </is>
      </c>
      <c r="B846" t="inlineStr">
        <is>
          <t xml:space="preserve">Table 4 -- Operating margin</t>
        </is>
      </c>
      <c r="C846" t="inlineStr">
        <is>
          <t xml:space="preserve">Margin=30.0000%</t>
        </is>
      </c>
      <c r="D846" t="inlineStr">
        <is>
          <t xml:space="preserve">Terminal Value</t>
        </is>
      </c>
      <c r="E846" s="6">
        <v>1317282108914.0308</v>
      </c>
      <c r="F846" s="6">
        <v>1317282108914.0308</v>
      </c>
      <c r="G846" s="11">
        <f>ABS(E846-F846)</f>
        <v>0.0</v>
      </c>
      <c r="H846" s="10">
        <f>IF(F846=0,"n/a (zero denom)",G846/ABS(F846))</f>
        <v>0.0</v>
      </c>
      <c r="I846" s="10">
        <f>'Tolerances'!$B$7</f>
        <v>0.002</v>
      </c>
      <c r="J846" s="15" t="str">
        <f>IF(F846=0,IF(G846&lt;=0.000001,"PASS","FAIL"),IF(H846&lt;=I846,"PASS","FAIL"))</f>
        <v>PASS</v>
      </c>
      <c r="K846" t="inlineStr">
        <is>
          <t xml:space="preserve"/>
        </is>
      </c>
    </row>
    <row r="847">
      <c r="A847" t="inlineStr">
        <is>
          <t xml:space="preserve">VZ</t>
        </is>
      </c>
      <c r="B847" t="inlineStr">
        <is>
          <t xml:space="preserve">Table 4 -- Operating margin</t>
        </is>
      </c>
      <c r="C847" t="inlineStr">
        <is>
          <t xml:space="preserve">Margin=30.0000%</t>
        </is>
      </c>
      <c r="D847" t="inlineStr">
        <is>
          <t xml:space="preserve">Enterprise Value</t>
        </is>
      </c>
      <c r="E847" s="6">
        <v>1168799969480.1138</v>
      </c>
      <c r="F847" s="6">
        <v>1168799969480.1138</v>
      </c>
      <c r="G847" s="11">
        <f>ABS(E847-F847)</f>
        <v>0.0</v>
      </c>
      <c r="H847" s="10">
        <f>IF(F847=0,"n/a (zero denom)",G847/ABS(F847))</f>
        <v>0.0</v>
      </c>
      <c r="I847" s="10">
        <f>'Tolerances'!$B$10</f>
        <v>0.002</v>
      </c>
      <c r="J847" s="15" t="str">
        <f>IF(F847=0,IF(G847&lt;=0.000001,"PASS","FAIL"),IF(H847&lt;=I847,"PASS","FAIL"))</f>
        <v>PASS</v>
      </c>
      <c r="K847" t="inlineStr">
        <is>
          <t xml:space="preserve"/>
        </is>
      </c>
    </row>
    <row r="848">
      <c r="A848" t="inlineStr">
        <is>
          <t xml:space="preserve">VZ</t>
        </is>
      </c>
      <c r="B848" t="inlineStr">
        <is>
          <t xml:space="preserve">Table 4 -- Operating margin</t>
        </is>
      </c>
      <c r="C848" t="inlineStr">
        <is>
          <t xml:space="preserve">Margin=30.0000%</t>
        </is>
      </c>
      <c r="D848" t="inlineStr">
        <is>
          <t xml:space="preserve">Equity Value</t>
        </is>
      </c>
      <c r="E848" s="6">
        <v>1029697969480.1138</v>
      </c>
      <c r="F848" s="6">
        <v>1029697969480.1138</v>
      </c>
      <c r="G848" s="11">
        <f>ABS(E848-F848)</f>
        <v>0.0</v>
      </c>
      <c r="H848" s="10">
        <f>IF(F848=0,"n/a (zero denom)",G848/ABS(F848))</f>
        <v>0.0</v>
      </c>
      <c r="I848" s="10">
        <f>'Tolerances'!$B$11</f>
        <v>0.002</v>
      </c>
      <c r="J848" s="15" t="str">
        <f>IF(F848=0,IF(G848&lt;=0.000001,"PASS","FAIL"),IF(H848&lt;=I848,"PASS","FAIL"))</f>
        <v>PASS</v>
      </c>
      <c r="K848" t="inlineStr">
        <is>
          <t xml:space="preserve"/>
        </is>
      </c>
    </row>
    <row r="849">
      <c r="A849" t="inlineStr">
        <is>
          <t xml:space="preserve">VZ</t>
        </is>
      </c>
      <c r="B849" t="inlineStr">
        <is>
          <t xml:space="preserve">Table 4 -- Operating margin</t>
        </is>
      </c>
      <c r="C849" t="inlineStr">
        <is>
          <t xml:space="preserve">Margin=30.0000%</t>
        </is>
      </c>
      <c r="D849" t="inlineStr">
        <is>
          <t xml:space="preserve">Intrinsic Value per Share</t>
        </is>
      </c>
      <c r="E849" s="7">
        <v>247.83482124001418</v>
      </c>
      <c r="F849" s="7">
        <v>247.83482124001418</v>
      </c>
      <c r="G849" s="12">
        <f>ABS(E849-F849)</f>
        <v>0.0</v>
      </c>
      <c r="H849" s="10">
        <f>IF(F849=0,"n/a (zero denom)",G849/ABS(F849))</f>
        <v>0.0</v>
      </c>
      <c r="I849" s="10">
        <f>'Tolerances'!$B$13</f>
        <v>0.005</v>
      </c>
      <c r="J849" s="15" t="str">
        <f>IF(F849=0,IF(G849&lt;=0.000001,"PASS","FAIL"),IF(H849&lt;=I849,"PASS","FAIL"))</f>
        <v>PASS</v>
      </c>
      <c r="K849" t="inlineStr">
        <is>
          <t xml:space="preserve"/>
        </is>
      </c>
    </row>
    <row r="850">
      <c r="A850" t="inlineStr">
        <is>
          <t xml:space="preserve">VZ</t>
        </is>
      </c>
      <c r="B850" t="inlineStr">
        <is>
          <t xml:space="preserve">Table 4 -- Operating margin</t>
        </is>
      </c>
      <c r="C850" t="inlineStr">
        <is>
          <t xml:space="preserve">Margin=40.0000%</t>
        </is>
      </c>
      <c r="D850" t="inlineStr">
        <is>
          <t xml:space="preserve">FCF Year 1</t>
        </is>
      </c>
      <c r="E850" s="6">
        <v>41887716669.89294</v>
      </c>
      <c r="F850" s="6">
        <v>41887716669.89294</v>
      </c>
      <c r="G850" s="11">
        <f>ABS(E850-F850)</f>
        <v>0.0</v>
      </c>
      <c r="H850" s="10">
        <f>IF(F850=0,"n/a (zero denom)",G850/ABS(F850))</f>
        <v>0.0</v>
      </c>
      <c r="I850" s="10">
        <f>'Tolerances'!$B$6</f>
        <v>0.001</v>
      </c>
      <c r="J850" s="15" t="str">
        <f>IF(F850=0,IF(G850&lt;=0.000001,"PASS","FAIL"),IF(H850&lt;=I850,"PASS","FAIL"))</f>
        <v>PASS</v>
      </c>
      <c r="K850" t="inlineStr">
        <is>
          <t xml:space="preserve"/>
        </is>
      </c>
    </row>
    <row r="851">
      <c r="A851" t="inlineStr">
        <is>
          <t xml:space="preserve">VZ</t>
        </is>
      </c>
      <c r="B851" t="inlineStr">
        <is>
          <t xml:space="preserve">Table 4 -- Operating margin</t>
        </is>
      </c>
      <c r="C851" t="inlineStr">
        <is>
          <t xml:space="preserve">Margin=40.0000%</t>
        </is>
      </c>
      <c r="D851" t="inlineStr">
        <is>
          <t xml:space="preserve">FCF Year 2</t>
        </is>
      </c>
      <c r="E851" s="6">
        <v>42241997679.2945</v>
      </c>
      <c r="F851" s="6">
        <v>42241997679.2945</v>
      </c>
      <c r="G851" s="11">
        <f>ABS(E851-F851)</f>
        <v>0.0</v>
      </c>
      <c r="H851" s="10">
        <f>IF(F851=0,"n/a (zero denom)",G851/ABS(F851))</f>
        <v>0.0</v>
      </c>
      <c r="I851" s="10">
        <f>'Tolerances'!$B$6</f>
        <v>0.001</v>
      </c>
      <c r="J851" s="15" t="str">
        <f>IF(F851=0,IF(G851&lt;=0.000001,"PASS","FAIL"),IF(H851&lt;=I851,"PASS","FAIL"))</f>
        <v>PASS</v>
      </c>
      <c r="K851" t="inlineStr">
        <is>
          <t xml:space="preserve"/>
        </is>
      </c>
    </row>
    <row r="852">
      <c r="A852" t="inlineStr">
        <is>
          <t xml:space="preserve">VZ</t>
        </is>
      </c>
      <c r="B852" t="inlineStr">
        <is>
          <t xml:space="preserve">Table 4 -- Operating margin</t>
        </is>
      </c>
      <c r="C852" t="inlineStr">
        <is>
          <t xml:space="preserve">Margin=40.0000%</t>
        </is>
      </c>
      <c r="D852" t="inlineStr">
        <is>
          <t xml:space="preserve">FCF Year 3</t>
        </is>
      </c>
      <c r="E852" s="6">
        <v>42599275152.66215</v>
      </c>
      <c r="F852" s="6">
        <v>42599275152.66215</v>
      </c>
      <c r="G852" s="11">
        <f>ABS(E852-F852)</f>
        <v>0.0</v>
      </c>
      <c r="H852" s="10">
        <f>IF(F852=0,"n/a (zero denom)",G852/ABS(F852))</f>
        <v>0.0</v>
      </c>
      <c r="I852" s="10">
        <f>'Tolerances'!$B$6</f>
        <v>0.001</v>
      </c>
      <c r="J852" s="15" t="str">
        <f>IF(F852=0,IF(G852&lt;=0.000001,"PASS","FAIL"),IF(H852&lt;=I852,"PASS","FAIL"))</f>
        <v>PASS</v>
      </c>
      <c r="K852" t="inlineStr">
        <is>
          <t xml:space="preserve"/>
        </is>
      </c>
    </row>
    <row r="853">
      <c r="A853" t="inlineStr">
        <is>
          <t xml:space="preserve">VZ</t>
        </is>
      </c>
      <c r="B853" t="inlineStr">
        <is>
          <t xml:space="preserve">Table 4 -- Operating margin</t>
        </is>
      </c>
      <c r="C853" t="inlineStr">
        <is>
          <t xml:space="preserve">Margin=40.0000%</t>
        </is>
      </c>
      <c r="D853" t="inlineStr">
        <is>
          <t xml:space="preserve">FCF Year 4</t>
        </is>
      </c>
      <c r="E853" s="6">
        <v>42959574433.70908</v>
      </c>
      <c r="F853" s="6">
        <v>42959574433.70908</v>
      </c>
      <c r="G853" s="11">
        <f>ABS(E853-F853)</f>
        <v>0.0</v>
      </c>
      <c r="H853" s="10">
        <f>IF(F853=0,"n/a (zero denom)",G853/ABS(F853))</f>
        <v>0.0</v>
      </c>
      <c r="I853" s="10">
        <f>'Tolerances'!$B$6</f>
        <v>0.001</v>
      </c>
      <c r="J853" s="15" t="str">
        <f>IF(F853=0,IF(G853&lt;=0.000001,"PASS","FAIL"),IF(H853&lt;=I853,"PASS","FAIL"))</f>
        <v>PASS</v>
      </c>
      <c r="K853" t="inlineStr">
        <is>
          <t xml:space="preserve"/>
        </is>
      </c>
    </row>
    <row r="854">
      <c r="A854" t="inlineStr">
        <is>
          <t xml:space="preserve">VZ</t>
        </is>
      </c>
      <c r="B854" t="inlineStr">
        <is>
          <t xml:space="preserve">Table 4 -- Operating margin</t>
        </is>
      </c>
      <c r="C854" t="inlineStr">
        <is>
          <t xml:space="preserve">Margin=40.0000%</t>
        </is>
      </c>
      <c r="D854" t="inlineStr">
        <is>
          <t xml:space="preserve">FCF Year 5</t>
        </is>
      </c>
      <c r="E854" s="6">
        <v>43322921080.50245</v>
      </c>
      <c r="F854" s="6">
        <v>43322921080.50245</v>
      </c>
      <c r="G854" s="11">
        <f>ABS(E854-F854)</f>
        <v>0.0</v>
      </c>
      <c r="H854" s="10">
        <f>IF(F854=0,"n/a (zero denom)",G854/ABS(F854))</f>
        <v>0.0</v>
      </c>
      <c r="I854" s="10">
        <f>'Tolerances'!$B$6</f>
        <v>0.001</v>
      </c>
      <c r="J854" s="15" t="str">
        <f>IF(F854=0,IF(G854&lt;=0.000001,"PASS","FAIL"),IF(H854&lt;=I854,"PASS","FAIL"))</f>
        <v>PASS</v>
      </c>
      <c r="K854" t="inlineStr">
        <is>
          <t xml:space="preserve"/>
        </is>
      </c>
    </row>
    <row r="855">
      <c r="A855" t="inlineStr">
        <is>
          <t xml:space="preserve">VZ</t>
        </is>
      </c>
      <c r="B855" t="inlineStr">
        <is>
          <t xml:space="preserve">Table 4 -- Operating margin</t>
        </is>
      </c>
      <c r="C855" t="inlineStr">
        <is>
          <t xml:space="preserve">Margin=40.0000%</t>
        </is>
      </c>
      <c r="D855" t="inlineStr">
        <is>
          <t xml:space="preserve">Terminal Value</t>
        </is>
      </c>
      <c r="E855" s="6">
        <v>1776239764300.6</v>
      </c>
      <c r="F855" s="6">
        <v>1776239764300.6</v>
      </c>
      <c r="G855" s="11">
        <f>ABS(E855-F855)</f>
        <v>0.0</v>
      </c>
      <c r="H855" s="10">
        <f>IF(F855=0,"n/a (zero denom)",G855/ABS(F855))</f>
        <v>0.0</v>
      </c>
      <c r="I855" s="10">
        <f>'Tolerances'!$B$7</f>
        <v>0.002</v>
      </c>
      <c r="J855" s="15" t="str">
        <f>IF(F855=0,IF(G855&lt;=0.000001,"PASS","FAIL"),IF(H855&lt;=I855,"PASS","FAIL"))</f>
        <v>PASS</v>
      </c>
      <c r="K855" t="inlineStr">
        <is>
          <t xml:space="preserve"/>
        </is>
      </c>
    </row>
    <row r="856">
      <c r="A856" t="inlineStr">
        <is>
          <t xml:space="preserve">VZ</t>
        </is>
      </c>
      <c r="B856" t="inlineStr">
        <is>
          <t xml:space="preserve">Table 4 -- Operating margin</t>
        </is>
      </c>
      <c r="C856" t="inlineStr">
        <is>
          <t xml:space="preserve">Margin=40.0000%</t>
        </is>
      </c>
      <c r="D856" t="inlineStr">
        <is>
          <t xml:space="preserve">Enterprise Value</t>
        </is>
      </c>
      <c r="E856" s="6">
        <v>1576024579894.5984</v>
      </c>
      <c r="F856" s="6">
        <v>1576024579894.5984</v>
      </c>
      <c r="G856" s="11">
        <f>ABS(E856-F856)</f>
        <v>0.0</v>
      </c>
      <c r="H856" s="10">
        <f>IF(F856=0,"n/a (zero denom)",G856/ABS(F856))</f>
        <v>0.0</v>
      </c>
      <c r="I856" s="10">
        <f>'Tolerances'!$B$10</f>
        <v>0.002</v>
      </c>
      <c r="J856" s="15" t="str">
        <f>IF(F856=0,IF(G856&lt;=0.000001,"PASS","FAIL"),IF(H856&lt;=I856,"PASS","FAIL"))</f>
        <v>PASS</v>
      </c>
      <c r="K856" t="inlineStr">
        <is>
          <t xml:space="preserve"/>
        </is>
      </c>
    </row>
    <row r="857">
      <c r="A857" t="inlineStr">
        <is>
          <t xml:space="preserve">VZ</t>
        </is>
      </c>
      <c r="B857" t="inlineStr">
        <is>
          <t xml:space="preserve">Table 4 -- Operating margin</t>
        </is>
      </c>
      <c r="C857" t="inlineStr">
        <is>
          <t xml:space="preserve">Margin=40.0000%</t>
        </is>
      </c>
      <c r="D857" t="inlineStr">
        <is>
          <t xml:space="preserve">Equity Value</t>
        </is>
      </c>
      <c r="E857" s="6">
        <v>1436922579894.5984</v>
      </c>
      <c r="F857" s="6">
        <v>1436922579894.5984</v>
      </c>
      <c r="G857" s="11">
        <f>ABS(E857-F857)</f>
        <v>0.0</v>
      </c>
      <c r="H857" s="10">
        <f>IF(F857=0,"n/a (zero denom)",G857/ABS(F857))</f>
        <v>0.0</v>
      </c>
      <c r="I857" s="10">
        <f>'Tolerances'!$B$11</f>
        <v>0.002</v>
      </c>
      <c r="J857" s="15" t="str">
        <f>IF(F857=0,IF(G857&lt;=0.000001,"PASS","FAIL"),IF(H857&lt;=I857,"PASS","FAIL"))</f>
        <v>PASS</v>
      </c>
      <c r="K857" t="inlineStr">
        <is>
          <t xml:space="preserve"/>
        </is>
      </c>
    </row>
    <row r="858">
      <c r="A858" t="inlineStr">
        <is>
          <t xml:space="preserve">VZ</t>
        </is>
      </c>
      <c r="B858" t="inlineStr">
        <is>
          <t xml:space="preserve">Table 4 -- Operating margin</t>
        </is>
      </c>
      <c r="C858" t="inlineStr">
        <is>
          <t xml:space="preserve">Margin=40.0000%</t>
        </is>
      </c>
      <c r="D858" t="inlineStr">
        <is>
          <t xml:space="preserve">Intrinsic Value per Share</t>
        </is>
      </c>
      <c r="E858" s="7">
        <v>345.848453895388</v>
      </c>
      <c r="F858" s="7">
        <v>345.848453895388</v>
      </c>
      <c r="G858" s="12">
        <f>ABS(E858-F858)</f>
        <v>0.0</v>
      </c>
      <c r="H858" s="10">
        <f>IF(F858=0,"n/a (zero denom)",G858/ABS(F858))</f>
        <v>0.0</v>
      </c>
      <c r="I858" s="10">
        <f>'Tolerances'!$B$13</f>
        <v>0.005</v>
      </c>
      <c r="J858" s="15" t="str">
        <f>IF(F858=0,IF(G858&lt;=0.000001,"PASS","FAIL"),IF(H858&lt;=I858,"PASS","FAIL"))</f>
        <v>PASS</v>
      </c>
      <c r="K858" t="inlineStr">
        <is>
          <t xml:space="preserve"/>
        </is>
      </c>
    </row>
    <row r="859">
      <c r="A859" t="inlineStr">
        <is>
          <t xml:space="preserve">VZ</t>
        </is>
      </c>
      <c r="B859" t="inlineStr">
        <is>
          <t xml:space="preserve">Table 4 -- Operating margin</t>
        </is>
      </c>
      <c r="C859" t="inlineStr">
        <is>
          <t xml:space="preserve">Margin=50.0000%</t>
        </is>
      </c>
      <c r="D859" t="inlineStr">
        <is>
          <t xml:space="preserve">FCF Year 1</t>
        </is>
      </c>
      <c r="E859" s="6">
        <v>52710967347.36031</v>
      </c>
      <c r="F859" s="6">
        <v>52710967347.36031</v>
      </c>
      <c r="G859" s="11">
        <f>ABS(E859-F859)</f>
        <v>0.0</v>
      </c>
      <c r="H859" s="10">
        <f>IF(F859=0,"n/a (zero denom)",G859/ABS(F859))</f>
        <v>0.0</v>
      </c>
      <c r="I859" s="10">
        <f>'Tolerances'!$B$6</f>
        <v>0.001</v>
      </c>
      <c r="J859" s="15" t="str">
        <f>IF(F859=0,IF(G859&lt;=0.000001,"PASS","FAIL"),IF(H859&lt;=I859,"PASS","FAIL"))</f>
        <v>PASS</v>
      </c>
      <c r="K859" t="inlineStr">
        <is>
          <t xml:space="preserve"/>
        </is>
      </c>
    </row>
    <row r="860">
      <c r="A860" t="inlineStr">
        <is>
          <t xml:space="preserve">VZ</t>
        </is>
      </c>
      <c r="B860" t="inlineStr">
        <is>
          <t xml:space="preserve">Table 4 -- Operating margin</t>
        </is>
      </c>
      <c r="C860" t="inlineStr">
        <is>
          <t xml:space="preserve">Margin=50.0000%</t>
        </is>
      </c>
      <c r="D860" t="inlineStr">
        <is>
          <t xml:space="preserve">FCF Year 2</t>
        </is>
      </c>
      <c r="E860" s="6">
        <v>53156790042.0067</v>
      </c>
      <c r="F860" s="6">
        <v>53156790042.0067</v>
      </c>
      <c r="G860" s="11">
        <f>ABS(E860-F860)</f>
        <v>0.0</v>
      </c>
      <c r="H860" s="10">
        <f>IF(F860=0,"n/a (zero denom)",G860/ABS(F860))</f>
        <v>0.0</v>
      </c>
      <c r="I860" s="10">
        <f>'Tolerances'!$B$6</f>
        <v>0.001</v>
      </c>
      <c r="J860" s="15" t="str">
        <f>IF(F860=0,IF(G860&lt;=0.000001,"PASS","FAIL"),IF(H860&lt;=I860,"PASS","FAIL"))</f>
        <v>PASS</v>
      </c>
      <c r="K860" t="inlineStr">
        <is>
          <t xml:space="preserve"/>
        </is>
      </c>
    </row>
    <row r="861">
      <c r="A861" t="inlineStr">
        <is>
          <t xml:space="preserve">VZ</t>
        </is>
      </c>
      <c r="B861" t="inlineStr">
        <is>
          <t xml:space="preserve">Table 4 -- Operating margin</t>
        </is>
      </c>
      <c r="C861" t="inlineStr">
        <is>
          <t xml:space="preserve">Margin=50.0000%</t>
        </is>
      </c>
      <c r="D861" t="inlineStr">
        <is>
          <t xml:space="preserve">FCF Year 3</t>
        </is>
      </c>
      <c r="E861" s="6">
        <v>53606383448.61426</v>
      </c>
      <c r="F861" s="6">
        <v>53606383448.61426</v>
      </c>
      <c r="G861" s="11">
        <f>ABS(E861-F861)</f>
        <v>0.0</v>
      </c>
      <c r="H861" s="10">
        <f>IF(F861=0,"n/a (zero denom)",G861/ABS(F861))</f>
        <v>0.0</v>
      </c>
      <c r="I861" s="10">
        <f>'Tolerances'!$B$6</f>
        <v>0.001</v>
      </c>
      <c r="J861" s="15" t="str">
        <f>IF(F861=0,IF(G861&lt;=0.000001,"PASS","FAIL"),IF(H861&lt;=I861,"PASS","FAIL"))</f>
        <v>PASS</v>
      </c>
      <c r="K861" t="inlineStr">
        <is>
          <t xml:space="preserve"/>
        </is>
      </c>
    </row>
    <row r="862">
      <c r="A862" t="inlineStr">
        <is>
          <t xml:space="preserve">VZ</t>
        </is>
      </c>
      <c r="B862" t="inlineStr">
        <is>
          <t xml:space="preserve">Table 4 -- Operating margin</t>
        </is>
      </c>
      <c r="C862" t="inlineStr">
        <is>
          <t xml:space="preserve">Margin=50.0000%</t>
        </is>
      </c>
      <c r="D862" t="inlineStr">
        <is>
          <t xml:space="preserve">FCF Year 4</t>
        </is>
      </c>
      <c r="E862" s="6">
        <v>54059779459.38782</v>
      </c>
      <c r="F862" s="6">
        <v>54059779459.38782</v>
      </c>
      <c r="G862" s="11">
        <f>ABS(E862-F862)</f>
        <v>0.0</v>
      </c>
      <c r="H862" s="10">
        <f>IF(F862=0,"n/a (zero denom)",G862/ABS(F862))</f>
        <v>0.0</v>
      </c>
      <c r="I862" s="10">
        <f>'Tolerances'!$B$6</f>
        <v>0.001</v>
      </c>
      <c r="J862" s="15" t="str">
        <f>IF(F862=0,IF(G862&lt;=0.000001,"PASS","FAIL"),IF(H862&lt;=I862,"PASS","FAIL"))</f>
        <v>PASS</v>
      </c>
      <c r="K862" t="inlineStr">
        <is>
          <t xml:space="preserve"/>
        </is>
      </c>
    </row>
    <row r="863">
      <c r="A863" t="inlineStr">
        <is>
          <t xml:space="preserve">VZ</t>
        </is>
      </c>
      <c r="B863" t="inlineStr">
        <is>
          <t xml:space="preserve">Table 4 -- Operating margin</t>
        </is>
      </c>
      <c r="C863" t="inlineStr">
        <is>
          <t xml:space="preserve">Margin=50.0000%</t>
        </is>
      </c>
      <c r="D863" t="inlineStr">
        <is>
          <t xml:space="preserve">FCF Year 5</t>
        </is>
      </c>
      <c r="E863" s="6">
        <v>54517010236.27244</v>
      </c>
      <c r="F863" s="6">
        <v>54517010236.27244</v>
      </c>
      <c r="G863" s="11">
        <f>ABS(E863-F863)</f>
        <v>0.0</v>
      </c>
      <c r="H863" s="10">
        <f>IF(F863=0,"n/a (zero denom)",G863/ABS(F863))</f>
        <v>0.0</v>
      </c>
      <c r="I863" s="10">
        <f>'Tolerances'!$B$6</f>
        <v>0.001</v>
      </c>
      <c r="J863" s="15" t="str">
        <f>IF(F863=0,IF(G863&lt;=0.000001,"PASS","FAIL"),IF(H863&lt;=I863,"PASS","FAIL"))</f>
        <v>PASS</v>
      </c>
      <c r="K863" t="inlineStr">
        <is>
          <t xml:space="preserve"/>
        </is>
      </c>
    </row>
    <row r="864">
      <c r="A864" t="inlineStr">
        <is>
          <t xml:space="preserve">VZ</t>
        </is>
      </c>
      <c r="B864" t="inlineStr">
        <is>
          <t xml:space="preserve">Table 4 -- Operating margin</t>
        </is>
      </c>
      <c r="C864" t="inlineStr">
        <is>
          <t xml:space="preserve">Margin=50.0000%</t>
        </is>
      </c>
      <c r="D864" t="inlineStr">
        <is>
          <t xml:space="preserve">Terminal Value</t>
        </is>
      </c>
      <c r="E864" s="6">
        <v>2235197419687.1694</v>
      </c>
      <c r="F864" s="6">
        <v>2235197419687.1694</v>
      </c>
      <c r="G864" s="11">
        <f>ABS(E864-F864)</f>
        <v>0.0</v>
      </c>
      <c r="H864" s="10">
        <f>IF(F864=0,"n/a (zero denom)",G864/ABS(F864))</f>
        <v>0.0</v>
      </c>
      <c r="I864" s="10">
        <f>'Tolerances'!$B$7</f>
        <v>0.002</v>
      </c>
      <c r="J864" s="15" t="str">
        <f>IF(F864=0,IF(G864&lt;=0.000001,"PASS","FAIL"),IF(H864&lt;=I864,"PASS","FAIL"))</f>
        <v>PASS</v>
      </c>
      <c r="K864" t="inlineStr">
        <is>
          <t xml:space="preserve"/>
        </is>
      </c>
    </row>
    <row r="865">
      <c r="A865" t="inlineStr">
        <is>
          <t xml:space="preserve">VZ</t>
        </is>
      </c>
      <c r="B865" t="inlineStr">
        <is>
          <t xml:space="preserve">Table 4 -- Operating margin</t>
        </is>
      </c>
      <c r="C865" t="inlineStr">
        <is>
          <t xml:space="preserve">Margin=50.0000%</t>
        </is>
      </c>
      <c r="D865" t="inlineStr">
        <is>
          <t xml:space="preserve">Enterprise Value</t>
        </is>
      </c>
      <c r="E865" s="6">
        <v>1983249190309.0828</v>
      </c>
      <c r="F865" s="6">
        <v>1983249190309.0828</v>
      </c>
      <c r="G865" s="11">
        <f>ABS(E865-F865)</f>
        <v>0.0</v>
      </c>
      <c r="H865" s="10">
        <f>IF(F865=0,"n/a (zero denom)",G865/ABS(F865))</f>
        <v>0.0</v>
      </c>
      <c r="I865" s="10">
        <f>'Tolerances'!$B$10</f>
        <v>0.002</v>
      </c>
      <c r="J865" s="15" t="str">
        <f>IF(F865=0,IF(G865&lt;=0.000001,"PASS","FAIL"),IF(H865&lt;=I865,"PASS","FAIL"))</f>
        <v>PASS</v>
      </c>
      <c r="K865" t="inlineStr">
        <is>
          <t xml:space="preserve"/>
        </is>
      </c>
    </row>
    <row r="866">
      <c r="A866" t="inlineStr">
        <is>
          <t xml:space="preserve">VZ</t>
        </is>
      </c>
      <c r="B866" t="inlineStr">
        <is>
          <t xml:space="preserve">Table 4 -- Operating margin</t>
        </is>
      </c>
      <c r="C866" t="inlineStr">
        <is>
          <t xml:space="preserve">Margin=50.0000%</t>
        </is>
      </c>
      <c r="D866" t="inlineStr">
        <is>
          <t xml:space="preserve">Equity Value</t>
        </is>
      </c>
      <c r="E866" s="6">
        <v>1844147190309.0828</v>
      </c>
      <c r="F866" s="6">
        <v>1844147190309.0828</v>
      </c>
      <c r="G866" s="11">
        <f>ABS(E866-F866)</f>
        <v>0.0</v>
      </c>
      <c r="H866" s="10">
        <f>IF(F866=0,"n/a (zero denom)",G866/ABS(F866))</f>
        <v>0.0</v>
      </c>
      <c r="I866" s="10">
        <f>'Tolerances'!$B$11</f>
        <v>0.002</v>
      </c>
      <c r="J866" s="15" t="str">
        <f>IF(F866=0,IF(G866&lt;=0.000001,"PASS","FAIL"),IF(H866&lt;=I866,"PASS","FAIL"))</f>
        <v>PASS</v>
      </c>
      <c r="K866" t="inlineStr">
        <is>
          <t xml:space="preserve"/>
        </is>
      </c>
    </row>
    <row r="867">
      <c r="A867" t="inlineStr">
        <is>
          <t xml:space="preserve">VZ</t>
        </is>
      </c>
      <c r="B867" t="inlineStr">
        <is>
          <t xml:space="preserve">Table 4 -- Operating margin</t>
        </is>
      </c>
      <c r="C867" t="inlineStr">
        <is>
          <t xml:space="preserve">Margin=50.0000%</t>
        </is>
      </c>
      <c r="D867" t="inlineStr">
        <is>
          <t xml:space="preserve">Intrinsic Value per Share</t>
        </is>
      </c>
      <c r="E867" s="7">
        <v>443.8620865507618</v>
      </c>
      <c r="F867" s="7">
        <v>443.8620865507618</v>
      </c>
      <c r="G867" s="12">
        <f>ABS(E867-F867)</f>
        <v>0.0</v>
      </c>
      <c r="H867" s="10">
        <f>IF(F867=0,"n/a (zero denom)",G867/ABS(F867))</f>
        <v>0.0</v>
      </c>
      <c r="I867" s="10">
        <f>'Tolerances'!$B$13</f>
        <v>0.005</v>
      </c>
      <c r="J867" s="15" t="str">
        <f>IF(F867=0,IF(G867&lt;=0.000001,"PASS","FAIL"),IF(H867&lt;=I867,"PASS","FAIL"))</f>
        <v>PASS</v>
      </c>
      <c r="K867" t="inlineStr">
        <is>
          <t xml:space="preserve"/>
        </is>
      </c>
    </row>
    <row r="868">
      <c r="A868" t="inlineStr">
        <is>
          <t xml:space="preserve">VZ</t>
        </is>
      </c>
      <c r="B868" t="inlineStr">
        <is>
          <t xml:space="preserve">Table 4 -- Operating margin</t>
        </is>
      </c>
      <c r="C868" t="inlineStr">
        <is>
          <t xml:space="preserve">Margin=60.0000%</t>
        </is>
      </c>
      <c r="D868" t="inlineStr">
        <is>
          <t xml:space="preserve">FCF Year 1</t>
        </is>
      </c>
      <c r="E868" s="6">
        <v>63534218024.827705</v>
      </c>
      <c r="F868" s="6">
        <v>63534218024.827705</v>
      </c>
      <c r="G868" s="11">
        <f>ABS(E868-F868)</f>
        <v>0.0</v>
      </c>
      <c r="H868" s="10">
        <f>IF(F868=0,"n/a (zero denom)",G868/ABS(F868))</f>
        <v>0.0</v>
      </c>
      <c r="I868" s="10">
        <f>'Tolerances'!$B$6</f>
        <v>0.001</v>
      </c>
      <c r="J868" s="15" t="str">
        <f>IF(F868=0,IF(G868&lt;=0.000001,"PASS","FAIL"),IF(H868&lt;=I868,"PASS","FAIL"))</f>
        <v>PASS</v>
      </c>
      <c r="K868" t="inlineStr">
        <is>
          <t xml:space="preserve"/>
        </is>
      </c>
    </row>
    <row r="869">
      <c r="A869" t="inlineStr">
        <is>
          <t xml:space="preserve">VZ</t>
        </is>
      </c>
      <c r="B869" t="inlineStr">
        <is>
          <t xml:space="preserve">Table 4 -- Operating margin</t>
        </is>
      </c>
      <c r="C869" t="inlineStr">
        <is>
          <t xml:space="preserve">Margin=60.0000%</t>
        </is>
      </c>
      <c r="D869" t="inlineStr">
        <is>
          <t xml:space="preserve">FCF Year 2</t>
        </is>
      </c>
      <c r="E869" s="6">
        <v>64071582404.7189</v>
      </c>
      <c r="F869" s="6">
        <v>64071582404.7189</v>
      </c>
      <c r="G869" s="11">
        <f>ABS(E869-F869)</f>
        <v>0.0</v>
      </c>
      <c r="H869" s="10">
        <f>IF(F869=0,"n/a (zero denom)",G869/ABS(F869))</f>
        <v>0.0</v>
      </c>
      <c r="I869" s="10">
        <f>'Tolerances'!$B$6</f>
        <v>0.001</v>
      </c>
      <c r="J869" s="15" t="str">
        <f>IF(F869=0,IF(G869&lt;=0.000001,"PASS","FAIL"),IF(H869&lt;=I869,"PASS","FAIL"))</f>
        <v>PASS</v>
      </c>
      <c r="K869" t="inlineStr">
        <is>
          <t xml:space="preserve"/>
        </is>
      </c>
    </row>
    <row r="870">
      <c r="A870" t="inlineStr">
        <is>
          <t xml:space="preserve">VZ</t>
        </is>
      </c>
      <c r="B870" t="inlineStr">
        <is>
          <t xml:space="preserve">Table 4 -- Operating margin</t>
        </is>
      </c>
      <c r="C870" t="inlineStr">
        <is>
          <t xml:space="preserve">Margin=60.0000%</t>
        </is>
      </c>
      <c r="D870" t="inlineStr">
        <is>
          <t xml:space="preserve">FCF Year 3</t>
        </is>
      </c>
      <c r="E870" s="6">
        <v>64613491744.566376</v>
      </c>
      <c r="F870" s="6">
        <v>64613491744.566376</v>
      </c>
      <c r="G870" s="11">
        <f>ABS(E870-F870)</f>
        <v>0.0</v>
      </c>
      <c r="H870" s="10">
        <f>IF(F870=0,"n/a (zero denom)",G870/ABS(F870))</f>
        <v>0.0</v>
      </c>
      <c r="I870" s="10">
        <f>'Tolerances'!$B$6</f>
        <v>0.001</v>
      </c>
      <c r="J870" s="15" t="str">
        <f>IF(F870=0,IF(G870&lt;=0.000001,"PASS","FAIL"),IF(H870&lt;=I870,"PASS","FAIL"))</f>
        <v>PASS</v>
      </c>
      <c r="K870" t="inlineStr">
        <is>
          <t xml:space="preserve"/>
        </is>
      </c>
    </row>
    <row r="871">
      <c r="A871" t="inlineStr">
        <is>
          <t xml:space="preserve">VZ</t>
        </is>
      </c>
      <c r="B871" t="inlineStr">
        <is>
          <t xml:space="preserve">Table 4 -- Operating margin</t>
        </is>
      </c>
      <c r="C871" t="inlineStr">
        <is>
          <t xml:space="preserve">Margin=60.0000%</t>
        </is>
      </c>
      <c r="D871" t="inlineStr">
        <is>
          <t xml:space="preserve">FCF Year 4</t>
        </is>
      </c>
      <c r="E871" s="6">
        <v>65159984485.06654</v>
      </c>
      <c r="F871" s="6">
        <v>65159984485.06654</v>
      </c>
      <c r="G871" s="11">
        <f>ABS(E871-F871)</f>
        <v>0.0</v>
      </c>
      <c r="H871" s="10">
        <f>IF(F871=0,"n/a (zero denom)",G871/ABS(F871))</f>
        <v>0.0</v>
      </c>
      <c r="I871" s="10">
        <f>'Tolerances'!$B$6</f>
        <v>0.001</v>
      </c>
      <c r="J871" s="15" t="str">
        <f>IF(F871=0,IF(G871&lt;=0.000001,"PASS","FAIL"),IF(H871&lt;=I871,"PASS","FAIL"))</f>
        <v>PASS</v>
      </c>
      <c r="K871" t="inlineStr">
        <is>
          <t xml:space="preserve"/>
        </is>
      </c>
    </row>
    <row r="872">
      <c r="A872" t="inlineStr">
        <is>
          <t xml:space="preserve">VZ</t>
        </is>
      </c>
      <c r="B872" t="inlineStr">
        <is>
          <t xml:space="preserve">Table 4 -- Operating margin</t>
        </is>
      </c>
      <c r="C872" t="inlineStr">
        <is>
          <t xml:space="preserve">Margin=60.0000%</t>
        </is>
      </c>
      <c r="D872" t="inlineStr">
        <is>
          <t xml:space="preserve">FCF Year 5</t>
        </is>
      </c>
      <c r="E872" s="6">
        <v>65711099392.04242</v>
      </c>
      <c r="F872" s="6">
        <v>65711099392.04242</v>
      </c>
      <c r="G872" s="11">
        <f>ABS(E872-F872)</f>
        <v>0.0</v>
      </c>
      <c r="H872" s="10">
        <f>IF(F872=0,"n/a (zero denom)",G872/ABS(F872))</f>
        <v>0.0</v>
      </c>
      <c r="I872" s="10">
        <f>'Tolerances'!$B$6</f>
        <v>0.001</v>
      </c>
      <c r="J872" s="15" t="str">
        <f>IF(F872=0,IF(G872&lt;=0.000001,"PASS","FAIL"),IF(H872&lt;=I872,"PASS","FAIL"))</f>
        <v>PASS</v>
      </c>
      <c r="K872" t="inlineStr">
        <is>
          <t xml:space="preserve"/>
        </is>
      </c>
    </row>
    <row r="873">
      <c r="A873" t="inlineStr">
        <is>
          <t xml:space="preserve">VZ</t>
        </is>
      </c>
      <c r="B873" t="inlineStr">
        <is>
          <t xml:space="preserve">Table 4 -- Operating margin</t>
        </is>
      </c>
      <c r="C873" t="inlineStr">
        <is>
          <t xml:space="preserve">Margin=60.0000%</t>
        </is>
      </c>
      <c r="D873" t="inlineStr">
        <is>
          <t xml:space="preserve">Terminal Value</t>
        </is>
      </c>
      <c r="E873" s="6">
        <v>2694155075073.739</v>
      </c>
      <c r="F873" s="6">
        <v>2694155075073.739</v>
      </c>
      <c r="G873" s="11">
        <f>ABS(E873-F873)</f>
        <v>0.0</v>
      </c>
      <c r="H873" s="10">
        <f>IF(F873=0,"n/a (zero denom)",G873/ABS(F873))</f>
        <v>0.0</v>
      </c>
      <c r="I873" s="10">
        <f>'Tolerances'!$B$7</f>
        <v>0.002</v>
      </c>
      <c r="J873" s="15" t="str">
        <f>IF(F873=0,IF(G873&lt;=0.000001,"PASS","FAIL"),IF(H873&lt;=I873,"PASS","FAIL"))</f>
        <v>PASS</v>
      </c>
      <c r="K873" t="inlineStr">
        <is>
          <t xml:space="preserve"/>
        </is>
      </c>
    </row>
    <row r="874">
      <c r="A874" t="inlineStr">
        <is>
          <t xml:space="preserve">VZ</t>
        </is>
      </c>
      <c r="B874" t="inlineStr">
        <is>
          <t xml:space="preserve">Table 4 -- Operating margin</t>
        </is>
      </c>
      <c r="C874" t="inlineStr">
        <is>
          <t xml:space="preserve">Margin=60.0000%</t>
        </is>
      </c>
      <c r="D874" t="inlineStr">
        <is>
          <t xml:space="preserve">Enterprise Value</t>
        </is>
      </c>
      <c r="E874" s="6">
        <v>2390473800723.5674</v>
      </c>
      <c r="F874" s="6">
        <v>2390473800723.5674</v>
      </c>
      <c r="G874" s="11">
        <f>ABS(E874-F874)</f>
        <v>0.0</v>
      </c>
      <c r="H874" s="10">
        <f>IF(F874=0,"n/a (zero denom)",G874/ABS(F874))</f>
        <v>0.0</v>
      </c>
      <c r="I874" s="10">
        <f>'Tolerances'!$B$10</f>
        <v>0.002</v>
      </c>
      <c r="J874" s="15" t="str">
        <f>IF(F874=0,IF(G874&lt;=0.000001,"PASS","FAIL"),IF(H874&lt;=I874,"PASS","FAIL"))</f>
        <v>PASS</v>
      </c>
      <c r="K874" t="inlineStr">
        <is>
          <t xml:space="preserve"/>
        </is>
      </c>
    </row>
    <row r="875">
      <c r="A875" t="inlineStr">
        <is>
          <t xml:space="preserve">VZ</t>
        </is>
      </c>
      <c r="B875" t="inlineStr">
        <is>
          <t xml:space="preserve">Table 4 -- Operating margin</t>
        </is>
      </c>
      <c r="C875" t="inlineStr">
        <is>
          <t xml:space="preserve">Margin=60.0000%</t>
        </is>
      </c>
      <c r="D875" t="inlineStr">
        <is>
          <t xml:space="preserve">Equity Value</t>
        </is>
      </c>
      <c r="E875" s="6">
        <v>2251371800723.5674</v>
      </c>
      <c r="F875" s="6">
        <v>2251371800723.5674</v>
      </c>
      <c r="G875" s="11">
        <f>ABS(E875-F875)</f>
        <v>0.0</v>
      </c>
      <c r="H875" s="10">
        <f>IF(F875=0,"n/a (zero denom)",G875/ABS(F875))</f>
        <v>0.0</v>
      </c>
      <c r="I875" s="10">
        <f>'Tolerances'!$B$11</f>
        <v>0.002</v>
      </c>
      <c r="J875" s="15" t="str">
        <f>IF(F875=0,IF(G875&lt;=0.000001,"PASS","FAIL"),IF(H875&lt;=I875,"PASS","FAIL"))</f>
        <v>PASS</v>
      </c>
      <c r="K875" t="inlineStr">
        <is>
          <t xml:space="preserve"/>
        </is>
      </c>
    </row>
    <row r="876">
      <c r="A876" t="inlineStr">
        <is>
          <t xml:space="preserve">VZ</t>
        </is>
      </c>
      <c r="B876" t="inlineStr">
        <is>
          <t xml:space="preserve">Table 4 -- Operating margin</t>
        </is>
      </c>
      <c r="C876" t="inlineStr">
        <is>
          <t xml:space="preserve">Margin=60.0000%</t>
        </is>
      </c>
      <c r="D876" t="inlineStr">
        <is>
          <t xml:space="preserve">Intrinsic Value per Share</t>
        </is>
      </c>
      <c r="E876" s="7">
        <v>541.8757192061356</v>
      </c>
      <c r="F876" s="7">
        <v>541.8757192061356</v>
      </c>
      <c r="G876" s="12">
        <f>ABS(E876-F876)</f>
        <v>0.0</v>
      </c>
      <c r="H876" s="10">
        <f>IF(F876=0,"n/a (zero denom)",G876/ABS(F876))</f>
        <v>0.0</v>
      </c>
      <c r="I876" s="10">
        <f>'Tolerances'!$B$13</f>
        <v>0.005</v>
      </c>
      <c r="J876" s="15" t="str">
        <f>IF(F876=0,IF(G876&lt;=0.000001,"PASS","FAIL"),IF(H876&lt;=I876,"PASS","FAIL"))</f>
        <v>PASS</v>
      </c>
      <c r="K876" t="inlineStr">
        <is>
          <t xml:space="preserve"/>
        </is>
      </c>
    </row>
    <row r="877">
      <c r="A877" t="inlineStr">
        <is>
          <t xml:space="preserve">VZ</t>
        </is>
      </c>
      <c r="B877" t="inlineStr">
        <is>
          <t xml:space="preserve">Table 5 -- WACC x g two-way grid</t>
        </is>
      </c>
      <c r="C877" t="inlineStr">
        <is>
          <t xml:space="preserve">WACC=5.0000%, g=0.0000%</t>
        </is>
      </c>
      <c r="D877" t="inlineStr">
        <is>
          <t xml:space="preserve">Intrinsic Value per Share</t>
        </is>
      </c>
      <c r="E877" s="7">
        <v>73.44314346424999</v>
      </c>
      <c r="F877" s="7">
        <v>73.44314346424999</v>
      </c>
      <c r="G877" s="12">
        <f>ABS(E877-F877)</f>
        <v>0.0</v>
      </c>
      <c r="H877" s="10">
        <f>IF(F877=0,"n/a (zero denom)",G877/ABS(F877))</f>
        <v>0.0</v>
      </c>
      <c r="I877" s="10">
        <f>'Tolerances'!$B$13</f>
        <v>0.005</v>
      </c>
      <c r="J877" s="15" t="str">
        <f>IF(F877=0,IF(G877&lt;=0.000001,"PASS","FAIL"),IF(H877&lt;=I877,"PASS","FAIL"))</f>
        <v>PASS</v>
      </c>
      <c r="K877" t="inlineStr">
        <is>
          <t xml:space="preserve"/>
        </is>
      </c>
    </row>
    <row r="878">
      <c r="A878" t="inlineStr">
        <is>
          <t xml:space="preserve">VZ</t>
        </is>
      </c>
      <c r="B878" t="inlineStr">
        <is>
          <t xml:space="preserve">Table 5 -- WACC x g two-way grid</t>
        </is>
      </c>
      <c r="C878" t="inlineStr">
        <is>
          <t xml:space="preserve">WACC=5.0000%, g=1.0000%</t>
        </is>
      </c>
      <c r="D878" t="inlineStr">
        <is>
          <t xml:space="preserve">Intrinsic Value per Share</t>
        </is>
      </c>
      <c r="E878" s="7">
        <v>95.5179773340148</v>
      </c>
      <c r="F878" s="7">
        <v>95.5179773340148</v>
      </c>
      <c r="G878" s="12">
        <f>ABS(E878-F878)</f>
        <v>0.0</v>
      </c>
      <c r="H878" s="10">
        <f>IF(F878=0,"n/a (zero denom)",G878/ABS(F878))</f>
        <v>0.0</v>
      </c>
      <c r="I878" s="10">
        <f>'Tolerances'!$B$13</f>
        <v>0.005</v>
      </c>
      <c r="J878" s="15" t="str">
        <f>IF(F878=0,IF(G878&lt;=0.000001,"PASS","FAIL"),IF(H878&lt;=I878,"PASS","FAIL"))</f>
        <v>PASS</v>
      </c>
      <c r="K878" t="inlineStr">
        <is>
          <t xml:space="preserve"/>
        </is>
      </c>
    </row>
    <row r="879">
      <c r="A879" t="inlineStr">
        <is>
          <t xml:space="preserve">VZ</t>
        </is>
      </c>
      <c r="B879" t="inlineStr">
        <is>
          <t xml:space="preserve">Table 5 -- WACC x g two-way grid</t>
        </is>
      </c>
      <c r="C879" t="inlineStr">
        <is>
          <t xml:space="preserve">WACC=5.0000%, g=2.0000%</t>
        </is>
      </c>
      <c r="D879" t="inlineStr">
        <is>
          <t xml:space="preserve">Intrinsic Value per Share</t>
        </is>
      </c>
      <c r="E879" s="7">
        <v>132.30936711695614</v>
      </c>
      <c r="F879" s="7">
        <v>132.30936711695614</v>
      </c>
      <c r="G879" s="12">
        <f>ABS(E879-F879)</f>
        <v>0.0</v>
      </c>
      <c r="H879" s="10">
        <f>IF(F879=0,"n/a (zero denom)",G879/ABS(F879))</f>
        <v>0.0</v>
      </c>
      <c r="I879" s="10">
        <f>'Tolerances'!$B$13</f>
        <v>0.005</v>
      </c>
      <c r="J879" s="15" t="str">
        <f>IF(F879=0,IF(G879&lt;=0.000001,"PASS","FAIL"),IF(H879&lt;=I879,"PASS","FAIL"))</f>
        <v>PASS</v>
      </c>
      <c r="K879" t="inlineStr">
        <is>
          <t xml:space="preserve"/>
        </is>
      </c>
    </row>
    <row r="880">
      <c r="A880" t="inlineStr">
        <is>
          <t xml:space="preserve">VZ</t>
        </is>
      </c>
      <c r="B880" t="inlineStr">
        <is>
          <t xml:space="preserve">Table 5 -- WACC x g two-way grid</t>
        </is>
      </c>
      <c r="C880" t="inlineStr">
        <is>
          <t xml:space="preserve">WACC=5.0000%, g=3.0000%</t>
        </is>
      </c>
      <c r="D880" t="inlineStr">
        <is>
          <t xml:space="preserve">Intrinsic Value per Share</t>
        </is>
      </c>
      <c r="E880" s="7">
        <v>205.89214668283884</v>
      </c>
      <c r="F880" s="7">
        <v>205.89214668283884</v>
      </c>
      <c r="G880" s="12">
        <f>ABS(E880-F880)</f>
        <v>0.0</v>
      </c>
      <c r="H880" s="10">
        <f>IF(F880=0,"n/a (zero denom)",G880/ABS(F880))</f>
        <v>0.0</v>
      </c>
      <c r="I880" s="10">
        <f>'Tolerances'!$B$13</f>
        <v>0.005</v>
      </c>
      <c r="J880" s="15" t="str">
        <f>IF(F880=0,IF(G880&lt;=0.000001,"PASS","FAIL"),IF(H880&lt;=I880,"PASS","FAIL"))</f>
        <v>PASS</v>
      </c>
      <c r="K880" t="inlineStr">
        <is>
          <t xml:space="preserve"/>
        </is>
      </c>
    </row>
    <row r="881">
      <c r="A881" t="inlineStr">
        <is>
          <t xml:space="preserve">VZ</t>
        </is>
      </c>
      <c r="B881" t="inlineStr">
        <is>
          <t xml:space="preserve">Table 5 -- WACC x g two-way grid</t>
        </is>
      </c>
      <c r="C881" t="inlineStr">
        <is>
          <t xml:space="preserve">WACC=5.0000%, g=4.0000%</t>
        </is>
      </c>
      <c r="D881" t="inlineStr">
        <is>
          <t xml:space="preserve">Intrinsic Value per Share</t>
        </is>
      </c>
      <c r="E881" s="7">
        <v>426.64048538048695</v>
      </c>
      <c r="F881" s="7">
        <v>426.64048538048695</v>
      </c>
      <c r="G881" s="12">
        <f>ABS(E881-F881)</f>
        <v>0.0</v>
      </c>
      <c r="H881" s="10">
        <f>IF(F881=0,"n/a (zero denom)",G881/ABS(F881))</f>
        <v>0.0</v>
      </c>
      <c r="I881" s="10">
        <f>'Tolerances'!$B$13</f>
        <v>0.005</v>
      </c>
      <c r="J881" s="15" t="str">
        <f>IF(F881=0,IF(G881&lt;=0.000001,"PASS","FAIL"),IF(H881&lt;=I881,"PASS","FAIL"))</f>
        <v>PASS</v>
      </c>
      <c r="K881" t="inlineStr">
        <is>
          <t xml:space="preserve"/>
        </is>
      </c>
    </row>
    <row r="882">
      <c r="A882" t="inlineStr">
        <is>
          <t xml:space="preserve">VZ</t>
        </is>
      </c>
      <c r="B882" t="inlineStr">
        <is>
          <t xml:space="preserve">Table 5 -- WACC x g two-way grid</t>
        </is>
      </c>
      <c r="C882" t="inlineStr">
        <is>
          <t xml:space="preserve">WACC=5.0000%, g=5.0000%</t>
        </is>
      </c>
      <c r="D882" t="inlineStr">
        <is>
          <t xml:space="preserve">Intrinsic Value per Share</t>
        </is>
      </c>
      <c r="E882" s="4" t="inlineStr">
        <is>
          <t xml:space="preserve">n/a</t>
        </is>
      </c>
      <c r="F882" s="4" t="inlineStr">
        <is>
          <t xml:space="preserve">n/a</t>
        </is>
      </c>
      <c r="G882" s="4" t="inlineStr">
        <is>
          <t xml:space="preserve">n/a</t>
        </is>
      </c>
      <c r="H882" s="4" t="inlineStr">
        <is>
          <t xml:space="preserve">n/a</t>
        </is>
      </c>
      <c r="I882" s="10">
        <f>'Tolerances'!$B$13</f>
        <v>0.005</v>
      </c>
      <c r="J882" s="15" t="inlineStr">
        <is>
          <t xml:space="preserve">PASS</t>
        </is>
      </c>
      <c r="K882" t="inlineStr">
        <is>
          <t xml:space="preserve">Both sides report the invalid-combination marker; exact string equality, not a numeric/tolerance comparison.</t>
        </is>
      </c>
    </row>
    <row r="883">
      <c r="A883" t="inlineStr">
        <is>
          <t xml:space="preserve">VZ</t>
        </is>
      </c>
      <c r="B883" t="inlineStr">
        <is>
          <t xml:space="preserve">Table 5 -- WACC x g two-way grid</t>
        </is>
      </c>
      <c r="C883" t="inlineStr">
        <is>
          <t xml:space="preserve">WACC=8.0000%, g=0.0000%</t>
        </is>
      </c>
      <c r="D883" t="inlineStr">
        <is>
          <t xml:space="preserve">Intrinsic Value per Share</t>
        </is>
      </c>
      <c r="E883" s="7">
        <v>33.21657320895964</v>
      </c>
      <c r="F883" s="7">
        <v>33.21657320895964</v>
      </c>
      <c r="G883" s="12">
        <f>ABS(E883-F883)</f>
        <v>0.0</v>
      </c>
      <c r="H883" s="10">
        <f>IF(F883=0,"n/a (zero denom)",G883/ABS(F883))</f>
        <v>0.0</v>
      </c>
      <c r="I883" s="10">
        <f>'Tolerances'!$B$13</f>
        <v>0.005</v>
      </c>
      <c r="J883" s="15" t="str">
        <f>IF(F883=0,IF(G883&lt;=0.000001,"PASS","FAIL"),IF(H883&lt;=I883,"PASS","FAIL"))</f>
        <v>PASS</v>
      </c>
      <c r="K883" t="inlineStr">
        <is>
          <t xml:space="preserve"/>
        </is>
      </c>
    </row>
    <row r="884">
      <c r="A884" t="inlineStr">
        <is>
          <t xml:space="preserve">VZ</t>
        </is>
      </c>
      <c r="B884" t="inlineStr">
        <is>
          <t xml:space="preserve">Table 5 -- WACC x g two-way grid</t>
        </is>
      </c>
      <c r="C884" t="inlineStr">
        <is>
          <t xml:space="preserve">WACC=8.0000%, g=1.0000%</t>
        </is>
      </c>
      <c r="D884" t="inlineStr">
        <is>
          <t xml:space="preserve">Intrinsic Value per Share</t>
        </is>
      </c>
      <c r="E884" s="7">
        <v>40.26028515090176</v>
      </c>
      <c r="F884" s="7">
        <v>40.26028515090176</v>
      </c>
      <c r="G884" s="12">
        <f>ABS(E884-F884)</f>
        <v>0.0</v>
      </c>
      <c r="H884" s="10">
        <f>IF(F884=0,"n/a (zero denom)",G884/ABS(F884))</f>
        <v>0.0</v>
      </c>
      <c r="I884" s="10">
        <f>'Tolerances'!$B$13</f>
        <v>0.005</v>
      </c>
      <c r="J884" s="15" t="str">
        <f>IF(F884=0,IF(G884&lt;=0.000001,"PASS","FAIL"),IF(H884&lt;=I884,"PASS","FAIL"))</f>
        <v>PASS</v>
      </c>
      <c r="K884" t="inlineStr">
        <is>
          <t xml:space="preserve"/>
        </is>
      </c>
    </row>
    <row r="885">
      <c r="A885" t="inlineStr">
        <is>
          <t xml:space="preserve">VZ</t>
        </is>
      </c>
      <c r="B885" t="inlineStr">
        <is>
          <t xml:space="preserve">Table 5 -- WACC x g two-way grid</t>
        </is>
      </c>
      <c r="C885" t="inlineStr">
        <is>
          <t xml:space="preserve">WACC=8.0000%, g=2.0000%</t>
        </is>
      </c>
      <c r="D885" t="inlineStr">
        <is>
          <t xml:space="preserve">Intrinsic Value per Share</t>
        </is>
      </c>
      <c r="E885" s="7">
        <v>49.65190107349127</v>
      </c>
      <c r="F885" s="7">
        <v>49.65190107349127</v>
      </c>
      <c r="G885" s="12">
        <f>ABS(E885-F885)</f>
        <v>0.0</v>
      </c>
      <c r="H885" s="10">
        <f>IF(F885=0,"n/a (zero denom)",G885/ABS(F885))</f>
        <v>0.0</v>
      </c>
      <c r="I885" s="10">
        <f>'Tolerances'!$B$13</f>
        <v>0.005</v>
      </c>
      <c r="J885" s="15" t="str">
        <f>IF(F885=0,IF(G885&lt;=0.000001,"PASS","FAIL"),IF(H885&lt;=I885,"PASS","FAIL"))</f>
        <v>PASS</v>
      </c>
      <c r="K885" t="inlineStr">
        <is>
          <t xml:space="preserve"/>
        </is>
      </c>
    </row>
    <row r="886">
      <c r="A886" t="inlineStr">
        <is>
          <t xml:space="preserve">VZ</t>
        </is>
      </c>
      <c r="B886" t="inlineStr">
        <is>
          <t xml:space="preserve">Table 5 -- WACC x g two-way grid</t>
        </is>
      </c>
      <c r="C886" t="inlineStr">
        <is>
          <t xml:space="preserve">WACC=8.0000%, g=3.0000%</t>
        </is>
      </c>
      <c r="D886" t="inlineStr">
        <is>
          <t xml:space="preserve">Intrinsic Value per Share</t>
        </is>
      </c>
      <c r="E886" s="7">
        <v>62.800163365116596</v>
      </c>
      <c r="F886" s="7">
        <v>62.800163365116596</v>
      </c>
      <c r="G886" s="12">
        <f>ABS(E886-F886)</f>
        <v>0.0</v>
      </c>
      <c r="H886" s="10">
        <f>IF(F886=0,"n/a (zero denom)",G886/ABS(F886))</f>
        <v>0.0</v>
      </c>
      <c r="I886" s="10">
        <f>'Tolerances'!$B$13</f>
        <v>0.005</v>
      </c>
      <c r="J886" s="15" t="str">
        <f>IF(F886=0,IF(G886&lt;=0.000001,"PASS","FAIL"),IF(H886&lt;=I886,"PASS","FAIL"))</f>
        <v>PASS</v>
      </c>
      <c r="K886" t="inlineStr">
        <is>
          <t xml:space="preserve"/>
        </is>
      </c>
    </row>
    <row r="887">
      <c r="A887" t="inlineStr">
        <is>
          <t xml:space="preserve">VZ</t>
        </is>
      </c>
      <c r="B887" t="inlineStr">
        <is>
          <t xml:space="preserve">Table 5 -- WACC x g two-way grid</t>
        </is>
      </c>
      <c r="C887" t="inlineStr">
        <is>
          <t xml:space="preserve">WACC=8.0000%, g=4.0000%</t>
        </is>
      </c>
      <c r="D887" t="inlineStr">
        <is>
          <t xml:space="preserve">Intrinsic Value per Share</t>
        </is>
      </c>
      <c r="E887" s="7">
        <v>82.52255680255458</v>
      </c>
      <c r="F887" s="7">
        <v>82.52255680255458</v>
      </c>
      <c r="G887" s="12">
        <f>ABS(E887-F887)</f>
        <v>0.0</v>
      </c>
      <c r="H887" s="10">
        <f>IF(F887=0,"n/a (zero denom)",G887/ABS(F887))</f>
        <v>0.0</v>
      </c>
      <c r="I887" s="10">
        <f>'Tolerances'!$B$13</f>
        <v>0.005</v>
      </c>
      <c r="J887" s="15" t="str">
        <f>IF(F887=0,IF(G887&lt;=0.000001,"PASS","FAIL"),IF(H887&lt;=I887,"PASS","FAIL"))</f>
        <v>PASS</v>
      </c>
      <c r="K887" t="inlineStr">
        <is>
          <t xml:space="preserve"/>
        </is>
      </c>
    </row>
    <row r="888">
      <c r="A888" t="inlineStr">
        <is>
          <t xml:space="preserve">VZ</t>
        </is>
      </c>
      <c r="B888" t="inlineStr">
        <is>
          <t xml:space="preserve">Table 5 -- WACC x g two-way grid</t>
        </is>
      </c>
      <c r="C888" t="inlineStr">
        <is>
          <t xml:space="preserve">WACC=8.0000%, g=5.0000%</t>
        </is>
      </c>
      <c r="D888" t="inlineStr">
        <is>
          <t xml:space="preserve">Intrinsic Value per Share</t>
        </is>
      </c>
      <c r="E888" s="7">
        <v>115.3932125316179</v>
      </c>
      <c r="F888" s="7">
        <v>115.3932125316179</v>
      </c>
      <c r="G888" s="12">
        <f>ABS(E888-F888)</f>
        <v>0.0</v>
      </c>
      <c r="H888" s="10">
        <f>IF(F888=0,"n/a (zero denom)",G888/ABS(F888))</f>
        <v>0.0</v>
      </c>
      <c r="I888" s="10">
        <f>'Tolerances'!$B$13</f>
        <v>0.005</v>
      </c>
      <c r="J888" s="15" t="str">
        <f>IF(F888=0,IF(G888&lt;=0.000001,"PASS","FAIL"),IF(H888&lt;=I888,"PASS","FAIL"))</f>
        <v>PASS</v>
      </c>
      <c r="K888" t="inlineStr">
        <is>
          <t xml:space="preserve"/>
        </is>
      </c>
    </row>
    <row r="889">
      <c r="A889" t="inlineStr">
        <is>
          <t xml:space="preserve">VZ</t>
        </is>
      </c>
      <c r="B889" t="inlineStr">
        <is>
          <t xml:space="preserve">Table 5 -- WACC x g two-way grid</t>
        </is>
      </c>
      <c r="C889" t="inlineStr">
        <is>
          <t xml:space="preserve">WACC=11.0000%, g=0.0000%</t>
        </is>
      </c>
      <c r="D889" t="inlineStr">
        <is>
          <t xml:space="preserve">Intrinsic Value per Share</t>
        </is>
      </c>
      <c r="E889" s="7">
        <v>14.941579715893416</v>
      </c>
      <c r="F889" s="7">
        <v>14.941579715893416</v>
      </c>
      <c r="G889" s="12">
        <f>ABS(E889-F889)</f>
        <v>0.0</v>
      </c>
      <c r="H889" s="10">
        <f>IF(F889=0,"n/a (zero denom)",G889/ABS(F889))</f>
        <v>0.0</v>
      </c>
      <c r="I889" s="10">
        <f>'Tolerances'!$B$13</f>
        <v>0.005</v>
      </c>
      <c r="J889" s="15" t="str">
        <f>IF(F889=0,IF(G889&lt;=0.000001,"PASS","FAIL"),IF(H889&lt;=I889,"PASS","FAIL"))</f>
        <v>PASS</v>
      </c>
      <c r="K889" t="inlineStr">
        <is>
          <t xml:space="preserve"/>
        </is>
      </c>
    </row>
    <row r="890">
      <c r="A890" t="inlineStr">
        <is>
          <t xml:space="preserve">VZ</t>
        </is>
      </c>
      <c r="B890" t="inlineStr">
        <is>
          <t xml:space="preserve">Table 5 -- WACC x g two-way grid</t>
        </is>
      </c>
      <c r="C890" t="inlineStr">
        <is>
          <t xml:space="preserve">WACC=11.0000%, g=1.0000%</t>
        </is>
      </c>
      <c r="D890" t="inlineStr">
        <is>
          <t xml:space="preserve">Intrinsic Value per Share</t>
        </is>
      </c>
      <c r="E890" s="7">
        <v>18.155240517210608</v>
      </c>
      <c r="F890" s="7">
        <v>18.155240517210608</v>
      </c>
      <c r="G890" s="12">
        <f>ABS(E890-F890)</f>
        <v>0.0</v>
      </c>
      <c r="H890" s="10">
        <f>IF(F890=0,"n/a (zero denom)",G890/ABS(F890))</f>
        <v>0.0</v>
      </c>
      <c r="I890" s="10">
        <f>'Tolerances'!$B$13</f>
        <v>0.005</v>
      </c>
      <c r="J890" s="15" t="str">
        <f>IF(F890=0,IF(G890&lt;=0.000001,"PASS","FAIL"),IF(H890&lt;=I890,"PASS","FAIL"))</f>
        <v>PASS</v>
      </c>
      <c r="K890" t="inlineStr">
        <is>
          <t xml:space="preserve"/>
        </is>
      </c>
    </row>
    <row r="891">
      <c r="A891" t="inlineStr">
        <is>
          <t xml:space="preserve">VZ</t>
        </is>
      </c>
      <c r="B891" t="inlineStr">
        <is>
          <t xml:space="preserve">Table 5 -- WACC x g two-way grid</t>
        </is>
      </c>
      <c r="C891" t="inlineStr">
        <is>
          <t xml:space="preserve">WACC=11.0000%, g=2.0000%</t>
        </is>
      </c>
      <c r="D891" t="inlineStr">
        <is>
          <t xml:space="preserve">Intrinsic Value per Share</t>
        </is>
      </c>
      <c r="E891" s="7">
        <v>22.08304816326495</v>
      </c>
      <c r="F891" s="7">
        <v>22.08304816326495</v>
      </c>
      <c r="G891" s="12">
        <f>ABS(E891-F891)</f>
        <v>0.0</v>
      </c>
      <c r="H891" s="10">
        <f>IF(F891=0,"n/a (zero denom)",G891/ABS(F891))</f>
        <v>0.0</v>
      </c>
      <c r="I891" s="10">
        <f>'Tolerances'!$B$13</f>
        <v>0.005</v>
      </c>
      <c r="J891" s="15" t="str">
        <f>IF(F891=0,IF(G891&lt;=0.000001,"PASS","FAIL"),IF(H891&lt;=I891,"PASS","FAIL"))</f>
        <v>PASS</v>
      </c>
      <c r="K891" t="inlineStr">
        <is>
          <t xml:space="preserve"/>
        </is>
      </c>
    </row>
    <row r="892">
      <c r="A892" t="inlineStr">
        <is>
          <t xml:space="preserve">VZ</t>
        </is>
      </c>
      <c r="B892" t="inlineStr">
        <is>
          <t xml:space="preserve">Table 5 -- WACC x g two-way grid</t>
        </is>
      </c>
      <c r="C892" t="inlineStr">
        <is>
          <t xml:space="preserve">WACC=11.0000%, g=3.0000%</t>
        </is>
      </c>
      <c r="D892" t="inlineStr">
        <is>
          <t xml:space="preserve">Intrinsic Value per Share</t>
        </is>
      </c>
      <c r="E892" s="7">
        <v>26.992807720832875</v>
      </c>
      <c r="F892" s="7">
        <v>26.992807720832875</v>
      </c>
      <c r="G892" s="12">
        <f>ABS(E892-F892)</f>
        <v>0.0</v>
      </c>
      <c r="H892" s="10">
        <f>IF(F892=0,"n/a (zero denom)",G892/ABS(F892))</f>
        <v>0.0</v>
      </c>
      <c r="I892" s="10">
        <f>'Tolerances'!$B$13</f>
        <v>0.005</v>
      </c>
      <c r="J892" s="15" t="str">
        <f>IF(F892=0,IF(G892&lt;=0.000001,"PASS","FAIL"),IF(H892&lt;=I892,"PASS","FAIL"))</f>
        <v>PASS</v>
      </c>
      <c r="K892" t="inlineStr">
        <is>
          <t xml:space="preserve"/>
        </is>
      </c>
    </row>
    <row r="893">
      <c r="A893" t="inlineStr">
        <is>
          <t xml:space="preserve">VZ</t>
        </is>
      </c>
      <c r="B893" t="inlineStr">
        <is>
          <t xml:space="preserve">Table 5 -- WACC x g two-way grid</t>
        </is>
      </c>
      <c r="C893" t="inlineStr">
        <is>
          <t xml:space="preserve">WACC=11.0000%, g=4.0000%</t>
        </is>
      </c>
      <c r="D893" t="inlineStr">
        <is>
          <t xml:space="preserve">Intrinsic Value per Share</t>
        </is>
      </c>
      <c r="E893" s="7">
        <v>33.3053557234202</v>
      </c>
      <c r="F893" s="7">
        <v>33.3053557234202</v>
      </c>
      <c r="G893" s="12">
        <f>ABS(E893-F893)</f>
        <v>0.0</v>
      </c>
      <c r="H893" s="10">
        <f>IF(F893=0,"n/a (zero denom)",G893/ABS(F893))</f>
        <v>0.0</v>
      </c>
      <c r="I893" s="10">
        <f>'Tolerances'!$B$13</f>
        <v>0.005</v>
      </c>
      <c r="J893" s="15" t="str">
        <f>IF(F893=0,IF(G893&lt;=0.000001,"PASS","FAIL"),IF(H893&lt;=I893,"PASS","FAIL"))</f>
        <v>PASS</v>
      </c>
      <c r="K893" t="inlineStr">
        <is>
          <t xml:space="preserve"/>
        </is>
      </c>
    </row>
    <row r="894">
      <c r="A894" t="inlineStr">
        <is>
          <t xml:space="preserve">VZ</t>
        </is>
      </c>
      <c r="B894" t="inlineStr">
        <is>
          <t xml:space="preserve">Table 5 -- WACC x g two-way grid</t>
        </is>
      </c>
      <c r="C894" t="inlineStr">
        <is>
          <t xml:space="preserve">WACC=11.0000%, g=5.0000%</t>
        </is>
      </c>
      <c r="D894" t="inlineStr">
        <is>
          <t xml:space="preserve">Intrinsic Value per Share</t>
        </is>
      </c>
      <c r="E894" s="7">
        <v>41.722086393536664</v>
      </c>
      <c r="F894" s="7">
        <v>41.722086393536664</v>
      </c>
      <c r="G894" s="12">
        <f>ABS(E894-F894)</f>
        <v>0.0</v>
      </c>
      <c r="H894" s="10">
        <f>IF(F894=0,"n/a (zero denom)",G894/ABS(F894))</f>
        <v>0.0</v>
      </c>
      <c r="I894" s="10">
        <f>'Tolerances'!$B$13</f>
        <v>0.005</v>
      </c>
      <c r="J894" s="15" t="str">
        <f>IF(F894=0,IF(G894&lt;=0.000001,"PASS","FAIL"),IF(H894&lt;=I894,"PASS","FAIL"))</f>
        <v>PASS</v>
      </c>
      <c r="K894" t="inlineStr">
        <is>
          <t xml:space="preserve"/>
        </is>
      </c>
    </row>
    <row r="895">
      <c r="A895" t="inlineStr">
        <is>
          <t xml:space="preserve">VZ</t>
        </is>
      </c>
      <c r="B895" t="inlineStr">
        <is>
          <t xml:space="preserve">Table 5 -- WACC x g two-way grid</t>
        </is>
      </c>
      <c r="C895" t="inlineStr">
        <is>
          <t xml:space="preserve">WACC=14.0000%, g=0.0000%</t>
        </is>
      </c>
      <c r="D895" t="inlineStr">
        <is>
          <t xml:space="preserve">Intrinsic Value per Share</t>
        </is>
      </c>
      <c r="E895" s="7">
        <v>4.505413670583351</v>
      </c>
      <c r="F895" s="7">
        <v>4.505413670583351</v>
      </c>
      <c r="G895" s="12">
        <f>ABS(E895-F895)</f>
        <v>0.0</v>
      </c>
      <c r="H895" s="10">
        <f>IF(F895=0,"n/a (zero denom)",G895/ABS(F895))</f>
        <v>0.0</v>
      </c>
      <c r="I895" s="10">
        <f>'Tolerances'!$B$13</f>
        <v>0.005</v>
      </c>
      <c r="J895" s="15" t="str">
        <f>IF(F895=0,IF(G895&lt;=0.000001,"PASS","FAIL"),IF(H895&lt;=I895,"PASS","FAIL"))</f>
        <v>PASS</v>
      </c>
      <c r="K895" t="inlineStr">
        <is>
          <t xml:space="preserve"/>
        </is>
      </c>
    </row>
    <row r="896">
      <c r="A896" t="inlineStr">
        <is>
          <t xml:space="preserve">VZ</t>
        </is>
      </c>
      <c r="B896" t="inlineStr">
        <is>
          <t xml:space="preserve">Table 5 -- WACC x g two-way grid</t>
        </is>
      </c>
      <c r="C896" t="inlineStr">
        <is>
          <t xml:space="preserve">WACC=14.0000%, g=1.0000%</t>
        </is>
      </c>
      <c r="D896" t="inlineStr">
        <is>
          <t xml:space="preserve">Intrinsic Value per Share</t>
        </is>
      </c>
      <c r="E896" s="7">
        <v>6.251211071007787</v>
      </c>
      <c r="F896" s="7">
        <v>6.251211071007787</v>
      </c>
      <c r="G896" s="12">
        <f>ABS(E896-F896)</f>
        <v>0.0</v>
      </c>
      <c r="H896" s="10">
        <f>IF(F896=0,"n/a (zero denom)",G896/ABS(F896))</f>
        <v>0.0</v>
      </c>
      <c r="I896" s="10">
        <f>'Tolerances'!$B$13</f>
        <v>0.005</v>
      </c>
      <c r="J896" s="15" t="str">
        <f>IF(F896=0,IF(G896&lt;=0.000001,"PASS","FAIL"),IF(H896&lt;=I896,"PASS","FAIL"))</f>
        <v>PASS</v>
      </c>
      <c r="K896" t="inlineStr">
        <is>
          <t xml:space="preserve"/>
        </is>
      </c>
    </row>
    <row r="897">
      <c r="A897" t="inlineStr">
        <is>
          <t xml:space="preserve">VZ</t>
        </is>
      </c>
      <c r="B897" t="inlineStr">
        <is>
          <t xml:space="preserve">Table 5 -- WACC x g two-way grid</t>
        </is>
      </c>
      <c r="C897" t="inlineStr">
        <is>
          <t xml:space="preserve">WACC=14.0000%, g=2.0000%</t>
        </is>
      </c>
      <c r="D897" t="inlineStr">
        <is>
          <t xml:space="preserve">Intrinsic Value per Share</t>
        </is>
      </c>
      <c r="E897" s="7">
        <v>8.287974704836305</v>
      </c>
      <c r="F897" s="7">
        <v>8.287974704836305</v>
      </c>
      <c r="G897" s="12">
        <f>ABS(E897-F897)</f>
        <v>0.0</v>
      </c>
      <c r="H897" s="10">
        <f>IF(F897=0,"n/a (zero denom)",G897/ABS(F897))</f>
        <v>0.0</v>
      </c>
      <c r="I897" s="10">
        <f>'Tolerances'!$B$13</f>
        <v>0.005</v>
      </c>
      <c r="J897" s="15" t="str">
        <f>IF(F897=0,IF(G897&lt;=0.000001,"PASS","FAIL"),IF(H897&lt;=I897,"PASS","FAIL"))</f>
        <v>PASS</v>
      </c>
      <c r="K897" t="inlineStr">
        <is>
          <t xml:space="preserve"/>
        </is>
      </c>
    </row>
    <row r="898">
      <c r="A898" t="inlineStr">
        <is>
          <t xml:space="preserve">VZ</t>
        </is>
      </c>
      <c r="B898" t="inlineStr">
        <is>
          <t xml:space="preserve">Table 5 -- WACC x g two-way grid</t>
        </is>
      </c>
      <c r="C898" t="inlineStr">
        <is>
          <t xml:space="preserve">WACC=14.0000%, g=3.0000%</t>
        </is>
      </c>
      <c r="D898" t="inlineStr">
        <is>
          <t xml:space="preserve">Intrinsic Value per Share</t>
        </is>
      </c>
      <c r="E898" s="7">
        <v>10.695058999360905</v>
      </c>
      <c r="F898" s="7">
        <v>10.695058999360905</v>
      </c>
      <c r="G898" s="12">
        <f>ABS(E898-F898)</f>
        <v>0.0</v>
      </c>
      <c r="H898" s="10">
        <f>IF(F898=0,"n/a (zero denom)",G898/ABS(F898))</f>
        <v>0.0</v>
      </c>
      <c r="I898" s="10">
        <f>'Tolerances'!$B$13</f>
        <v>0.005</v>
      </c>
      <c r="J898" s="15" t="str">
        <f>IF(F898=0,IF(G898&lt;=0.000001,"PASS","FAIL"),IF(H898&lt;=I898,"PASS","FAIL"))</f>
        <v>PASS</v>
      </c>
      <c r="K898" t="inlineStr">
        <is>
          <t xml:space="preserve"/>
        </is>
      </c>
    </row>
    <row r="899">
      <c r="A899" t="inlineStr">
        <is>
          <t xml:space="preserve">VZ</t>
        </is>
      </c>
      <c r="B899" t="inlineStr">
        <is>
          <t xml:space="preserve">Table 5 -- WACC x g two-way grid</t>
        </is>
      </c>
      <c r="C899" t="inlineStr">
        <is>
          <t xml:space="preserve">WACC=14.0000%, g=4.0000%</t>
        </is>
      </c>
      <c r="D899" t="inlineStr">
        <is>
          <t xml:space="preserve">Intrinsic Value per Share</t>
        </is>
      </c>
      <c r="E899" s="7">
        <v>13.583560152790426</v>
      </c>
      <c r="F899" s="7">
        <v>13.583560152790426</v>
      </c>
      <c r="G899" s="12">
        <f>ABS(E899-F899)</f>
        <v>0.0</v>
      </c>
      <c r="H899" s="10">
        <f>IF(F899=0,"n/a (zero denom)",G899/ABS(F899))</f>
        <v>0.0</v>
      </c>
      <c r="I899" s="10">
        <f>'Tolerances'!$B$13</f>
        <v>0.005</v>
      </c>
      <c r="J899" s="15" t="str">
        <f>IF(F899=0,IF(G899&lt;=0.000001,"PASS","FAIL"),IF(H899&lt;=I899,"PASS","FAIL"))</f>
        <v>PASS</v>
      </c>
      <c r="K899" t="inlineStr">
        <is>
          <t xml:space="preserve"/>
        </is>
      </c>
    </row>
    <row r="900">
      <c r="A900" t="inlineStr">
        <is>
          <t xml:space="preserve">VZ</t>
        </is>
      </c>
      <c r="B900" t="inlineStr">
        <is>
          <t xml:space="preserve">Table 5 -- WACC x g two-way grid</t>
        </is>
      </c>
      <c r="C900" t="inlineStr">
        <is>
          <t xml:space="preserve">WACC=14.0000%, g=5.0000%</t>
        </is>
      </c>
      <c r="D900" t="inlineStr">
        <is>
          <t xml:space="preserve">Intrinsic Value per Share</t>
        </is>
      </c>
      <c r="E900" s="7">
        <v>17.113950451426508</v>
      </c>
      <c r="F900" s="7">
        <v>17.113950451426508</v>
      </c>
      <c r="G900" s="12">
        <f>ABS(E900-F900)</f>
        <v>0.0</v>
      </c>
      <c r="H900" s="10">
        <f>IF(F900=0,"n/a (zero denom)",G900/ABS(F900))</f>
        <v>0.0</v>
      </c>
      <c r="I900" s="10">
        <f>'Tolerances'!$B$13</f>
        <v>0.005</v>
      </c>
      <c r="J900" s="15" t="str">
        <f>IF(F900=0,IF(G900&lt;=0.000001,"PASS","FAIL"),IF(H900&lt;=I900,"PASS","FAIL"))</f>
        <v>PASS</v>
      </c>
      <c r="K900" t="inlineStr">
        <is>
          <t xml:space="preserve"/>
        </is>
      </c>
    </row>
    <row r="901">
      <c r="A901" t="inlineStr">
        <is>
          <t xml:space="preserve">VZ</t>
        </is>
      </c>
      <c r="B901" t="inlineStr">
        <is>
          <t xml:space="preserve">Table 5 -- WACC x g two-way grid</t>
        </is>
      </c>
      <c r="C901" t="inlineStr">
        <is>
          <t xml:space="preserve">WACC=17.0000%, g=0.0000%</t>
        </is>
      </c>
      <c r="D901" t="inlineStr">
        <is>
          <t xml:space="preserve">Intrinsic Value per Share</t>
        </is>
      </c>
      <c r="E901" s="7">
        <v>-2.2426009805615044</v>
      </c>
      <c r="F901" s="7">
        <v>-2.2426009805615044</v>
      </c>
      <c r="G901" s="12">
        <f>ABS(E901-F901)</f>
        <v>0.0</v>
      </c>
      <c r="H901" s="10">
        <f>IF(F901=0,"n/a (zero denom)",G901/ABS(F901))</f>
        <v>0.0</v>
      </c>
      <c r="I901" s="10">
        <f>'Tolerances'!$B$13</f>
        <v>0.005</v>
      </c>
      <c r="J901" s="15" t="str">
        <f>IF(F901=0,IF(G901&lt;=0.000001,"PASS","FAIL"),IF(H901&lt;=I901,"PASS","FAIL"))</f>
        <v>PASS</v>
      </c>
      <c r="K901" t="inlineStr">
        <is>
          <t xml:space="preserve"/>
        </is>
      </c>
    </row>
    <row r="902">
      <c r="A902" t="inlineStr">
        <is>
          <t xml:space="preserve">VZ</t>
        </is>
      </c>
      <c r="B902" t="inlineStr">
        <is>
          <t xml:space="preserve">Table 5 -- WACC x g two-way grid</t>
        </is>
      </c>
      <c r="C902" t="inlineStr">
        <is>
          <t xml:space="preserve">WACC=17.0000%, g=1.0000%</t>
        </is>
      </c>
      <c r="D902" t="inlineStr">
        <is>
          <t xml:space="preserve">Intrinsic Value per Share</t>
        </is>
      </c>
      <c r="E902" s="7">
        <v>-1.1897369601091092</v>
      </c>
      <c r="F902" s="7">
        <v>-1.1897369601091092</v>
      </c>
      <c r="G902" s="12">
        <f>ABS(E902-F902)</f>
        <v>0.0</v>
      </c>
      <c r="H902" s="10">
        <f>IF(F902=0,"n/a (zero denom)",G902/ABS(F902))</f>
        <v>0.0</v>
      </c>
      <c r="I902" s="10">
        <f>'Tolerances'!$B$13</f>
        <v>0.005</v>
      </c>
      <c r="J902" s="15" t="str">
        <f>IF(F902=0,IF(G902&lt;=0.000001,"PASS","FAIL"),IF(H902&lt;=I902,"PASS","FAIL"))</f>
        <v>PASS</v>
      </c>
      <c r="K902" t="inlineStr">
        <is>
          <t xml:space="preserve"/>
        </is>
      </c>
    </row>
    <row r="903">
      <c r="A903" t="inlineStr">
        <is>
          <t xml:space="preserve">VZ</t>
        </is>
      </c>
      <c r="B903" t="inlineStr">
        <is>
          <t xml:space="preserve">Table 5 -- WACC x g two-way grid</t>
        </is>
      </c>
      <c r="C903" t="inlineStr">
        <is>
          <t xml:space="preserve">WACC=17.0000%, g=2.0000%</t>
        </is>
      </c>
      <c r="D903" t="inlineStr">
        <is>
          <t xml:space="preserve">Intrinsic Value per Share</t>
        </is>
      </c>
      <c r="E903" s="7">
        <v>0.0035089297369309946</v>
      </c>
      <c r="F903" s="7">
        <v>0.0035089297369309946</v>
      </c>
      <c r="G903" s="12">
        <f>ABS(E903-F903)</f>
        <v>0.0</v>
      </c>
      <c r="H903" s="10">
        <f>IF(F903=0,"n/a (zero denom)",G903/ABS(F903))</f>
        <v>0.0</v>
      </c>
      <c r="I903" s="10">
        <f>'Tolerances'!$B$13</f>
        <v>0.005</v>
      </c>
      <c r="J903" s="15" t="str">
        <f>IF(F903=0,IF(G903&lt;=0.000001,"PASS","FAIL"),IF(H903&lt;=I903,"PASS","FAIL"))</f>
        <v>PASS</v>
      </c>
      <c r="K903" t="inlineStr">
        <is>
          <t xml:space="preserve"/>
        </is>
      </c>
    </row>
    <row r="904">
      <c r="A904" t="inlineStr">
        <is>
          <t xml:space="preserve">VZ</t>
        </is>
      </c>
      <c r="B904" t="inlineStr">
        <is>
          <t xml:space="preserve">Table 5 -- WACC x g two-way grid</t>
        </is>
      </c>
      <c r="C904" t="inlineStr">
        <is>
          <t xml:space="preserve">WACC=17.0000%, g=3.0000%</t>
        </is>
      </c>
      <c r="D904" t="inlineStr">
        <is>
          <t xml:space="preserve">Intrinsic Value per Share</t>
        </is>
      </c>
      <c r="E904" s="7">
        <v>1.367218518132415</v>
      </c>
      <c r="F904" s="7">
        <v>1.367218518132415</v>
      </c>
      <c r="G904" s="12">
        <f>ABS(E904-F904)</f>
        <v>0.0</v>
      </c>
      <c r="H904" s="10">
        <f>IF(F904=0,"n/a (zero denom)",G904/ABS(F904))</f>
        <v>0.0</v>
      </c>
      <c r="I904" s="10">
        <f>'Tolerances'!$B$13</f>
        <v>0.005</v>
      </c>
      <c r="J904" s="15" t="str">
        <f>IF(F904=0,IF(G904&lt;=0.000001,"PASS","FAIL"),IF(H904&lt;=I904,"PASS","FAIL"))</f>
        <v>PASS</v>
      </c>
      <c r="K904" t="inlineStr">
        <is>
          <t xml:space="preserve"/>
        </is>
      </c>
    </row>
    <row r="905">
      <c r="A905" t="inlineStr">
        <is>
          <t xml:space="preserve">VZ</t>
        </is>
      </c>
      <c r="B905" t="inlineStr">
        <is>
          <t xml:space="preserve">Table 5 -- WACC x g two-way grid</t>
        </is>
      </c>
      <c r="C905" t="inlineStr">
        <is>
          <t xml:space="preserve">WACC=17.0000%, g=4.0000%</t>
        </is>
      </c>
      <c r="D905" t="inlineStr">
        <is>
          <t xml:space="preserve">Intrinsic Value per Share</t>
        </is>
      </c>
      <c r="E905" s="7">
        <v>2.940729581665661</v>
      </c>
      <c r="F905" s="7">
        <v>2.940729581665661</v>
      </c>
      <c r="G905" s="12">
        <f>ABS(E905-F905)</f>
        <v>0.0</v>
      </c>
      <c r="H905" s="10">
        <f>IF(F905=0,"n/a (zero denom)",G905/ABS(F905))</f>
        <v>0.0</v>
      </c>
      <c r="I905" s="10">
        <f>'Tolerances'!$B$13</f>
        <v>0.005</v>
      </c>
      <c r="J905" s="15" t="str">
        <f>IF(F905=0,IF(G905&lt;=0.000001,"PASS","FAIL"),IF(H905&lt;=I905,"PASS","FAIL"))</f>
        <v>PASS</v>
      </c>
      <c r="K905" t="inlineStr">
        <is>
          <t xml:space="preserve"/>
        </is>
      </c>
    </row>
    <row r="906">
      <c r="A906" t="inlineStr">
        <is>
          <t xml:space="preserve">VZ</t>
        </is>
      </c>
      <c r="B906" t="inlineStr">
        <is>
          <t xml:space="preserve">Table 5 -- WACC x g two-way grid</t>
        </is>
      </c>
      <c r="C906" t="inlineStr">
        <is>
          <t xml:space="preserve">WACC=17.0000%, g=5.0000%</t>
        </is>
      </c>
      <c r="D906" t="inlineStr">
        <is>
          <t xml:space="preserve">Intrinsic Value per Share</t>
        </is>
      </c>
      <c r="E906" s="7">
        <v>4.776492489121107</v>
      </c>
      <c r="F906" s="7">
        <v>4.776492489121107</v>
      </c>
      <c r="G906" s="12">
        <f>ABS(E906-F906)</f>
        <v>0.0</v>
      </c>
      <c r="H906" s="10">
        <f>IF(F906=0,"n/a (zero denom)",G906/ABS(F906))</f>
        <v>0.0</v>
      </c>
      <c r="I906" s="10">
        <f>'Tolerances'!$B$13</f>
        <v>0.005</v>
      </c>
      <c r="J906" s="15" t="str">
        <f>IF(F906=0,IF(G906&lt;=0.000001,"PASS","FAIL"),IF(H906&lt;=I906,"PASS","FAIL"))</f>
        <v>PASS</v>
      </c>
      <c r="K906" t="inlineStr">
        <is>
          <t xml:space="preserve"/>
        </is>
      </c>
    </row>
    <row r="907">
      <c r="A907" t="inlineStr">
        <is>
          <t xml:space="preserve">VZ</t>
        </is>
      </c>
      <c r="B907" t="inlineStr">
        <is>
          <t xml:space="preserve">Table 5 -- WACC x g two-way grid</t>
        </is>
      </c>
      <c r="C907" t="inlineStr">
        <is>
          <t xml:space="preserve">WACC=20.0000%, g=0.0000%</t>
        </is>
      </c>
      <c r="D907" t="inlineStr">
        <is>
          <t xml:space="preserve">Intrinsic Value per Share</t>
        </is>
      </c>
      <c r="E907" s="7">
        <v>-6.962642290486731</v>
      </c>
      <c r="F907" s="7">
        <v>-6.962642290486731</v>
      </c>
      <c r="G907" s="12">
        <f>ABS(E907-F907)</f>
        <v>0.0</v>
      </c>
      <c r="H907" s="10">
        <f>IF(F907=0,"n/a (zero denom)",G907/ABS(F907))</f>
        <v>0.0</v>
      </c>
      <c r="I907" s="10">
        <f>'Tolerances'!$B$13</f>
        <v>0.005</v>
      </c>
      <c r="J907" s="15" t="str">
        <f>IF(F907=0,IF(G907&lt;=0.000001,"PASS","FAIL"),IF(H907&lt;=I907,"PASS","FAIL"))</f>
        <v>PASS</v>
      </c>
      <c r="K907" t="inlineStr">
        <is>
          <t xml:space="preserve"/>
        </is>
      </c>
    </row>
    <row r="908">
      <c r="A908" t="inlineStr">
        <is>
          <t xml:space="preserve">VZ</t>
        </is>
      </c>
      <c r="B908" t="inlineStr">
        <is>
          <t xml:space="preserve">Table 5 -- WACC x g two-way grid</t>
        </is>
      </c>
      <c r="C908" t="inlineStr">
        <is>
          <t xml:space="preserve">WACC=20.0000%, g=1.0000%</t>
        </is>
      </c>
      <c r="D908" t="inlineStr">
        <is>
          <t xml:space="preserve">Intrinsic Value per Share</t>
        </is>
      </c>
      <c r="E908" s="7">
        <v>-6.281596904470778</v>
      </c>
      <c r="F908" s="7">
        <v>-6.281596904470778</v>
      </c>
      <c r="G908" s="12">
        <f>ABS(E908-F908)</f>
        <v>0.0</v>
      </c>
      <c r="H908" s="10">
        <f>IF(F908=0,"n/a (zero denom)",G908/ABS(F908))</f>
        <v>0.0</v>
      </c>
      <c r="I908" s="10">
        <f>'Tolerances'!$B$13</f>
        <v>0.005</v>
      </c>
      <c r="J908" s="15" t="str">
        <f>IF(F908=0,IF(G908&lt;=0.000001,"PASS","FAIL"),IF(H908&lt;=I908,"PASS","FAIL"))</f>
        <v>PASS</v>
      </c>
      <c r="K908" t="inlineStr">
        <is>
          <t xml:space="preserve"/>
        </is>
      </c>
    </row>
    <row r="909">
      <c r="A909" t="inlineStr">
        <is>
          <t xml:space="preserve">VZ</t>
        </is>
      </c>
      <c r="B909" t="inlineStr">
        <is>
          <t xml:space="preserve">Table 5 -- WACC x g two-way grid</t>
        </is>
      </c>
      <c r="C909" t="inlineStr">
        <is>
          <t xml:space="preserve">WACC=20.0000%, g=2.0000%</t>
        </is>
      </c>
      <c r="D909" t="inlineStr">
        <is>
          <t xml:space="preserve">Intrinsic Value per Share</t>
        </is>
      </c>
      <c r="E909" s="7">
        <v>-5.524879808897502</v>
      </c>
      <c r="F909" s="7">
        <v>-5.524879808897502</v>
      </c>
      <c r="G909" s="12">
        <f>ABS(E909-F909)</f>
        <v>0.0</v>
      </c>
      <c r="H909" s="10">
        <f>IF(F909=0,"n/a (zero denom)",G909/ABS(F909))</f>
        <v>0.0</v>
      </c>
      <c r="I909" s="10">
        <f>'Tolerances'!$B$13</f>
        <v>0.005</v>
      </c>
      <c r="J909" s="15" t="str">
        <f>IF(F909=0,IF(G909&lt;=0.000001,"PASS","FAIL"),IF(H909&lt;=I909,"PASS","FAIL"))</f>
        <v>PASS</v>
      </c>
      <c r="K909" t="inlineStr">
        <is>
          <t xml:space="preserve"/>
        </is>
      </c>
    </row>
    <row r="910">
      <c r="A910" t="inlineStr">
        <is>
          <t xml:space="preserve">VZ</t>
        </is>
      </c>
      <c r="B910" t="inlineStr">
        <is>
          <t xml:space="preserve">Table 5 -- WACC x g two-way grid</t>
        </is>
      </c>
      <c r="C910" t="inlineStr">
        <is>
          <t xml:space="preserve">WACC=20.0000%, g=3.0000%</t>
        </is>
      </c>
      <c r="D910" t="inlineStr">
        <is>
          <t xml:space="preserve">Intrinsic Value per Share</t>
        </is>
      </c>
      <c r="E910" s="7">
        <v>-4.679137172668544</v>
      </c>
      <c r="F910" s="7">
        <v>-4.679137172668544</v>
      </c>
      <c r="G910" s="12">
        <f>ABS(E910-F910)</f>
        <v>0.0</v>
      </c>
      <c r="H910" s="10">
        <f>IF(F910=0,"n/a (zero denom)",G910/ABS(F910))</f>
        <v>0.0</v>
      </c>
      <c r="I910" s="10">
        <f>'Tolerances'!$B$13</f>
        <v>0.005</v>
      </c>
      <c r="J910" s="15" t="str">
        <f>IF(F910=0,IF(G910&lt;=0.000001,"PASS","FAIL"),IF(H910&lt;=I910,"PASS","FAIL"))</f>
        <v>PASS</v>
      </c>
      <c r="K910" t="inlineStr">
        <is>
          <t xml:space="preserve"/>
        </is>
      </c>
    </row>
    <row r="911">
      <c r="A911" t="inlineStr">
        <is>
          <t xml:space="preserve">VZ</t>
        </is>
      </c>
      <c r="B911" t="inlineStr">
        <is>
          <t xml:space="preserve">Table 5 -- WACC x g two-way grid</t>
        </is>
      </c>
      <c r="C911" t="inlineStr">
        <is>
          <t xml:space="preserve">WACC=20.0000%, g=4.0000%</t>
        </is>
      </c>
      <c r="D911" t="inlineStr">
        <is>
          <t xml:space="preserve">Intrinsic Value per Share</t>
        </is>
      </c>
      <c r="E911" s="7">
        <v>-3.727676706910969</v>
      </c>
      <c r="F911" s="7">
        <v>-3.727676706910969</v>
      </c>
      <c r="G911" s="12">
        <f>ABS(E911-F911)</f>
        <v>0.0</v>
      </c>
      <c r="H911" s="10">
        <f>IF(F911=0,"n/a (zero denom)",G911/ABS(F911))</f>
        <v>0.0</v>
      </c>
      <c r="I911" s="10">
        <f>'Tolerances'!$B$13</f>
        <v>0.005</v>
      </c>
      <c r="J911" s="15" t="str">
        <f>IF(F911=0,IF(G911&lt;=0.000001,"PASS","FAIL"),IF(H911&lt;=I911,"PASS","FAIL"))</f>
        <v>PASS</v>
      </c>
      <c r="K911" t="inlineStr">
        <is>
          <t xml:space="preserve"/>
        </is>
      </c>
    </row>
    <row r="912">
      <c r="A912" t="inlineStr">
        <is>
          <t xml:space="preserve">VZ</t>
        </is>
      </c>
      <c r="B912" t="inlineStr">
        <is>
          <t xml:space="preserve">Table 5 -- WACC x g two-way grid</t>
        </is>
      </c>
      <c r="C912" t="inlineStr">
        <is>
          <t xml:space="preserve">WACC=20.0000%, g=5.0000%</t>
        </is>
      </c>
      <c r="D912" t="inlineStr">
        <is>
          <t xml:space="preserve">Intrinsic Value per Share</t>
        </is>
      </c>
      <c r="E912" s="7">
        <v>-2.649354845719045</v>
      </c>
      <c r="F912" s="7">
        <v>-2.649354845719045</v>
      </c>
      <c r="G912" s="12">
        <f>ABS(E912-F912)</f>
        <v>0.0</v>
      </c>
      <c r="H912" s="10">
        <f>IF(F912=0,"n/a (zero denom)",G912/ABS(F912))</f>
        <v>0.0</v>
      </c>
      <c r="I912" s="10">
        <f>'Tolerances'!$B$13</f>
        <v>0.005</v>
      </c>
      <c r="J912" s="15" t="str">
        <f>IF(F912=0,IF(G912&lt;=0.000001,"PASS","FAIL"),IF(H912&lt;=I912,"PASS","FAIL"))</f>
        <v>PASS</v>
      </c>
      <c r="K912" t="inlineStr">
        <is>
          <t xml:space="preserve"/>
        </is>
      </c>
    </row>
  </sheetData>
</worksheet>
</file>

<file path=xl/worksheets/sheet10.xml><?xml version="1.0" encoding="utf-8"?>
<worksheet xmlns="http://schemas.openxmlformats.org/spreadsheetml/2006/main">
  <dimension ref="A1:A8"/>
  <sheetViews>
    <sheetView workbookViewId="0"/>
  </sheetViews>
  <sheetFormatPr defaultRowHeight="15"/>
  <cols>
    <col min="1" max="1" width="100" customWidth="1"/>
  </cols>
  <sheetData>
    <row r="1">
      <c r="A1" s="1" t="inlineStr">
        <is>
          <t xml:space="preserve">Findings</t>
        </is>
      </c>
    </row>
    <row r="3">
      <c r="A3" s="17" t="inlineStr">
        <is>
          <t xml:space="preserve">Overall verdict: GO</t>
        </is>
      </c>
    </row>
    <row r="4">
      <c r="A4" s="17" t="inlineStr">
        <is>
          <t xml:space="preserve">Reconciliation target: independent workbook V2 (independent_dcf_validation_v2.xlsx), built in Track A Phase 2C from the corrected years_elapsed specification (A-028/L-019). V1 (independent_dcf_validation.xlsx) is preserved unchanged; its original Phase 2B NO-GO evidence is archived at validation/dcf_reconciliation/history/phase2b_initial_no_go/ and was never edited.</t>
        </is>
      </c>
    </row>
    <row r="5">
      <c r="A5" s="17" t="inlineStr">
        <is>
          <t xml:space="preserve">No base-case divergence found in any company against V2. Phase 2B's original NO-GO (against V1) was caused by V1's 'years_elapsed = COUNT(periods)-1' convention, which did NOT conform to the now-clarified specification (docs/model-specifications/dcf.md's years_elapsed = actual elapsed calendar days / 365.25) for a company on an irregular fiscal calendar (INTC). V1's convention is not described as having been correct under the clarified specification -- it was a reasonable resolution of a genuine ambiguity that the clarification has since closed. Production code (src/dcf_model/dcf.py) required NO change: its existing calculate_historical_revenue_cagr implementation already computed years_elapsed via actual elapsed calendar days, which is what the specification was clarified to require.</t>
        </is>
      </c>
    </row>
    <row r="6">
      <c r="A6" s="17" t="inlineStr">
        <is>
          <t xml:space="preserve">Directional bias: MSFT, CAT, and VZ match V2 to full floating-point precision on every required metric (zero signed difference) -- no bias to investigate among them.</t>
        </is>
      </c>
    </row>
    <row r="7">
      <c r="A7" s="17" t="inlineStr">
        <is>
          <t xml:space="preserve">INTC sensitivity tables show a documented, mathematically-correct inverted direction (IV rises with WACC, falls with terminal growth, falls with revenue growth) caused by negative base-case FCF -- both V2 and the production recompute agree on every inverted direction.</t>
        </is>
      </c>
    </row>
    <row r="8">
      <c r="A8" s="17" t="inlineStr">
        <is>
          <t xml:space="preserve">Sensitivity coverage: 908 total scalar comparisons across four companies (227 per company: Table 1=28, Table 2=28, Table 3=72, Table 4=63, Table 5=36) -- every one appears as its own row on the 'All Sensitivity Comparisons' sheet, not only in reconciliation_results.json.</t>
        </is>
      </c>
    </row>
  </sheetData>
</worksheet>
</file>

<file path=xl/worksheets/sheet11.xml><?xml version="1.0" encoding="utf-8"?>
<worksheet xmlns="http://schemas.openxmlformats.org/spreadsheetml/2006/main">
  <dimension ref="A1:B13"/>
  <sheetViews>
    <sheetView workbookViewId="0"/>
  </sheetViews>
  <sheetFormatPr defaultRowHeight="15"/>
  <cols>
    <col min="1" max="1" width="44" customWidth="1"/>
    <col min="2" max="2" width="60" customWidth="1"/>
  </cols>
  <sheetData>
    <row r="1">
      <c r="A1" s="1" t="inlineStr">
        <is>
          <t xml:space="preserve">Sign-off</t>
        </is>
      </c>
    </row>
    <row r="3">
      <c r="A3" s="18" t="inlineStr">
        <is>
          <t xml:space="preserve">Source implementation commit</t>
        </is>
      </c>
      <c r="B3" s="4" t="inlineStr">
        <is>
          <t xml:space="preserve">776e76f56e6210f1050caa74c60962ed89162496</t>
        </is>
      </c>
    </row>
    <row r="4">
      <c r="A4" s="18" t="inlineStr">
        <is>
          <t xml:space="preserve">Branch</t>
        </is>
      </c>
      <c r="B4" s="4" t="inlineStr">
        <is>
          <t xml:space="preserve">remediation/valuation-engine-production-quality</t>
        </is>
      </c>
    </row>
    <row r="5">
      <c r="A5" s="18" t="inlineStr">
        <is>
          <t xml:space="preserve">V1 independent workbook SHA-256 (preserved, historical)</t>
        </is>
      </c>
      <c r="B5" s="4" t="inlineStr">
        <is>
          <t xml:space="preserve">942b5f096cf546d63487add31eb29b1b690f0819f923f01436093f9bbc75eba1</t>
        </is>
      </c>
    </row>
    <row r="6">
      <c r="A6" s="18" t="inlineStr">
        <is>
          <t xml:space="preserve">V2 independent workbook SHA-256 (reconciliation target)</t>
        </is>
      </c>
      <c r="B6" s="4" t="inlineStr">
        <is>
          <t xml:space="preserve">cd2d225cfe0825ff56aa8f866c3b80b6bec5f87a8b02dc3f76724e4abdd27d6b</t>
        </is>
      </c>
    </row>
    <row r="7">
      <c r="A7" s="18" t="inlineStr">
        <is>
          <t xml:space="preserve">Frozen snapshot SHA-256 (MSFT)</t>
        </is>
      </c>
      <c r="B7" s="4" t="inlineStr">
        <is>
          <t xml:space="preserve">7c50a3e9fb2d27095a890ad8d11732d4ccc72ef9350998604adb3af7a3c845a8</t>
        </is>
      </c>
    </row>
    <row r="8">
      <c r="A8" s="18" t="inlineStr">
        <is>
          <t xml:space="preserve">Frozen snapshot SHA-256 (CAT)</t>
        </is>
      </c>
      <c r="B8" s="4" t="inlineStr">
        <is>
          <t xml:space="preserve">651d366c01415c2da33733058dabb9ac6e4f40cdf5b20e743c0b83ebc3a52c93</t>
        </is>
      </c>
    </row>
    <row r="9">
      <c r="A9" s="18" t="inlineStr">
        <is>
          <t xml:space="preserve">Frozen snapshot SHA-256 (INTC)</t>
        </is>
      </c>
      <c r="B9" s="4" t="inlineStr">
        <is>
          <t xml:space="preserve">d73e4b40bce2442a75affde82aaa563ffdea9c68c7257e70cc325663cff24930</t>
        </is>
      </c>
    </row>
    <row r="10">
      <c r="A10" s="18" t="inlineStr">
        <is>
          <t xml:space="preserve">Frozen snapshot SHA-256 (VZ)</t>
        </is>
      </c>
      <c r="B10" s="4" t="inlineStr">
        <is>
          <t xml:space="preserve">77b8ea27b8decaff5fe3b4aad857c632a852445eda0b7f2342f594cd3c4b5f3d</t>
        </is>
      </c>
    </row>
    <row r="11">
      <c r="A11" s="18" t="inlineStr">
        <is>
          <t xml:space="preserve">Overall reconciliation status</t>
        </is>
      </c>
      <c r="B11" s="4" t="inlineStr">
        <is>
          <t xml:space="preserve">GO</t>
        </is>
      </c>
    </row>
    <row r="12">
      <c r="A12" s="18" t="inlineStr">
        <is>
          <t xml:space="preserve">Profitability established?</t>
        </is>
      </c>
      <c r="B12" s="4" t="inlineStr">
        <is>
          <t xml:space="preserve">NOT ESTABLISHED -- this reconciliation checks calculation agreement only</t>
        </is>
      </c>
    </row>
    <row r="13">
      <c r="A13" s="18" t="inlineStr">
        <is>
          <t xml:space="preserve">Second-reviewer sign-off</t>
        </is>
      </c>
      <c r="B13" s="4" t="inlineStr">
        <is>
          <t xml:space="preserve">PENDING -- not performed in this session</t>
        </is>
      </c>
    </row>
  </sheetData>
</worksheet>
</file>

<file path=docProps/app.xml><?xml version="1.0" encoding="utf-8"?>
<Properties xmlns="http://schemas.openxmlformats.org/officeDocument/2006/extended-properties">
  <Application>dcf_reconciliation xlsx_writer (stdlib-only)</Application>
  <TitlesOfParts>
    <vt:vector xmlns:vt="http://schemas.openxmlformats.org/officeDocument/2006/docPropsVTypes" size="11" baseType="lpstr">
      <vt:lpstr>Tolerances</vt:lpstr>
      <vt:lpstr>README</vt:lpstr>
      <vt:lpstr>Base Reconciliation</vt:lpstr>
      <vt:lpstr>Detail_MSFT</vt:lpstr>
      <vt:lpstr>Detail_CAT</vt:lpstr>
      <vt:lpstr>Detail_INTC</vt:lpstr>
      <vt:lpstr>Detail_VZ</vt:lpstr>
      <vt:lpstr>Sensitivity Reconciliation</vt:lpstr>
      <vt:lpstr>All Sensitivity Comparisons</vt:lpstr>
      <vt:lpstr>Findings</vt:lpstr>
      <vt:lpstr>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DCF Codebase-to-Workbook Reconciliation</dc:title>
  <dc:creator>Track A Phase 2B Reconciliation Session</dc:creator>
</cp:coreProperties>
</file>
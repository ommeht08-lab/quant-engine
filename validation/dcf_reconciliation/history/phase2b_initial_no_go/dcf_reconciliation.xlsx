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dcf_reconciliation_xlsx_writer"/>
  <workbookPr/>
  <bookViews>
    <workbookView xWindow="0" yWindow="0" windowWidth="25600" windowHeight="15000"/>
  </bookViews>
  <sheets>
    <sheet name="Tolerances" sheetId="1" r:id="rId1"/>
    <sheet name="README" sheetId="2" r:id="rId2"/>
    <sheet name="Base Reconciliation" sheetId="3" r:id="rId3"/>
    <sheet name="Detail_MSFT" sheetId="4" r:id="rId4"/>
    <sheet name="Detail_CAT" sheetId="5" r:id="rId5"/>
    <sheet name="Detail_INTC" sheetId="6" r:id="rId6"/>
    <sheet name="Detail_VZ" sheetId="7" r:id="rId7"/>
    <sheet name="Sensitivity Reconciliation" sheetId="8" r:id="rId8"/>
    <sheet name="Findings" sheetId="9" r:id="rId9"/>
    <sheet name="Sign-off" sheetId="10" r:id="rId10"/>
  </sheets>
  <calcPr calcId="999999" fullCalcOnLoad="1"/>
</workbook>
</file>

<file path=xl/styles.xml><?xml version="1.0" encoding="utf-8"?>
<styleSheet xmlns="http://schemas.openxmlformats.org/spreadsheetml/2006/main">
  <numFmts count="1">
    <numFmt numFmtId="165" formatCode="0.0000%"/>
  </numFmts>
  <fonts count="11">
    <font>
      <sz val="10"/>
      <name val="Calibri"/>
      <color rgb="FF000000"/>
    </font>
    <font>
      <b/>
      <sz val="10"/>
      <name val="Calibri"/>
      <color rgb="FF000000"/>
    </font>
    <font>
      <b/>
      <sz val="10"/>
      <name val="Calibri"/>
      <color rgb="FF000000"/>
    </font>
    <font>
      <b/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b/>
      <sz val="10"/>
      <name val="Calibri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 applyNumberFormat="1" applyAlignment="0"/>
    <xf numFmtId="0" fontId="1" fillId="0" borderId="0" xfId="0" applyFont="1" applyFill="1" applyBorder="1" applyNumberFormat="1" applyAlignment="0"/>
    <xf numFmtId="0" fontId="2" fillId="2" borderId="1" xfId="0" applyFont="1" applyFill="1" applyBorder="1" applyNumberFormat="1" applyAlignment="0"/>
    <xf numFmtId="0" fontId="3" fillId="3" borderId="0" xfId="0" applyFont="1" applyFill="1" applyBorder="1" applyNumberFormat="1" applyAlignment="0"/>
    <xf numFmtId="0" fontId="4" fillId="4" borderId="0" xfId="0" applyFont="1" applyFill="1" applyBorder="1" applyNumberFormat="1" applyAlignment="0"/>
    <xf numFmtId="165" fontId="5" fillId="4" borderId="0" xfId="0" applyFont="1" applyFill="1" applyBorder="1" applyNumberFormat="1" applyAlignment="0"/>
    <xf numFmtId="165" fontId="6" fillId="4" borderId="0" xfId="0" applyFont="1" applyFill="1" applyBorder="1" applyNumberFormat="1" applyAlignment="0"/>
    <xf numFmtId="165" fontId="7" fillId="0" borderId="0" xfId="0" applyFont="1" applyFill="1" applyBorder="1" applyNumberFormat="1" applyAlignment="0"/>
    <xf numFmtId="165" fontId="8" fillId="0" borderId="0" xfId="0" applyFont="1" applyFill="1" applyBorder="1" applyNumberFormat="1" applyAlignment="0"/>
    <xf numFmtId="0" fontId="9" fillId="0" borderId="0" xfId="0" applyFont="1" applyFill="1" applyBorder="1" applyNumberFormat="1" applyAlignment="1">
      <alignment wrapText="1" vertical="top"/>
    </xf>
    <xf numFmtId="0" fontId="10" fillId="0" borderId="0" xfId="0" applyFont="1" applyFill="1" applyBorder="1" applyNumberFormat="1" applyAlignment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4"/>
  <sheetViews>
    <sheetView workbookViewId="0"/>
  </sheetViews>
  <sheetFormatPr defaultRowHeight="15"/>
  <cols>
    <col min="1" max="1" width="44" customWidth="1"/>
    <col min="2" max="2" width="14" customWidth="1"/>
    <col min="3" max="3" width="8" customWidth="1"/>
  </cols>
  <sheetData>
    <row r="1">
      <c r="A1" s="1" t="inlineStr">
        <is>
          <t xml:space="preserve">Tolerance constants -- single source of truth for every comparison table's Tolerance column</t>
        </is>
      </c>
    </row>
    <row r="2">
      <c r="A2" s="2" t="inlineStr">
        <is>
          <t xml:space="preserve">Metric</t>
        </is>
      </c>
      <c r="B2" s="2" t="inlineStr">
        <is>
          <t xml:space="preserve">Tolerance</t>
        </is>
      </c>
      <c r="C2" s="2" t="inlineStr">
        <is>
          <t xml:space="preserve">Kind</t>
        </is>
      </c>
    </row>
    <row r="3">
      <c r="A3" t="inlineStr">
        <is>
          <t xml:space="preserve">Revenue CAGR</t>
        </is>
      </c>
      <c r="B3" s="5">
        <v>0.0001</v>
      </c>
      <c r="C3" t="inlineStr">
        <is>
          <t xml:space="preserve">percentage points</t>
        </is>
      </c>
    </row>
    <row r="4">
      <c r="A4" t="inlineStr">
        <is>
          <t xml:space="preserve">Operating Margin</t>
        </is>
      </c>
      <c r="B4" s="5">
        <v>0.0001</v>
      </c>
      <c r="C4" t="inlineStr">
        <is>
          <t xml:space="preserve">percentage points</t>
        </is>
      </c>
    </row>
    <row r="5">
      <c r="A5" t="inlineStr">
        <is>
          <t xml:space="preserve">WACC</t>
        </is>
      </c>
      <c r="B5" s="5">
        <v>0.0005</v>
      </c>
      <c r="C5" t="inlineStr">
        <is>
          <t xml:space="preserve">percentage points</t>
        </is>
      </c>
    </row>
    <row r="6">
      <c r="A6" t="inlineStr">
        <is>
          <t xml:space="preserve">Each FCF year</t>
        </is>
      </c>
      <c r="B6" s="5">
        <v>0.001</v>
      </c>
      <c r="C6" t="inlineStr">
        <is>
          <t xml:space="preserve">relative fraction</t>
        </is>
      </c>
    </row>
    <row r="7">
      <c r="A7" t="inlineStr">
        <is>
          <t xml:space="preserve">Terminal Value</t>
        </is>
      </c>
      <c r="B7" s="5">
        <v>0.002</v>
      </c>
      <c r="C7" t="inlineStr">
        <is>
          <t xml:space="preserve">relative fraction</t>
        </is>
      </c>
    </row>
    <row r="8">
      <c r="A8" t="inlineStr">
        <is>
          <t xml:space="preserve">PV of Explicit FCF</t>
        </is>
      </c>
      <c r="B8" s="5">
        <v>0.002</v>
      </c>
      <c r="C8" t="inlineStr">
        <is>
          <t xml:space="preserve">relative fraction</t>
        </is>
      </c>
    </row>
    <row r="9">
      <c r="A9" t="inlineStr">
        <is>
          <t xml:space="preserve">PV of Terminal Value</t>
        </is>
      </c>
      <c r="B9" s="5">
        <v>0.002</v>
      </c>
      <c r="C9" t="inlineStr">
        <is>
          <t xml:space="preserve">relative fraction</t>
        </is>
      </c>
    </row>
    <row r="10">
      <c r="A10" t="inlineStr">
        <is>
          <t xml:space="preserve">Enterprise Value</t>
        </is>
      </c>
      <c r="B10" s="5">
        <v>0.002</v>
      </c>
      <c r="C10" t="inlineStr">
        <is>
          <t xml:space="preserve">relative fraction</t>
        </is>
      </c>
    </row>
    <row r="11">
      <c r="A11" t="inlineStr">
        <is>
          <t xml:space="preserve">Equity Value</t>
        </is>
      </c>
      <c r="B11" s="5">
        <v>0.002</v>
      </c>
      <c r="C11" t="inlineStr">
        <is>
          <t xml:space="preserve">relative fraction</t>
        </is>
      </c>
    </row>
    <row r="12">
      <c r="A12" t="inlineStr">
        <is>
          <t xml:space="preserve">Intrinsic Value per Share</t>
        </is>
      </c>
      <c r="B12" s="5">
        <v>0.005</v>
      </c>
      <c r="C12" t="inlineStr">
        <is>
          <t xml:space="preserve">relative fraction</t>
        </is>
      </c>
    </row>
    <row r="13">
      <c r="A13" t="inlineStr">
        <is>
          <t xml:space="preserve">Sensitivity IVPS (all tables)</t>
        </is>
      </c>
      <c r="B13" s="5">
        <v>0.005</v>
      </c>
      <c r="C13" t="inlineStr">
        <is>
          <t xml:space="preserve">relative fraction</t>
        </is>
      </c>
    </row>
    <row r="14">
      <c r="A14" t="inlineStr">
        <is>
          <t xml:space="preserve">Zero-denominator floating-point carve-out (absolute $)</t>
        </is>
      </c>
      <c r="B14" s="6">
        <v>1e-06</v>
      </c>
      <c r="C14" t="inlineStr">
        <is>
          <t xml:space="preserve">absolute $</t>
        </is>
      </c>
    </row>
  </sheetData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"/>
  <cols>
    <col min="1" max="1" width="110" customWidth="1"/>
  </cols>
  <sheetData>
    <row r="1">
      <c r="A1" s="1" t="inlineStr">
        <is>
          <t xml:space="preserve">DCF Codebase-to-Independent-Workbook Reconciliation</t>
        </is>
      </c>
    </row>
    <row r="2">
      <c r="A2" s="9" t="inlineStr">
        <is>
          <t xml:space="preserve">Track A Phase 2B. This workbook reconciles src/dcf_model/dcf.py's production output against the ALREADY-FROZEN, already-committed independent workbook (validation/independent_dcf/independent_dcf_validation.xlsx), which is never modified by this workbook or by any script in validation/dcf_reconciliation/.</t>
        </is>
      </c>
    </row>
    <row r="3">
      <c r="A3" t="inlineStr">
        <is>
          <t xml:space="preserve"/>
        </is>
      </c>
    </row>
    <row r="4">
      <c r="A4" s="10" t="inlineStr">
        <is>
          <t xml:space="preserve">Sheets:</t>
        </is>
      </c>
    </row>
    <row r="5">
      <c r="A5" t="inlineStr">
        <is>
          <t xml:space="preserve"> - Tolerances: the single source of truth for every tolerance constant used elsewhere.</t>
        </is>
      </c>
    </row>
    <row r="6">
      <c r="A6" t="inlineStr">
        <is>
          <t xml:space="preserve"> - Base Reconciliation: all 14 required metrics x 4 companies, live-formula comparison.</t>
        </is>
      </c>
    </row>
    <row r="7">
      <c r="A7" t="inlineStr">
        <is>
          <t xml:space="preserve"> - Detail_&lt;TICKER&gt;: per-company base reconciliation + sensitivity summary.</t>
        </is>
      </c>
    </row>
    <row r="8">
      <c r="A8" t="inlineStr">
        <is>
          <t xml:space="preserve"> - Sensitivity Reconciliation: Table 1/2 full live-formula detail; Table 3/4/5 summarized (full per-cell detail is in reconciliation_results.json).</t>
        </is>
      </c>
    </row>
    <row r="9">
      <c r="A9" t="inlineStr">
        <is>
          <t xml:space="preserve"> - Findings: narrative summary of what was (and wasn't) found.</t>
        </is>
      </c>
    </row>
    <row r="10">
      <c r="A10" t="inlineStr">
        <is>
          <t xml:space="preserve"> - Sign-off: commit/hash provenance and outstanding second-reviewer requirement.</t>
        </is>
      </c>
    </row>
    <row r="11">
      <c r="A11" t="inlineStr">
        <is>
          <t xml:space="preserve"/>
        </is>
      </c>
    </row>
    <row r="12">
      <c r="A12" s="10" t="inlineStr">
        <is>
          <t xml:space="preserve">Source commit: 776e76f56e6210f1050caa74c60962ed89162496 (branch remediation/valuation-engine-production-quality)</t>
        </is>
      </c>
    </row>
    <row r="13">
      <c r="A13" t="inlineStr">
        <is>
          <t xml:space="preserve">Original workbook SHA-256: 942b5f096cf546d63487add31eb29b1b690f0819f923f01436093f9bbc75eba1</t>
        </is>
      </c>
    </row>
    <row r="14">
      <c r="A14" s="10" t="inlineStr">
        <is>
          <t xml:space="preserve">Overall status: NO-GO (pending separate second-reviewer sign-off)</t>
        </is>
      </c>
    </row>
    <row r="15">
      <c r="A15" s="10" t="inlineStr">
        <is>
          <t xml:space="preserve">PROFITABILITY NOT ESTABLISHED -- this workbook verifies calculation agreement between two independent implementations. It is not investment advice and does not establish that any company is profitable to trade.</t>
        </is>
      </c>
    </row>
  </sheetData>
</worksheet>
</file>

<file path=xl/worksheets/sheet3.xml><?xml version="1.0" encoding="utf-8"?>
<worksheet xmlns="http://schemas.openxmlformats.org/spreadsheetml/2006/main">
  <dimension ref="A1:H64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Base-case reconciliation -- all four companies, all 14 required metrics</t>
        </is>
      </c>
    </row>
    <row r="2">
      <c r="A2" s="9" t="inlineStr">
        <is>
          <t xml:space="preserve">Codebase/Workbook columns are hardcoded values imported from codebase_outputs.json and the independent workbook's cached cells (yellow fill). Absolute Difference / Relative-or-pp Difference / Tolerance / PASS-FAIL are live formulas (white fill).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s="3" t="inlineStr">
        <is>
          <t xml:space="preserve">-- MSFT (Microsoft Corporation) --</t>
        </is>
      </c>
    </row>
    <row r="6">
      <c r="A6" t="inlineStr">
        <is>
          <t xml:space="preserve">Historical Revenue CAGR</t>
        </is>
      </c>
      <c r="B6" s="5">
        <v>0.1374114735301586</v>
      </c>
      <c r="C6" s="5">
        <v>0.1374114735301586</v>
      </c>
      <c r="D6" s="8">
        <f>ABS(B6-C6)</f>
        <v>0.0</v>
      </c>
      <c r="E6" s="7">
        <f>D6</f>
        <v>0.0</v>
      </c>
      <c r="F6" s="7">
        <f>'Tolerances'!$B$3</f>
        <v>0.0001</v>
      </c>
      <c r="G6" t="str">
        <f>IF(D6&lt;=F6,"PASS","FAIL")</f>
        <v/>
      </c>
      <c r="H6" t="inlineStr">
        <is>
          <t xml:space="preserve">DCF_MSFT!B7</t>
        </is>
      </c>
    </row>
    <row r="7">
      <c r="A7" t="inlineStr">
        <is>
          <t xml:space="preserve">Historical average Operating Margin</t>
        </is>
      </c>
      <c r="B7" s="5">
        <v>0.4417504660304294</v>
      </c>
      <c r="C7" s="5">
        <v>0.4417504660304294</v>
      </c>
      <c r="D7" s="8">
        <f>ABS(B7-C7)</f>
        <v>0.0</v>
      </c>
      <c r="E7" s="7">
        <f>D7</f>
        <v>0.0</v>
      </c>
      <c r="F7" s="7">
        <f>'Tolerances'!$B$4</f>
        <v>0.0001</v>
      </c>
      <c r="G7" t="str">
        <f>IF(D7&lt;=F7,"PASS","FAIL")</f>
        <v/>
      </c>
      <c r="H7" t="inlineStr">
        <is>
          <t xml:space="preserve">DCF_MSFT!B8</t>
        </is>
      </c>
    </row>
    <row r="8">
      <c r="A8" t="inlineStr">
        <is>
          <t xml:space="preserve">WACC (final, clamped [5%,20%])</t>
        </is>
      </c>
      <c r="B8" s="5">
        <v>0.1000042158780718</v>
      </c>
      <c r="C8" s="5">
        <v>0.1000042158780718</v>
      </c>
      <c r="D8" s="8">
        <f>ABS(B8-C8)</f>
        <v>0.0</v>
      </c>
      <c r="E8" s="7">
        <f>D8</f>
        <v>0.0</v>
      </c>
      <c r="F8" s="7">
        <f>'Tolerances'!$B$5</f>
        <v>0.0005</v>
      </c>
      <c r="G8" t="str">
        <f>IF(D8&lt;=F8,"PASS","FAIL")</f>
        <v/>
      </c>
      <c r="H8" t="inlineStr">
        <is>
          <t xml:space="preserve">DCF_MSFT!B19</t>
        </is>
      </c>
    </row>
    <row r="9">
      <c r="A9" t="inlineStr">
        <is>
          <t xml:space="preserve">FCF Year 1</t>
        </is>
      </c>
      <c r="B9" s="6">
        <v>130162813492.17007</v>
      </c>
      <c r="C9" s="6">
        <v>130162813492.17007</v>
      </c>
      <c r="D9" s="8">
        <f>ABS(B9-C9)</f>
        <v>0.0</v>
      </c>
      <c r="E9" s="7">
        <f>IF(C9=0,"n/a (zero denom)",D9/ABS(C9))</f>
        <v>0.0</v>
      </c>
      <c r="F9" s="7">
        <f>'Tolerances'!$B$6</f>
        <v>0.001</v>
      </c>
      <c r="G9" t="str">
        <f>IF(C9=0,IF(D9&lt;=0.000001,"PASS","FAIL"),IF(E9&lt;=F9,"PASS","FAIL"))</f>
        <v/>
      </c>
      <c r="H9" t="inlineStr">
        <is>
          <t xml:space="preserve">DCF_MSFT!C29</t>
        </is>
      </c>
    </row>
    <row r="10">
      <c r="A10" t="inlineStr">
        <is>
          <t xml:space="preserve">FCF Year 2</t>
        </is>
      </c>
      <c r="B10" s="6">
        <v>148048677492.96033</v>
      </c>
      <c r="C10" s="6">
        <v>148048677492.96033</v>
      </c>
      <c r="D10" s="8">
        <f>ABS(B10-C10)</f>
        <v>0.0</v>
      </c>
      <c r="E10" s="7">
        <f>IF(C10=0,"n/a (zero denom)",D10/ABS(C10))</f>
        <v>0.0</v>
      </c>
      <c r="F10" s="7">
        <f>'Tolerances'!$B$6</f>
        <v>0.001</v>
      </c>
      <c r="G10" t="str">
        <f>IF(C10=0,IF(D10&lt;=0.000001,"PASS","FAIL"),IF(E10&lt;=F10,"PASS","FAIL"))</f>
        <v/>
      </c>
      <c r="H10" t="inlineStr">
        <is>
          <t xml:space="preserve">DCF_MSFT!D29</t>
        </is>
      </c>
    </row>
    <row r="11">
      <c r="A11" t="inlineStr">
        <is>
          <t xml:space="preserve">FCF Year 3</t>
        </is>
      </c>
      <c r="B11" s="6">
        <v>168392264421.45926</v>
      </c>
      <c r="C11" s="6">
        <v>168392264421.45926</v>
      </c>
      <c r="D11" s="8">
        <f>ABS(B11-C11)</f>
        <v>0.0</v>
      </c>
      <c r="E11" s="7">
        <f>IF(C11=0,"n/a (zero denom)",D11/ABS(C11))</f>
        <v>0.0</v>
      </c>
      <c r="F11" s="7">
        <f>'Tolerances'!$B$6</f>
        <v>0.001</v>
      </c>
      <c r="G11" t="str">
        <f>IF(C11=0,IF(D11&lt;=0.000001,"PASS","FAIL"),IF(E11&lt;=F11,"PASS","FAIL"))</f>
        <v/>
      </c>
      <c r="H11" t="inlineStr">
        <is>
          <t xml:space="preserve">DCF_MSFT!E29</t>
        </is>
      </c>
    </row>
    <row r="12">
      <c r="A12" t="inlineStr">
        <is>
          <t xml:space="preserve">FCF Year 4</t>
        </is>
      </c>
      <c r="B12" s="6">
        <v>191531293606.69208</v>
      </c>
      <c r="C12" s="6">
        <v>191531293606.69208</v>
      </c>
      <c r="D12" s="8">
        <f>ABS(B12-C12)</f>
        <v>0.0</v>
      </c>
      <c r="E12" s="7">
        <f>IF(C12=0,"n/a (zero denom)",D12/ABS(C12))</f>
        <v>0.0</v>
      </c>
      <c r="F12" s="7">
        <f>'Tolerances'!$B$6</f>
        <v>0.001</v>
      </c>
      <c r="G12" t="str">
        <f>IF(C12=0,IF(D12&lt;=0.000001,"PASS","FAIL"),IF(E12&lt;=F12,"PASS","FAIL"))</f>
        <v/>
      </c>
      <c r="H12" t="inlineStr">
        <is>
          <t xml:space="preserve">DCF_MSFT!F29</t>
        </is>
      </c>
    </row>
    <row r="13">
      <c r="A13" t="inlineStr">
        <is>
          <t xml:space="preserve">FCF Year 5</t>
        </is>
      </c>
      <c r="B13" s="6">
        <v>217849890888.32507</v>
      </c>
      <c r="C13" s="6">
        <v>217849890888.32507</v>
      </c>
      <c r="D13" s="8">
        <f>ABS(B13-C13)</f>
        <v>0.0</v>
      </c>
      <c r="E13" s="7">
        <f>IF(C13=0,"n/a (zero denom)",D13/ABS(C13))</f>
        <v>0.0</v>
      </c>
      <c r="F13" s="7">
        <f>'Tolerances'!$B$6</f>
        <v>0.001</v>
      </c>
      <c r="G13" t="str">
        <f>IF(C13=0,IF(D13&lt;=0.000001,"PASS","FAIL"),IF(E13&lt;=F13,"PASS","FAIL"))</f>
        <v/>
      </c>
      <c r="H13" t="inlineStr">
        <is>
          <t xml:space="preserve">DCF_MSFT!G29</t>
        </is>
      </c>
    </row>
    <row r="14">
      <c r="A14" t="inlineStr">
        <is>
          <t xml:space="preserve">Terminal Value</t>
        </is>
      </c>
      <c r="B14" s="6">
        <v>2977114493450.9736</v>
      </c>
      <c r="C14" s="6">
        <v>2977114493450.9736</v>
      </c>
      <c r="D14" s="8">
        <f>ABS(B14-C14)</f>
        <v>0.0</v>
      </c>
      <c r="E14" s="7">
        <f>IF(C14=0,"n/a (zero denom)",D14/ABS(C14))</f>
        <v>0.0</v>
      </c>
      <c r="F14" s="7">
        <f>'Tolerances'!$B$7</f>
        <v>0.002</v>
      </c>
      <c r="G14" t="str">
        <f>IF(C14=0,IF(D14&lt;=0.000001,"PASS","FAIL"),IF(E14&lt;=F14,"PASS","FAIL"))</f>
        <v/>
      </c>
      <c r="H14" t="inlineStr">
        <is>
          <t xml:space="preserve">DCF_MSFT!B32</t>
        </is>
      </c>
    </row>
    <row r="15">
      <c r="A15" t="inlineStr">
        <is>
          <t xml:space="preserve">PV of Explicit FCF (sum of pv_fcf series)</t>
        </is>
      </c>
      <c r="B15" s="6">
        <v>633278359490.3066</v>
      </c>
      <c r="C15" s="6">
        <v>633278359490.3066</v>
      </c>
      <c r="D15" s="8">
        <f>ABS(B15-C15)</f>
        <v>0.0</v>
      </c>
      <c r="E15" s="7">
        <f>IF(C15=0,"n/a (zero denom)",D15/ABS(C15))</f>
        <v>0.0</v>
      </c>
      <c r="F15" s="7">
        <f>'Tolerances'!$B$8</f>
        <v>0.002</v>
      </c>
      <c r="G15" t="str">
        <f>IF(C15=0,IF(D15&lt;=0.000001,"PASS","FAIL"),IF(E15&lt;=F15,"PASS","FAIL"))</f>
        <v/>
      </c>
      <c r="H15" t="inlineStr">
        <is>
          <t xml:space="preserve">DCF_MSFT!B37</t>
        </is>
      </c>
    </row>
    <row r="16">
      <c r="A16" t="inlineStr">
        <is>
          <t xml:space="preserve">PV of Terminal Value</t>
        </is>
      </c>
      <c r="B16" s="6">
        <v>1848518446589.798</v>
      </c>
      <c r="C16" s="6">
        <v>1848518446589.798</v>
      </c>
      <c r="D16" s="8">
        <f>ABS(B16-C16)</f>
        <v>0.0</v>
      </c>
      <c r="E16" s="7">
        <f>IF(C16=0,"n/a (zero denom)",D16/ABS(C16))</f>
        <v>0.0</v>
      </c>
      <c r="F16" s="7">
        <f>'Tolerances'!$B$9</f>
        <v>0.002</v>
      </c>
      <c r="G16" t="str">
        <f>IF(C16=0,IF(D16&lt;=0.000001,"PASS","FAIL"),IF(E16&lt;=F16,"PASS","FAIL"))</f>
        <v/>
      </c>
      <c r="H16" t="inlineStr">
        <is>
          <t xml:space="preserve">DCF_MSFT!B38</t>
        </is>
      </c>
    </row>
    <row r="17">
      <c r="A17" t="inlineStr">
        <is>
          <t xml:space="preserve">Enterprise Value</t>
        </is>
      </c>
      <c r="B17" s="6">
        <v>2481796806080.1045</v>
      </c>
      <c r="C17" s="6">
        <v>2481796806080.1045</v>
      </c>
      <c r="D17" s="8">
        <f>ABS(B17-C17)</f>
        <v>0.0</v>
      </c>
      <c r="E17" s="7">
        <f>IF(C17=0,"n/a (zero denom)",D17/ABS(C17))</f>
        <v>0.0</v>
      </c>
      <c r="F17" s="7">
        <f>'Tolerances'!$B$10</f>
        <v>0.002</v>
      </c>
      <c r="G17" t="str">
        <f>IF(C17=0,IF(D17&lt;=0.000001,"PASS","FAIL"),IF(E17&lt;=F17,"PASS","FAIL"))</f>
        <v/>
      </c>
      <c r="H17" t="inlineStr">
        <is>
          <t xml:space="preserve">DCF_MSFT!B39</t>
        </is>
      </c>
    </row>
    <row r="18">
      <c r="A18" t="inlineStr">
        <is>
          <t xml:space="preserve">Equity Value</t>
        </is>
      </c>
      <c r="B18" s="6">
        <v>2462437806080.1045</v>
      </c>
      <c r="C18" s="6">
        <v>2462437806080.1045</v>
      </c>
      <c r="D18" s="8">
        <f>ABS(B18-C18)</f>
        <v>0.0</v>
      </c>
      <c r="E18" s="7">
        <f>IF(C18=0,"n/a (zero denom)",D18/ABS(C18))</f>
        <v>0.0</v>
      </c>
      <c r="F18" s="7">
        <f>'Tolerances'!$B$11</f>
        <v>0.002</v>
      </c>
      <c r="G18" t="str">
        <f>IF(C18=0,IF(D18&lt;=0.000001,"PASS","FAIL"),IF(E18&lt;=F18,"PASS","FAIL"))</f>
        <v/>
      </c>
      <c r="H18" t="inlineStr">
        <is>
          <t xml:space="preserve">DCF_MSFT!B40</t>
        </is>
      </c>
    </row>
    <row r="19">
      <c r="A19" t="inlineStr">
        <is>
          <t xml:space="preserve">Intrinsic Value per Share</t>
        </is>
      </c>
      <c r="B19" s="6">
        <v>331.61709251726467</v>
      </c>
      <c r="C19" s="6">
        <v>331.61709251726467</v>
      </c>
      <c r="D19" s="8">
        <f>ABS(B19-C19)</f>
        <v>0.0</v>
      </c>
      <c r="E19" s="7">
        <f>IF(C19=0,"n/a (zero denom)",D19/ABS(C19))</f>
        <v>0.0</v>
      </c>
      <c r="F19" s="7">
        <f>'Tolerances'!$B$12</f>
        <v>0.005</v>
      </c>
      <c r="G19" t="str">
        <f>IF(C19=0,IF(D19&lt;=0.000001,"PASS","FAIL"),IF(E19&lt;=F19,"PASS","FAIL"))</f>
        <v/>
      </c>
      <c r="H19" t="inlineStr">
        <is>
          <t xml:space="preserve">DCF_MSFT!B41</t>
        </is>
      </c>
    </row>
    <row r="20">
      <c r="A20" s="3" t="inlineStr">
        <is>
          <t xml:space="preserve">-- CAT (Caterpillar Inc.) --</t>
        </is>
      </c>
    </row>
    <row r="21">
      <c r="A21" t="inlineStr">
        <is>
          <t xml:space="preserve">Historical Revenue CAGR</t>
        </is>
      </c>
      <c r="B21" s="5">
        <v>0.073095112192894</v>
      </c>
      <c r="C21" s="5">
        <v>0.073095112192894</v>
      </c>
      <c r="D21" s="8">
        <f>ABS(B21-C21)</f>
        <v>0.0</v>
      </c>
      <c r="E21" s="7">
        <f>D21</f>
        <v>0.0</v>
      </c>
      <c r="F21" s="7">
        <f>'Tolerances'!$B$3</f>
        <v>0.0001</v>
      </c>
      <c r="G21" t="str">
        <f>IF(D21&lt;=F21,"PASS","FAIL")</f>
        <v/>
      </c>
      <c r="H21" t="inlineStr">
        <is>
          <t xml:space="preserve">DCF_CAT!B7</t>
        </is>
      </c>
    </row>
    <row r="22">
      <c r="A22" t="inlineStr">
        <is>
          <t xml:space="preserve">Historical average Operating Margin</t>
        </is>
      </c>
      <c r="B22" s="5">
        <v>0.1655950160952213</v>
      </c>
      <c r="C22" s="5">
        <v>0.1655950160952213</v>
      </c>
      <c r="D22" s="8">
        <f>ABS(B22-C22)</f>
        <v>0.0</v>
      </c>
      <c r="E22" s="7">
        <f>D22</f>
        <v>0.0</v>
      </c>
      <c r="F22" s="7">
        <f>'Tolerances'!$B$4</f>
        <v>0.0001</v>
      </c>
      <c r="G22" t="str">
        <f>IF(D22&lt;=F22,"PASS","FAIL")</f>
        <v/>
      </c>
      <c r="H22" t="inlineStr">
        <is>
          <t xml:space="preserve">DCF_CAT!B8</t>
        </is>
      </c>
    </row>
    <row r="23">
      <c r="A23" t="inlineStr">
        <is>
          <t xml:space="preserve">WACC (final, clamped [5%,20%])</t>
        </is>
      </c>
      <c r="B23" s="5">
        <v>0.12095875169517725</v>
      </c>
      <c r="C23" s="5">
        <v>0.12095875169517725</v>
      </c>
      <c r="D23" s="8">
        <f>ABS(B23-C23)</f>
        <v>0.0</v>
      </c>
      <c r="E23" s="7">
        <f>D23</f>
        <v>0.0</v>
      </c>
      <c r="F23" s="7">
        <f>'Tolerances'!$B$5</f>
        <v>0.0005</v>
      </c>
      <c r="G23" t="str">
        <f>IF(D23&lt;=F23,"PASS","FAIL")</f>
        <v/>
      </c>
      <c r="H23" t="inlineStr">
        <is>
          <t xml:space="preserve">DCF_CAT!B19</t>
        </is>
      </c>
    </row>
    <row r="24">
      <c r="A24" t="inlineStr">
        <is>
          <t xml:space="preserve">FCF Year 1</t>
        </is>
      </c>
      <c r="B24" s="6">
        <v>8355205000.088836</v>
      </c>
      <c r="C24" s="6">
        <v>8355205000.088836</v>
      </c>
      <c r="D24" s="8">
        <f>ABS(B24-C24)</f>
        <v>0.0</v>
      </c>
      <c r="E24" s="7">
        <f>IF(C24=0,"n/a (zero denom)",D24/ABS(C24))</f>
        <v>0.0</v>
      </c>
      <c r="F24" s="7">
        <f>'Tolerances'!$B$6</f>
        <v>0.001</v>
      </c>
      <c r="G24" t="str">
        <f>IF(C24=0,IF(D24&lt;=0.000001,"PASS","FAIL"),IF(E24&lt;=F24,"PASS","FAIL"))</f>
        <v/>
      </c>
      <c r="H24" t="inlineStr">
        <is>
          <t xml:space="preserve">DCF_CAT!C29</t>
        </is>
      </c>
    </row>
    <row r="25">
      <c r="A25" t="inlineStr">
        <is>
          <t xml:space="preserve">FCF Year 2</t>
        </is>
      </c>
      <c r="B25" s="6">
        <v>8965929646.96496</v>
      </c>
      <c r="C25" s="6">
        <v>8965929646.96496</v>
      </c>
      <c r="D25" s="8">
        <f>ABS(B25-C25)</f>
        <v>0.0</v>
      </c>
      <c r="E25" s="7">
        <f>IF(C25=0,"n/a (zero denom)",D25/ABS(C25))</f>
        <v>0.0</v>
      </c>
      <c r="F25" s="7">
        <f>'Tolerances'!$B$6</f>
        <v>0.001</v>
      </c>
      <c r="G25" t="str">
        <f>IF(C25=0,IF(D25&lt;=0.000001,"PASS","FAIL"),IF(E25&lt;=F25,"PASS","FAIL"))</f>
        <v/>
      </c>
      <c r="H25" t="inlineStr">
        <is>
          <t xml:space="preserve">DCF_CAT!D29</t>
        </is>
      </c>
    </row>
    <row r="26">
      <c r="A26" t="inlineStr">
        <is>
          <t xml:space="preserve">FCF Year 3</t>
        </is>
      </c>
      <c r="B26" s="6">
        <v>9621295280.423456</v>
      </c>
      <c r="C26" s="6">
        <v>9621295280.423456</v>
      </c>
      <c r="D26" s="8">
        <f>ABS(B26-C26)</f>
        <v>0.0</v>
      </c>
      <c r="E26" s="7">
        <f>IF(C26=0,"n/a (zero denom)",D26/ABS(C26))</f>
        <v>0.0</v>
      </c>
      <c r="F26" s="7">
        <f>'Tolerances'!$B$6</f>
        <v>0.001</v>
      </c>
      <c r="G26" t="str">
        <f>IF(C26=0,IF(D26&lt;=0.000001,"PASS","FAIL"),IF(E26&lt;=F26,"PASS","FAIL"))</f>
        <v/>
      </c>
      <c r="H26" t="inlineStr">
        <is>
          <t xml:space="preserve">DCF_CAT!E29</t>
        </is>
      </c>
    </row>
    <row r="27">
      <c r="A27" t="inlineStr">
        <is>
          <t xml:space="preserve">FCF Year 4</t>
        </is>
      </c>
      <c r="B27" s="6">
        <v>10324564938.386972</v>
      </c>
      <c r="C27" s="6">
        <v>10324564938.386972</v>
      </c>
      <c r="D27" s="8">
        <f>ABS(B27-C27)</f>
        <v>0.0</v>
      </c>
      <c r="E27" s="7">
        <f>IF(C27=0,"n/a (zero denom)",D27/ABS(C27))</f>
        <v>0.0</v>
      </c>
      <c r="F27" s="7">
        <f>'Tolerances'!$B$6</f>
        <v>0.001</v>
      </c>
      <c r="G27" t="str">
        <f>IF(C27=0,IF(D27&lt;=0.000001,"PASS","FAIL"),IF(E27&lt;=F27,"PASS","FAIL"))</f>
        <v/>
      </c>
      <c r="H27" t="inlineStr">
        <is>
          <t xml:space="preserve">DCF_CAT!F29</t>
        </is>
      </c>
    </row>
    <row r="28">
      <c r="A28" t="inlineStr">
        <is>
          <t xml:space="preserve">FCF Year 5</t>
        </is>
      </c>
      <c r="B28" s="6">
        <v>11079240170.901186</v>
      </c>
      <c r="C28" s="6">
        <v>11079240170.901186</v>
      </c>
      <c r="D28" s="8">
        <f>ABS(B28-C28)</f>
        <v>0.0</v>
      </c>
      <c r="E28" s="7">
        <f>IF(C28=0,"n/a (zero denom)",D28/ABS(C28))</f>
        <v>0.0</v>
      </c>
      <c r="F28" s="7">
        <f>'Tolerances'!$B$6</f>
        <v>0.001</v>
      </c>
      <c r="G28" t="str">
        <f>IF(C28=0,IF(D28&lt;=0.000001,"PASS","FAIL"),IF(E28&lt;=F28,"PASS","FAIL"))</f>
        <v/>
      </c>
      <c r="H28" t="inlineStr">
        <is>
          <t xml:space="preserve">DCF_CAT!G29</t>
        </is>
      </c>
    </row>
    <row r="29">
      <c r="A29" t="inlineStr">
        <is>
          <t xml:space="preserve">Terminal Value</t>
        </is>
      </c>
      <c r="B29" s="6">
        <v>118344819774.72891</v>
      </c>
      <c r="C29" s="6">
        <v>118344819774.72891</v>
      </c>
      <c r="D29" s="8">
        <f>ABS(B29-C29)</f>
        <v>0.0</v>
      </c>
      <c r="E29" s="7">
        <f>IF(C29=0,"n/a (zero denom)",D29/ABS(C29))</f>
        <v>0.0</v>
      </c>
      <c r="F29" s="7">
        <f>'Tolerances'!$B$7</f>
        <v>0.002</v>
      </c>
      <c r="G29" t="str">
        <f>IF(C29=0,IF(D29&lt;=0.000001,"PASS","FAIL"),IF(E29&lt;=F29,"PASS","FAIL"))</f>
        <v/>
      </c>
      <c r="H29" t="inlineStr">
        <is>
          <t xml:space="preserve">DCF_CAT!B32</t>
        </is>
      </c>
    </row>
    <row r="30">
      <c r="A30" t="inlineStr">
        <is>
          <t xml:space="preserve">PV of Explicit FCF (sum of pv_fcf series)</t>
        </is>
      </c>
      <c r="B30" s="6">
        <v>34218526042.022396</v>
      </c>
      <c r="C30" s="6">
        <v>34218526042.022396</v>
      </c>
      <c r="D30" s="8">
        <f>ABS(B30-C30)</f>
        <v>0.0</v>
      </c>
      <c r="E30" s="7">
        <f>IF(C30=0,"n/a (zero denom)",D30/ABS(C30))</f>
        <v>0.0</v>
      </c>
      <c r="F30" s="7">
        <f>'Tolerances'!$B$8</f>
        <v>0.002</v>
      </c>
      <c r="G30" t="str">
        <f>IF(C30=0,IF(D30&lt;=0.000001,"PASS","FAIL"),IF(E30&lt;=F30,"PASS","FAIL"))</f>
        <v/>
      </c>
      <c r="H30" t="inlineStr">
        <is>
          <t xml:space="preserve">DCF_CAT!B37</t>
        </is>
      </c>
    </row>
    <row r="31">
      <c r="A31" t="inlineStr">
        <is>
          <t xml:space="preserve">PV of Terminal Value</t>
        </is>
      </c>
      <c r="B31" s="6">
        <v>66865345437.2181</v>
      </c>
      <c r="C31" s="6">
        <v>66865345437.2181</v>
      </c>
      <c r="D31" s="8">
        <f>ABS(B31-C31)</f>
        <v>0.0</v>
      </c>
      <c r="E31" s="7">
        <f>IF(C31=0,"n/a (zero denom)",D31/ABS(C31))</f>
        <v>0.0</v>
      </c>
      <c r="F31" s="7">
        <f>'Tolerances'!$B$9</f>
        <v>0.002</v>
      </c>
      <c r="G31" t="str">
        <f>IF(C31=0,IF(D31&lt;=0.000001,"PASS","FAIL"),IF(E31&lt;=F31,"PASS","FAIL"))</f>
        <v/>
      </c>
      <c r="H31" t="inlineStr">
        <is>
          <t xml:space="preserve">DCF_CAT!B38</t>
        </is>
      </c>
    </row>
    <row r="32">
      <c r="A32" t="inlineStr">
        <is>
          <t xml:space="preserve">Enterprise Value</t>
        </is>
      </c>
      <c r="B32" s="6">
        <v>101083871479.2405</v>
      </c>
      <c r="C32" s="6">
        <v>101083871479.2405</v>
      </c>
      <c r="D32" s="8">
        <f>ABS(B32-C32)</f>
        <v>0.0</v>
      </c>
      <c r="E32" s="7">
        <f>IF(C32=0,"n/a (zero denom)",D32/ABS(C32))</f>
        <v>0.0</v>
      </c>
      <c r="F32" s="7">
        <f>'Tolerances'!$B$10</f>
        <v>0.002</v>
      </c>
      <c r="G32" t="str">
        <f>IF(C32=0,IF(D32&lt;=0.000001,"PASS","FAIL"),IF(E32&lt;=F32,"PASS","FAIL"))</f>
        <v/>
      </c>
      <c r="H32" t="inlineStr">
        <is>
          <t xml:space="preserve">DCF_CAT!B39</t>
        </is>
      </c>
    </row>
    <row r="33">
      <c r="A33" t="inlineStr">
        <is>
          <t xml:space="preserve">Equity Value</t>
        </is>
      </c>
      <c r="B33" s="6">
        <v>74853871479.2405</v>
      </c>
      <c r="C33" s="6">
        <v>74853871479.2405</v>
      </c>
      <c r="D33" s="8">
        <f>ABS(B33-C33)</f>
        <v>0.0</v>
      </c>
      <c r="E33" s="7">
        <f>IF(C33=0,"n/a (zero denom)",D33/ABS(C33))</f>
        <v>0.0</v>
      </c>
      <c r="F33" s="7">
        <f>'Tolerances'!$B$11</f>
        <v>0.002</v>
      </c>
      <c r="G33" t="str">
        <f>IF(C33=0,IF(D33&lt;=0.000001,"PASS","FAIL"),IF(E33&lt;=F33,"PASS","FAIL"))</f>
        <v/>
      </c>
      <c r="H33" t="inlineStr">
        <is>
          <t xml:space="preserve">DCF_CAT!B40</t>
        </is>
      </c>
    </row>
    <row r="34">
      <c r="A34" t="inlineStr">
        <is>
          <t xml:space="preserve">Intrinsic Value per Share</t>
        </is>
      </c>
      <c r="B34" s="6">
        <v>162.84089749188038</v>
      </c>
      <c r="C34" s="6">
        <v>162.84089749188038</v>
      </c>
      <c r="D34" s="8">
        <f>ABS(B34-C34)</f>
        <v>0.0</v>
      </c>
      <c r="E34" s="7">
        <f>IF(C34=0,"n/a (zero denom)",D34/ABS(C34))</f>
        <v>0.0</v>
      </c>
      <c r="F34" s="7">
        <f>'Tolerances'!$B$12</f>
        <v>0.005</v>
      </c>
      <c r="G34" t="str">
        <f>IF(C34=0,IF(D34&lt;=0.000001,"PASS","FAIL"),IF(E34&lt;=F34,"PASS","FAIL"))</f>
        <v/>
      </c>
      <c r="H34" t="inlineStr">
        <is>
          <t xml:space="preserve">DCF_CAT!B41</t>
        </is>
      </c>
    </row>
    <row r="35">
      <c r="A35" s="3" t="inlineStr">
        <is>
          <t xml:space="preserve">-- INTC (Intel Corporation) --</t>
        </is>
      </c>
    </row>
    <row r="36">
      <c r="A36" t="inlineStr">
        <is>
          <t xml:space="preserve">Historical Revenue CAGR</t>
        </is>
      </c>
      <c r="B36" s="5">
        <v>-0.09554417293826767</v>
      </c>
      <c r="C36" s="5">
        <v>-0.09566849990677329</v>
      </c>
      <c r="D36" s="8">
        <f>ABS(B36-C36)</f>
        <v>0.00012432696850561697</v>
      </c>
      <c r="E36" s="7">
        <f>D36</f>
        <v>0.00012432696850561697</v>
      </c>
      <c r="F36" s="7">
        <f>'Tolerances'!$B$3</f>
        <v>0.0001</v>
      </c>
      <c r="G36" t="str">
        <f>IF(D36&lt;=F36,"PASS","FAIL")</f>
        <v/>
      </c>
      <c r="H36" t="inlineStr">
        <is>
          <t xml:space="preserve">DCF_INTC!B7</t>
        </is>
      </c>
    </row>
    <row r="37">
      <c r="A37" t="inlineStr">
        <is>
          <t xml:space="preserve">Historical average Operating Margin</t>
        </is>
      </c>
      <c r="B37" s="5">
        <v>0.004624851749122934</v>
      </c>
      <c r="C37" s="5">
        <v>0.004624851749122934</v>
      </c>
      <c r="D37" s="8">
        <f>ABS(B37-C37)</f>
        <v>0.0</v>
      </c>
      <c r="E37" s="7">
        <f>D37</f>
        <v>0.0</v>
      </c>
      <c r="F37" s="7">
        <f>'Tolerances'!$B$4</f>
        <v>0.0001</v>
      </c>
      <c r="G37" t="str">
        <f>IF(D37&lt;=F37,"PASS","FAIL")</f>
        <v/>
      </c>
      <c r="H37" t="inlineStr">
        <is>
          <t xml:space="preserve">DCF_INTC!B8</t>
        </is>
      </c>
    </row>
    <row r="38">
      <c r="A38" t="inlineStr">
        <is>
          <t xml:space="preserve">WACC (final, clamped [5%,20%])</t>
        </is>
      </c>
      <c r="B38" s="5">
        <v>0.15054644593281</v>
      </c>
      <c r="C38" s="5">
        <v>0.15054644593281</v>
      </c>
      <c r="D38" s="8">
        <f>ABS(B38-C38)</f>
        <v>0.0</v>
      </c>
      <c r="E38" s="7">
        <f>D38</f>
        <v>0.0</v>
      </c>
      <c r="F38" s="7">
        <f>'Tolerances'!$B$5</f>
        <v>0.0005</v>
      </c>
      <c r="G38" t="str">
        <f>IF(D38&lt;=F38,"PASS","FAIL")</f>
        <v/>
      </c>
      <c r="H38" t="inlineStr">
        <is>
          <t xml:space="preserve">DCF_INTC!B19</t>
        </is>
      </c>
    </row>
    <row r="39">
      <c r="A39" t="inlineStr">
        <is>
          <t xml:space="preserve">FCF Year 1</t>
        </is>
      </c>
      <c r="B39" s="6">
        <v>-423842264.73515886</v>
      </c>
      <c r="C39" s="6">
        <v>-423711351.14820355</v>
      </c>
      <c r="D39" s="8">
        <f>ABS(B39-C39)</f>
        <v>130913.58695530891</v>
      </c>
      <c r="E39" s="7">
        <f>IF(C39=0,"n/a (zero denom)",D39/ABS(C39))</f>
        <v>0.0003089687982173474</v>
      </c>
      <c r="F39" s="7">
        <f>'Tolerances'!$B$6</f>
        <v>0.001</v>
      </c>
      <c r="G39" t="str">
        <f>IF(C39=0,IF(D39&lt;=0.000001,"PASS","FAIL"),IF(E39&lt;=F39,"PASS","FAIL"))</f>
        <v/>
      </c>
      <c r="H39" t="inlineStr">
        <is>
          <t xml:space="preserve">DCF_INTC!C29</t>
        </is>
      </c>
    </row>
    <row r="40">
      <c r="A40" t="inlineStr">
        <is>
          <t xml:space="preserve">FCF Year 2</t>
        </is>
      </c>
      <c r="B40" s="6">
        <v>-383346606.09475577</v>
      </c>
      <c r="C40" s="6">
        <v>-383175521.79038286</v>
      </c>
      <c r="D40" s="8">
        <f>ABS(B40-C40)</f>
        <v>171084.30437290668</v>
      </c>
      <c r="E40" s="7">
        <f>IF(C40=0,"n/a (zero denom)",D40/ABS(C40))</f>
        <v>0.00044649069328206925</v>
      </c>
      <c r="F40" s="7">
        <f>'Tolerances'!$B$6</f>
        <v>0.001</v>
      </c>
      <c r="G40" t="str">
        <f>IF(C40=0,IF(D40&lt;=0.000001,"PASS","FAIL"),IF(E40&lt;=F40,"PASS","FAIL"))</f>
        <v/>
      </c>
      <c r="H40" t="inlineStr">
        <is>
          <t xml:space="preserve">DCF_INTC!D29</t>
        </is>
      </c>
    </row>
    <row r="41">
      <c r="A41" t="inlineStr">
        <is>
          <t xml:space="preserve">FCF Year 3</t>
        </is>
      </c>
      <c r="B41" s="6">
        <v>-346720071.6667405</v>
      </c>
      <c r="C41" s="6">
        <v>-346517694.4197018</v>
      </c>
      <c r="D41" s="8">
        <f>ABS(B41-C41)</f>
        <v>202377.24703866243</v>
      </c>
      <c r="E41" s="7">
        <f>IF(C41=0,"n/a (zero denom)",D41/ABS(C41))</f>
        <v>0.0005840314947771277</v>
      </c>
      <c r="F41" s="7">
        <f>'Tolerances'!$B$6</f>
        <v>0.001</v>
      </c>
      <c r="G41" t="str">
        <f>IF(C41=0,IF(D41&lt;=0.000001,"PASS","FAIL"),IF(E41&lt;=F41,"PASS","FAIL"))</f>
        <v/>
      </c>
      <c r="H41" t="inlineStr">
        <is>
          <t xml:space="preserve">DCF_INTC!E29</t>
        </is>
      </c>
    </row>
    <row r="42">
      <c r="A42" t="inlineStr">
        <is>
          <t xml:space="preserve">FCF Year 4</t>
        </is>
      </c>
      <c r="B42" s="6">
        <v>-313592989.17824495</v>
      </c>
      <c r="C42" s="6">
        <v>-313366866.4034153</v>
      </c>
      <c r="D42" s="8">
        <f>ABS(B42-C42)</f>
        <v>226122.77482962608</v>
      </c>
      <c r="E42" s="7">
        <f>IF(C42=0,"n/a (zero denom)",D42/ABS(C42))</f>
        <v>0.0007215912053016005</v>
      </c>
      <c r="F42" s="7">
        <f>'Tolerances'!$B$6</f>
        <v>0.001</v>
      </c>
      <c r="G42" t="str">
        <f>IF(C42=0,IF(D42&lt;=0.000001,"PASS","FAIL"),IF(E42&lt;=F42,"PASS","FAIL"))</f>
        <v/>
      </c>
      <c r="H42" t="inlineStr">
        <is>
          <t xml:space="preserve">DCF_INTC!F29</t>
        </is>
      </c>
    </row>
    <row r="43">
      <c r="A43" t="inlineStr">
        <is>
          <t xml:space="preserve">FCF Year 5</t>
        </is>
      </c>
      <c r="B43" s="6">
        <v>-283631006.38797045</v>
      </c>
      <c r="C43" s="6">
        <v>-283387528.37411445</v>
      </c>
      <c r="D43" s="8">
        <f>ABS(B43-C43)</f>
        <v>243478.01385599375</v>
      </c>
      <c r="E43" s="7">
        <f>IF(C43=0,"n/a (zero denom)",D43/ABS(C43))</f>
        <v>0.0008591698274546715</v>
      </c>
      <c r="F43" s="7">
        <f>'Tolerances'!$B$6</f>
        <v>0.001</v>
      </c>
      <c r="G43" t="str">
        <f>IF(C43=0,IF(D43&lt;=0.000001,"PASS","FAIL"),IF(E43&lt;=F43,"PASS","FAIL"))</f>
        <v/>
      </c>
      <c r="H43" t="inlineStr">
        <is>
          <t xml:space="preserve">DCF_INTC!G29</t>
        </is>
      </c>
    </row>
    <row r="44">
      <c r="A44" t="inlineStr">
        <is>
          <t xml:space="preserve">Terminal Value</t>
        </is>
      </c>
      <c r="B44" s="6">
        <v>-2315651226.8237233</v>
      </c>
      <c r="C44" s="6">
        <v>-2313663397.042098</v>
      </c>
      <c r="D44" s="8">
        <f>ABS(B44-C44)</f>
        <v>1987829.7816252708</v>
      </c>
      <c r="E44" s="7">
        <f>IF(C44=0,"n/a (zero denom)",D44/ABS(C44))</f>
        <v>0.000859169827454854</v>
      </c>
      <c r="F44" s="7">
        <f>'Tolerances'!$B$7</f>
        <v>0.002</v>
      </c>
      <c r="G44" t="str">
        <f>IF(C44=0,IF(D44&lt;=0.000001,"PASS","FAIL"),IF(E44&lt;=F44,"PASS","FAIL"))</f>
        <v/>
      </c>
      <c r="H44" t="inlineStr">
        <is>
          <t xml:space="preserve">DCF_INTC!B32</t>
        </is>
      </c>
    </row>
    <row r="45">
      <c r="A45" t="inlineStr">
        <is>
          <t xml:space="preserve">PV of Explicit FCF (sum of pv_fcf series)</t>
        </is>
      </c>
      <c r="B45" s="6">
        <v>-1205260295.0809765</v>
      </c>
      <c r="C45" s="6">
        <v>-1204634587.5650587</v>
      </c>
      <c r="D45" s="8">
        <f>ABS(B45-C45)</f>
        <v>625707.515917778</v>
      </c>
      <c r="E45" s="7">
        <f>IF(C45=0,"n/a (zero denom)",D45/ABS(C45))</f>
        <v>0.0005194168608279192</v>
      </c>
      <c r="F45" s="7">
        <f>'Tolerances'!$B$8</f>
        <v>0.002</v>
      </c>
      <c r="G45" t="str">
        <f>IF(C45=0,IF(D45&lt;=0.000001,"PASS","FAIL"),IF(E45&lt;=F45,"PASS","FAIL"))</f>
        <v/>
      </c>
      <c r="H45" t="inlineStr">
        <is>
          <t xml:space="preserve">DCF_INTC!B37</t>
        </is>
      </c>
    </row>
    <row r="46">
      <c r="A46" t="inlineStr">
        <is>
          <t xml:space="preserve">PV of Terminal Value</t>
        </is>
      </c>
      <c r="B46" s="6">
        <v>-1148556522.3441927</v>
      </c>
      <c r="C46" s="6">
        <v>-1147570564.3404362</v>
      </c>
      <c r="D46" s="8">
        <f>ABS(B46-C46)</f>
        <v>985958.0037565231</v>
      </c>
      <c r="E46" s="7">
        <f>IF(C46=0,"n/a (zero denom)",D46/ABS(C46))</f>
        <v>0.0008591698274547505</v>
      </c>
      <c r="F46" s="7">
        <f>'Tolerances'!$B$9</f>
        <v>0.002</v>
      </c>
      <c r="G46" t="str">
        <f>IF(C46=0,IF(D46&lt;=0.000001,"PASS","FAIL"),IF(E46&lt;=F46,"PASS","FAIL"))</f>
        <v/>
      </c>
      <c r="H46" t="inlineStr">
        <is>
          <t xml:space="preserve">DCF_INTC!B38</t>
        </is>
      </c>
    </row>
    <row r="47">
      <c r="A47" t="inlineStr">
        <is>
          <t xml:space="preserve">Enterprise Value</t>
        </is>
      </c>
      <c r="B47" s="6">
        <v>-2353816817.425169</v>
      </c>
      <c r="C47" s="6">
        <v>-2352205151.9054947</v>
      </c>
      <c r="D47" s="8">
        <f>ABS(B47-C47)</f>
        <v>1611665.5196743011</v>
      </c>
      <c r="E47" s="7">
        <f>IF(C47=0,"n/a (zero denom)",D47/ABS(C47))</f>
        <v>0.0006851721748711881</v>
      </c>
      <c r="F47" s="7">
        <f>'Tolerances'!$B$10</f>
        <v>0.002</v>
      </c>
      <c r="G47" t="str">
        <f>IF(C47=0,IF(D47&lt;=0.000001,"PASS","FAIL"),IF(E47&lt;=F47,"PASS","FAIL"))</f>
        <v/>
      </c>
      <c r="H47" t="inlineStr">
        <is>
          <t xml:space="preserve">DCF_INTC!B39</t>
        </is>
      </c>
    </row>
    <row r="48">
      <c r="A48" t="inlineStr">
        <is>
          <t xml:space="preserve">Equity Value</t>
        </is>
      </c>
      <c r="B48" s="6">
        <v>-34673816817.42517</v>
      </c>
      <c r="C48" s="6">
        <v>-34672205151.905495</v>
      </c>
      <c r="D48" s="8">
        <f>ABS(B48-C48)</f>
        <v>1611665.5196762085</v>
      </c>
      <c r="E48" s="7">
        <f>IF(C48=0,"n/a (zero denom)",D48/ABS(C48))</f>
        <v>4.6482925231181485e-05</v>
      </c>
      <c r="F48" s="7">
        <f>'Tolerances'!$B$11</f>
        <v>0.002</v>
      </c>
      <c r="G48" t="str">
        <f>IF(C48=0,IF(D48&lt;=0.000001,"PASS","FAIL"),IF(E48&lt;=F48,"PASS","FAIL"))</f>
        <v/>
      </c>
      <c r="H48" t="inlineStr">
        <is>
          <t xml:space="preserve">DCF_INTC!B40</t>
        </is>
      </c>
    </row>
    <row r="49">
      <c r="A49" t="inlineStr">
        <is>
          <t xml:space="preserve">Intrinsic Value per Share</t>
        </is>
      </c>
      <c r="B49" s="6">
        <v>-6.55942609896238</v>
      </c>
      <c r="C49" s="6">
        <v>-6.559121211821509</v>
      </c>
      <c r="D49" s="8">
        <f>ABS(B49-C49)</f>
        <v>0.00030488714087084645</v>
      </c>
      <c r="E49" s="7">
        <f>IF(C49=0,"n/a (zero denom)",D49/ABS(C49))</f>
        <v>4.648292523110384e-05</v>
      </c>
      <c r="F49" s="7">
        <f>'Tolerances'!$B$12</f>
        <v>0.005</v>
      </c>
      <c r="G49" t="str">
        <f>IF(C49=0,IF(D49&lt;=0.000001,"PASS","FAIL"),IF(E49&lt;=F49,"PASS","FAIL"))</f>
        <v/>
      </c>
      <c r="H49" t="inlineStr">
        <is>
          <t xml:space="preserve">DCF_INTC!B41</t>
        </is>
      </c>
    </row>
    <row r="50">
      <c r="A50" s="3" t="inlineStr">
        <is>
          <t xml:space="preserve">-- VZ (Verizon Communications Inc.) --</t>
        </is>
      </c>
    </row>
    <row r="51">
      <c r="A51" t="inlineStr">
        <is>
          <t xml:space="preserve">Historical Revenue CAGR</t>
        </is>
      </c>
      <c r="B51" s="5">
        <v>0.008457873514414072</v>
      </c>
      <c r="C51" s="5">
        <v>0.008457873514414072</v>
      </c>
      <c r="D51" s="8">
        <f>ABS(B51-C51)</f>
        <v>0.0</v>
      </c>
      <c r="E51" s="7">
        <f>D51</f>
        <v>0.0</v>
      </c>
      <c r="F51" s="7">
        <f>'Tolerances'!$B$3</f>
        <v>0.0001</v>
      </c>
      <c r="G51" t="str">
        <f>IF(D51&lt;=F51,"PASS","FAIL")</f>
        <v/>
      </c>
      <c r="H51" t="inlineStr">
        <is>
          <t xml:space="preserve">DCF_VZ!B7</t>
        </is>
      </c>
    </row>
    <row r="52">
      <c r="A52" t="inlineStr">
        <is>
          <t xml:space="preserve">Historical average Operating Margin</t>
        </is>
      </c>
      <c r="B52" s="5">
        <v>0.21216289003447653</v>
      </c>
      <c r="C52" s="5">
        <v>0.21216289003447653</v>
      </c>
      <c r="D52" s="8">
        <f>ABS(B52-C52)</f>
        <v>0.0</v>
      </c>
      <c r="E52" s="7">
        <f>D52</f>
        <v>0.0</v>
      </c>
      <c r="F52" s="7">
        <f>'Tolerances'!$B$4</f>
        <v>0.0001</v>
      </c>
      <c r="G52" t="str">
        <f>IF(D52&lt;=F52,"PASS","FAIL")</f>
        <v/>
      </c>
      <c r="H52" t="inlineStr">
        <is>
          <t xml:space="preserve">DCF_VZ!B8</t>
        </is>
      </c>
    </row>
    <row r="53">
      <c r="A53" t="inlineStr">
        <is>
          <t xml:space="preserve">WACC (final, clamped [5%,20%])</t>
        </is>
      </c>
      <c r="B53" s="5">
        <v>0.05</v>
      </c>
      <c r="C53" s="5">
        <v>0.05</v>
      </c>
      <c r="D53" s="8">
        <f>ABS(B53-C53)</f>
        <v>0.0</v>
      </c>
      <c r="E53" s="7">
        <f>D53</f>
        <v>0.0</v>
      </c>
      <c r="F53" s="7">
        <f>'Tolerances'!$B$5</f>
        <v>0.0005</v>
      </c>
      <c r="G53" t="str">
        <f>IF(D53&lt;=F53,"PASS","FAIL")</f>
        <v/>
      </c>
      <c r="H53" t="inlineStr">
        <is>
          <t xml:space="preserve">DCF_VZ!B19</t>
        </is>
      </c>
    </row>
    <row r="54">
      <c r="A54" t="inlineStr">
        <is>
          <t xml:space="preserve">FCF Year 1</t>
        </is>
      </c>
      <c r="B54" s="6">
        <v>21557635393.014256</v>
      </c>
      <c r="C54" s="6">
        <v>21557635393.014256</v>
      </c>
      <c r="D54" s="8">
        <f>ABS(B54-C54)</f>
        <v>0.0</v>
      </c>
      <c r="E54" s="7">
        <f>IF(C54=0,"n/a (zero denom)",D54/ABS(C54))</f>
        <v>0.0</v>
      </c>
      <c r="F54" s="7">
        <f>'Tolerances'!$B$6</f>
        <v>0.001</v>
      </c>
      <c r="G54" t="str">
        <f>IF(C54=0,IF(D54&lt;=0.000001,"PASS","FAIL"),IF(E54&lt;=F54,"PASS","FAIL"))</f>
        <v/>
      </c>
      <c r="H54" t="inlineStr">
        <is>
          <t xml:space="preserve">DCF_VZ!C29</t>
        </is>
      </c>
    </row>
    <row r="55">
      <c r="A55" t="inlineStr">
        <is>
          <t xml:space="preserve">FCF Year 2</t>
        </is>
      </c>
      <c r="B55" s="6">
        <v>21739967146.438225</v>
      </c>
      <c r="C55" s="6">
        <v>21739967146.438225</v>
      </c>
      <c r="D55" s="8">
        <f>ABS(B55-C55)</f>
        <v>0.0</v>
      </c>
      <c r="E55" s="7">
        <f>IF(C55=0,"n/a (zero denom)",D55/ABS(C55))</f>
        <v>0.0</v>
      </c>
      <c r="F55" s="7">
        <f>'Tolerances'!$B$6</f>
        <v>0.001</v>
      </c>
      <c r="G55" t="str">
        <f>IF(C55=0,IF(D55&lt;=0.000001,"PASS","FAIL"),IF(E55&lt;=F55,"PASS","FAIL"))</f>
        <v/>
      </c>
      <c r="H55" t="inlineStr">
        <is>
          <t xml:space="preserve">DCF_VZ!D29</t>
        </is>
      </c>
    </row>
    <row r="56">
      <c r="A56" t="inlineStr">
        <is>
          <t xml:space="preserve">FCF Year 3</t>
        </is>
      </c>
      <c r="B56" s="6">
        <v>21923841038.770325</v>
      </c>
      <c r="C56" s="6">
        <v>21923841038.770325</v>
      </c>
      <c r="D56" s="8">
        <f>ABS(B56-C56)</f>
        <v>0.0</v>
      </c>
      <c r="E56" s="7">
        <f>IF(C56=0,"n/a (zero denom)",D56/ABS(C56))</f>
        <v>0.0</v>
      </c>
      <c r="F56" s="7">
        <f>'Tolerances'!$B$6</f>
        <v>0.001</v>
      </c>
      <c r="G56" t="str">
        <f>IF(C56=0,IF(D56&lt;=0.000001,"PASS","FAIL"),IF(E56&lt;=F56,"PASS","FAIL"))</f>
        <v/>
      </c>
      <c r="H56" t="inlineStr">
        <is>
          <t xml:space="preserve">DCF_VZ!E29</t>
        </is>
      </c>
    </row>
    <row r="57">
      <c r="A57" t="inlineStr">
        <is>
          <t xml:space="preserve">FCF Year 4</t>
        </is>
      </c>
      <c r="B57" s="6">
        <v>22109270113.22636</v>
      </c>
      <c r="C57" s="6">
        <v>22109270113.22636</v>
      </c>
      <c r="D57" s="8">
        <f>ABS(B57-C57)</f>
        <v>0.0</v>
      </c>
      <c r="E57" s="7">
        <f>IF(C57=0,"n/a (zero denom)",D57/ABS(C57))</f>
        <v>0.0</v>
      </c>
      <c r="F57" s="7">
        <f>'Tolerances'!$B$6</f>
        <v>0.001</v>
      </c>
      <c r="G57" t="str">
        <f>IF(C57=0,IF(D57&lt;=0.000001,"PASS","FAIL"),IF(E57&lt;=F57,"PASS","FAIL"))</f>
        <v/>
      </c>
      <c r="H57" t="inlineStr">
        <is>
          <t xml:space="preserve">DCF_VZ!F29</t>
        </is>
      </c>
    </row>
    <row r="58">
      <c r="A58" t="inlineStr">
        <is>
          <t xml:space="preserve">FCF Year 5</t>
        </is>
      </c>
      <c r="B58" s="6">
        <v>22296267523.340042</v>
      </c>
      <c r="C58" s="6">
        <v>22296267523.340042</v>
      </c>
      <c r="D58" s="8">
        <f>ABS(B58-C58)</f>
        <v>0.0</v>
      </c>
      <c r="E58" s="7">
        <f>IF(C58=0,"n/a (zero denom)",D58/ABS(C58))</f>
        <v>0.0</v>
      </c>
      <c r="F58" s="7">
        <f>'Tolerances'!$B$6</f>
        <v>0.001</v>
      </c>
      <c r="G58" t="str">
        <f>IF(C58=0,IF(D58&lt;=0.000001,"PASS","FAIL"),IF(E58&lt;=F58,"PASS","FAIL"))</f>
        <v/>
      </c>
      <c r="H58" t="inlineStr">
        <is>
          <t xml:space="preserve">DCF_VZ!G29</t>
        </is>
      </c>
    </row>
    <row r="59">
      <c r="A59" t="inlineStr">
        <is>
          <t xml:space="preserve">Terminal Value</t>
        </is>
      </c>
      <c r="B59" s="6">
        <v>914146968456.9417</v>
      </c>
      <c r="C59" s="6">
        <v>914146968456.9417</v>
      </c>
      <c r="D59" s="8">
        <f>ABS(B59-C59)</f>
        <v>0.0</v>
      </c>
      <c r="E59" s="7">
        <f>IF(C59=0,"n/a (zero denom)",D59/ABS(C59))</f>
        <v>0.0</v>
      </c>
      <c r="F59" s="7">
        <f>'Tolerances'!$B$7</f>
        <v>0.002</v>
      </c>
      <c r="G59" t="str">
        <f>IF(C59=0,IF(D59&lt;=0.000001,"PASS","FAIL"),IF(E59&lt;=F59,"PASS","FAIL"))</f>
        <v/>
      </c>
      <c r="H59" t="inlineStr">
        <is>
          <t xml:space="preserve">DCF_VZ!B32</t>
        </is>
      </c>
    </row>
    <row r="60">
      <c r="A60" t="inlineStr">
        <is>
          <t xml:space="preserve">PV of Explicit FCF (sum of pv_fcf series)</t>
        </is>
      </c>
      <c r="B60" s="6">
        <v>94847570839.83777</v>
      </c>
      <c r="C60" s="6">
        <v>94847570839.83777</v>
      </c>
      <c r="D60" s="8">
        <f>ABS(B60-C60)</f>
        <v>0.0</v>
      </c>
      <c r="E60" s="7">
        <f>IF(C60=0,"n/a (zero denom)",D60/ABS(C60))</f>
        <v>0.0</v>
      </c>
      <c r="F60" s="7">
        <f>'Tolerances'!$B$8</f>
        <v>0.002</v>
      </c>
      <c r="G60" t="str">
        <f>IF(C60=0,IF(D60&lt;=0.000001,"PASS","FAIL"),IF(E60&lt;=F60,"PASS","FAIL"))</f>
        <v/>
      </c>
      <c r="H60" t="inlineStr">
        <is>
          <t xml:space="preserve">DCF_VZ!B37</t>
        </is>
      </c>
    </row>
    <row r="61">
      <c r="A61" t="inlineStr">
        <is>
          <t xml:space="preserve">PV of Terminal Value</t>
        </is>
      </c>
      <c r="B61" s="6">
        <v>716258069783.8307</v>
      </c>
      <c r="C61" s="6">
        <v>716258069783.8307</v>
      </c>
      <c r="D61" s="8">
        <f>ABS(B61-C61)</f>
        <v>0.0</v>
      </c>
      <c r="E61" s="7">
        <f>IF(C61=0,"n/a (zero denom)",D61/ABS(C61))</f>
        <v>0.0</v>
      </c>
      <c r="F61" s="7">
        <f>'Tolerances'!$B$9</f>
        <v>0.002</v>
      </c>
      <c r="G61" t="str">
        <f>IF(C61=0,IF(D61&lt;=0.000001,"PASS","FAIL"),IF(E61&lt;=F61,"PASS","FAIL"))</f>
        <v/>
      </c>
      <c r="H61" t="inlineStr">
        <is>
          <t xml:space="preserve">DCF_VZ!B38</t>
        </is>
      </c>
    </row>
    <row r="62">
      <c r="A62" t="inlineStr">
        <is>
          <t xml:space="preserve">Enterprise Value</t>
        </is>
      </c>
      <c r="B62" s="6">
        <v>811105640623.6685</v>
      </c>
      <c r="C62" s="6">
        <v>811105640623.6685</v>
      </c>
      <c r="D62" s="8">
        <f>ABS(B62-C62)</f>
        <v>0.0</v>
      </c>
      <c r="E62" s="7">
        <f>IF(C62=0,"n/a (zero denom)",D62/ABS(C62))</f>
        <v>0.0</v>
      </c>
      <c r="F62" s="7">
        <f>'Tolerances'!$B$10</f>
        <v>0.002</v>
      </c>
      <c r="G62" t="str">
        <f>IF(C62=0,IF(D62&lt;=0.000001,"PASS","FAIL"),IF(E62&lt;=F62,"PASS","FAIL"))</f>
        <v/>
      </c>
      <c r="H62" t="inlineStr">
        <is>
          <t xml:space="preserve">DCF_VZ!B39</t>
        </is>
      </c>
    </row>
    <row r="63">
      <c r="A63" t="inlineStr">
        <is>
          <t xml:space="preserve">Equity Value</t>
        </is>
      </c>
      <c r="B63" s="6">
        <v>672003640623.6685</v>
      </c>
      <c r="C63" s="6">
        <v>672003640623.6685</v>
      </c>
      <c r="D63" s="8">
        <f>ABS(B63-C63)</f>
        <v>0.0</v>
      </c>
      <c r="E63" s="7">
        <f>IF(C63=0,"n/a (zero denom)",D63/ABS(C63))</f>
        <v>0.0</v>
      </c>
      <c r="F63" s="7">
        <f>'Tolerances'!$B$11</f>
        <v>0.002</v>
      </c>
      <c r="G63" t="str">
        <f>IF(C63=0,IF(D63&lt;=0.000001,"PASS","FAIL"),IF(E63&lt;=F63,"PASS","FAIL"))</f>
        <v/>
      </c>
      <c r="H63" t="inlineStr">
        <is>
          <t xml:space="preserve">DCF_VZ!B40</t>
        </is>
      </c>
    </row>
    <row r="64">
      <c r="A64" t="inlineStr">
        <is>
          <t xml:space="preserve">Intrinsic Value per Share</t>
        </is>
      </c>
      <c r="B64" s="6">
        <v>161.74247894330927</v>
      </c>
      <c r="C64" s="6">
        <v>161.74247894330927</v>
      </c>
      <c r="D64" s="8">
        <f>ABS(B64-C64)</f>
        <v>0.0</v>
      </c>
      <c r="E64" s="7">
        <f>IF(C64=0,"n/a (zero denom)",D64/ABS(C64))</f>
        <v>0.0</v>
      </c>
      <c r="F64" s="7">
        <f>'Tolerances'!$B$12</f>
        <v>0.005</v>
      </c>
      <c r="G64" t="str">
        <f>IF(C64=0,IF(D64&lt;=0.000001,"PASS","FAIL"),IF(E64&lt;=F64,"PASS","FAIL"))</f>
        <v/>
      </c>
      <c r="H64" t="inlineStr">
        <is>
          <t xml:space="preserve">DCF_VZ!B41</t>
        </is>
      </c>
    </row>
  </sheetData>
</worksheet>
</file>

<file path=xl/worksheets/sheet4.xml><?xml version="1.0" encoding="utf-8"?>
<worksheet xmlns="http://schemas.openxmlformats.org/spreadsheetml/2006/main">
  <dimension ref="A1:H26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MSFT (Microsoft Corporation)</t>
        </is>
      </c>
    </row>
    <row r="2">
      <c r="A2" s="10" t="inlineStr">
        <is>
          <t xml:space="preserve">All metrics within tolerance.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0.1374114735301586</v>
      </c>
      <c r="C5" s="5">
        <v>0.1374114735301586</v>
      </c>
      <c r="D5" s="8">
        <f>ABS(B5-C5)</f>
        <v>0.0</v>
      </c>
      <c r="E5" s="7">
        <f>D5</f>
        <v>0.0</v>
      </c>
      <c r="F5" s="7">
        <f>'Tolerances'!$B$3</f>
        <v>0.0001</v>
      </c>
      <c r="G5" t="str">
        <f>IF(D5&lt;=F5,"PASS","FAIL")</f>
        <v/>
      </c>
      <c r="H5" t="inlineStr">
        <is>
          <t xml:space="preserve">DCF_MSFT!B7</t>
        </is>
      </c>
    </row>
    <row r="6">
      <c r="A6" t="inlineStr">
        <is>
          <t xml:space="preserve">Historical average Operating Margin</t>
        </is>
      </c>
      <c r="B6" s="5">
        <v>0.4417504660304294</v>
      </c>
      <c r="C6" s="5">
        <v>0.4417504660304294</v>
      </c>
      <c r="D6" s="8">
        <f>ABS(B6-C6)</f>
        <v>0.0</v>
      </c>
      <c r="E6" s="7">
        <f>D6</f>
        <v>0.0</v>
      </c>
      <c r="F6" s="7">
        <f>'Tolerances'!$B$4</f>
        <v>0.0001</v>
      </c>
      <c r="G6" t="str">
        <f>IF(D6&lt;=F6,"PASS","FAIL")</f>
        <v/>
      </c>
      <c r="H6" t="inlineStr">
        <is>
          <t xml:space="preserve">DCF_MSFT!B8</t>
        </is>
      </c>
    </row>
    <row r="7">
      <c r="A7" t="inlineStr">
        <is>
          <t xml:space="preserve">WACC (final, clamped [5%,20%])</t>
        </is>
      </c>
      <c r="B7" s="5">
        <v>0.1000042158780718</v>
      </c>
      <c r="C7" s="5">
        <v>0.1000042158780718</v>
      </c>
      <c r="D7" s="8">
        <f>ABS(B7-C7)</f>
        <v>0.0</v>
      </c>
      <c r="E7" s="7">
        <f>D7</f>
        <v>0.0</v>
      </c>
      <c r="F7" s="7">
        <f>'Tolerances'!$B$5</f>
        <v>0.0005</v>
      </c>
      <c r="G7" t="str">
        <f>IF(D7&lt;=F7,"PASS","FAIL")</f>
        <v/>
      </c>
      <c r="H7" t="inlineStr">
        <is>
          <t xml:space="preserve">DCF_MSFT!B19</t>
        </is>
      </c>
    </row>
    <row r="8">
      <c r="A8" t="inlineStr">
        <is>
          <t xml:space="preserve">FCF Year 1</t>
        </is>
      </c>
      <c r="B8" s="6">
        <v>130162813492.17007</v>
      </c>
      <c r="C8" s="6">
        <v>130162813492.17007</v>
      </c>
      <c r="D8" s="8">
        <f>ABS(B8-C8)</f>
        <v>0.0</v>
      </c>
      <c r="E8" s="7">
        <f>IF(C8=0,"n/a (zero denom)",D8/ABS(C8))</f>
        <v>0.0</v>
      </c>
      <c r="F8" s="7">
        <f>'Tolerances'!$B$6</f>
        <v>0.001</v>
      </c>
      <c r="G8" t="str">
        <f>IF(C8=0,IF(D8&lt;=0.000001,"PASS","FAIL"),IF(E8&lt;=F8,"PASS","FAIL"))</f>
        <v/>
      </c>
      <c r="H8" t="inlineStr">
        <is>
          <t xml:space="preserve">DCF_MSFT!C29</t>
        </is>
      </c>
    </row>
    <row r="9">
      <c r="A9" t="inlineStr">
        <is>
          <t xml:space="preserve">FCF Year 2</t>
        </is>
      </c>
      <c r="B9" s="6">
        <v>148048677492.96033</v>
      </c>
      <c r="C9" s="6">
        <v>148048677492.96033</v>
      </c>
      <c r="D9" s="8">
        <f>ABS(B9-C9)</f>
        <v>0.0</v>
      </c>
      <c r="E9" s="7">
        <f>IF(C9=0,"n/a (zero denom)",D9/ABS(C9))</f>
        <v>0.0</v>
      </c>
      <c r="F9" s="7">
        <f>'Tolerances'!$B$6</f>
        <v>0.001</v>
      </c>
      <c r="G9" t="str">
        <f>IF(C9=0,IF(D9&lt;=0.000001,"PASS","FAIL"),IF(E9&lt;=F9,"PASS","FAIL"))</f>
        <v/>
      </c>
      <c r="H9" t="inlineStr">
        <is>
          <t xml:space="preserve">DCF_MSFT!D29</t>
        </is>
      </c>
    </row>
    <row r="10">
      <c r="A10" t="inlineStr">
        <is>
          <t xml:space="preserve">FCF Year 3</t>
        </is>
      </c>
      <c r="B10" s="6">
        <v>168392264421.45926</v>
      </c>
      <c r="C10" s="6">
        <v>168392264421.45926</v>
      </c>
      <c r="D10" s="8">
        <f>ABS(B10-C10)</f>
        <v>0.0</v>
      </c>
      <c r="E10" s="7">
        <f>IF(C10=0,"n/a (zero denom)",D10/ABS(C10))</f>
        <v>0.0</v>
      </c>
      <c r="F10" s="7">
        <f>'Tolerances'!$B$6</f>
        <v>0.001</v>
      </c>
      <c r="G10" t="str">
        <f>IF(C10=0,IF(D10&lt;=0.000001,"PASS","FAIL"),IF(E10&lt;=F10,"PASS","FAIL"))</f>
        <v/>
      </c>
      <c r="H10" t="inlineStr">
        <is>
          <t xml:space="preserve">DCF_MSFT!E29</t>
        </is>
      </c>
    </row>
    <row r="11">
      <c r="A11" t="inlineStr">
        <is>
          <t xml:space="preserve">FCF Year 4</t>
        </is>
      </c>
      <c r="B11" s="6">
        <v>191531293606.69208</v>
      </c>
      <c r="C11" s="6">
        <v>191531293606.69208</v>
      </c>
      <c r="D11" s="8">
        <f>ABS(B11-C11)</f>
        <v>0.0</v>
      </c>
      <c r="E11" s="7">
        <f>IF(C11=0,"n/a (zero denom)",D11/ABS(C11))</f>
        <v>0.0</v>
      </c>
      <c r="F11" s="7">
        <f>'Tolerances'!$B$6</f>
        <v>0.001</v>
      </c>
      <c r="G11" t="str">
        <f>IF(C11=0,IF(D11&lt;=0.000001,"PASS","FAIL"),IF(E11&lt;=F11,"PASS","FAIL"))</f>
        <v/>
      </c>
      <c r="H11" t="inlineStr">
        <is>
          <t xml:space="preserve">DCF_MSFT!F29</t>
        </is>
      </c>
    </row>
    <row r="12">
      <c r="A12" t="inlineStr">
        <is>
          <t xml:space="preserve">FCF Year 5</t>
        </is>
      </c>
      <c r="B12" s="6">
        <v>217849890888.32507</v>
      </c>
      <c r="C12" s="6">
        <v>217849890888.32507</v>
      </c>
      <c r="D12" s="8">
        <f>ABS(B12-C12)</f>
        <v>0.0</v>
      </c>
      <c r="E12" s="7">
        <f>IF(C12=0,"n/a (zero denom)",D12/ABS(C12))</f>
        <v>0.0</v>
      </c>
      <c r="F12" s="7">
        <f>'Tolerances'!$B$6</f>
        <v>0.001</v>
      </c>
      <c r="G12" t="str">
        <f>IF(C12=0,IF(D12&lt;=0.000001,"PASS","FAIL"),IF(E12&lt;=F12,"PASS","FAIL"))</f>
        <v/>
      </c>
      <c r="H12" t="inlineStr">
        <is>
          <t xml:space="preserve">DCF_MSFT!G29</t>
        </is>
      </c>
    </row>
    <row r="13">
      <c r="A13" t="inlineStr">
        <is>
          <t xml:space="preserve">Terminal Value</t>
        </is>
      </c>
      <c r="B13" s="6">
        <v>2977114493450.9736</v>
      </c>
      <c r="C13" s="6">
        <v>2977114493450.9736</v>
      </c>
      <c r="D13" s="8">
        <f>ABS(B13-C13)</f>
        <v>0.0</v>
      </c>
      <c r="E13" s="7">
        <f>IF(C13=0,"n/a (zero denom)",D13/ABS(C13))</f>
        <v>0.0</v>
      </c>
      <c r="F13" s="7">
        <f>'Tolerances'!$B$7</f>
        <v>0.002</v>
      </c>
      <c r="G13" t="str">
        <f>IF(C13=0,IF(D13&lt;=0.000001,"PASS","FAIL"),IF(E13&lt;=F13,"PASS","FAIL"))</f>
        <v/>
      </c>
      <c r="H13" t="inlineStr">
        <is>
          <t xml:space="preserve">DCF_MSFT!B32</t>
        </is>
      </c>
    </row>
    <row r="14">
      <c r="A14" t="inlineStr">
        <is>
          <t xml:space="preserve">PV of Explicit FCF (sum of pv_fcf series)</t>
        </is>
      </c>
      <c r="B14" s="6">
        <v>633278359490.3066</v>
      </c>
      <c r="C14" s="6">
        <v>633278359490.3066</v>
      </c>
      <c r="D14" s="8">
        <f>ABS(B14-C14)</f>
        <v>0.0</v>
      </c>
      <c r="E14" s="7">
        <f>IF(C14=0,"n/a (zero denom)",D14/ABS(C14))</f>
        <v>0.0</v>
      </c>
      <c r="F14" s="7">
        <f>'Tolerances'!$B$8</f>
        <v>0.002</v>
      </c>
      <c r="G14" t="str">
        <f>IF(C14=0,IF(D14&lt;=0.000001,"PASS","FAIL"),IF(E14&lt;=F14,"PASS","FAIL"))</f>
        <v/>
      </c>
      <c r="H14" t="inlineStr">
        <is>
          <t xml:space="preserve">DCF_MSFT!B37</t>
        </is>
      </c>
    </row>
    <row r="15">
      <c r="A15" t="inlineStr">
        <is>
          <t xml:space="preserve">PV of Terminal Value</t>
        </is>
      </c>
      <c r="B15" s="6">
        <v>1848518446589.798</v>
      </c>
      <c r="C15" s="6">
        <v>1848518446589.798</v>
      </c>
      <c r="D15" s="8">
        <f>ABS(B15-C15)</f>
        <v>0.0</v>
      </c>
      <c r="E15" s="7">
        <f>IF(C15=0,"n/a (zero denom)",D15/ABS(C15))</f>
        <v>0.0</v>
      </c>
      <c r="F15" s="7">
        <f>'Tolerances'!$B$9</f>
        <v>0.002</v>
      </c>
      <c r="G15" t="str">
        <f>IF(C15=0,IF(D15&lt;=0.000001,"PASS","FAIL"),IF(E15&lt;=F15,"PASS","FAIL"))</f>
        <v/>
      </c>
      <c r="H15" t="inlineStr">
        <is>
          <t xml:space="preserve">DCF_MSFT!B38</t>
        </is>
      </c>
    </row>
    <row r="16">
      <c r="A16" t="inlineStr">
        <is>
          <t xml:space="preserve">Enterprise Value</t>
        </is>
      </c>
      <c r="B16" s="6">
        <v>2481796806080.1045</v>
      </c>
      <c r="C16" s="6">
        <v>2481796806080.1045</v>
      </c>
      <c r="D16" s="8">
        <f>ABS(B16-C16)</f>
        <v>0.0</v>
      </c>
      <c r="E16" s="7">
        <f>IF(C16=0,"n/a (zero denom)",D16/ABS(C16))</f>
        <v>0.0</v>
      </c>
      <c r="F16" s="7">
        <f>'Tolerances'!$B$10</f>
        <v>0.002</v>
      </c>
      <c r="G16" t="str">
        <f>IF(C16=0,IF(D16&lt;=0.000001,"PASS","FAIL"),IF(E16&lt;=F16,"PASS","FAIL"))</f>
        <v/>
      </c>
      <c r="H16" t="inlineStr">
        <is>
          <t xml:space="preserve">DCF_MSFT!B39</t>
        </is>
      </c>
    </row>
    <row r="17">
      <c r="A17" t="inlineStr">
        <is>
          <t xml:space="preserve">Equity Value</t>
        </is>
      </c>
      <c r="B17" s="6">
        <v>2462437806080.1045</v>
      </c>
      <c r="C17" s="6">
        <v>2462437806080.1045</v>
      </c>
      <c r="D17" s="8">
        <f>ABS(B17-C17)</f>
        <v>0.0</v>
      </c>
      <c r="E17" s="7">
        <f>IF(C17=0,"n/a (zero denom)",D17/ABS(C17))</f>
        <v>0.0</v>
      </c>
      <c r="F17" s="7">
        <f>'Tolerances'!$B$11</f>
        <v>0.002</v>
      </c>
      <c r="G17" t="str">
        <f>IF(C17=0,IF(D17&lt;=0.000001,"PASS","FAIL"),IF(E17&lt;=F17,"PASS","FAIL"))</f>
        <v/>
      </c>
      <c r="H17" t="inlineStr">
        <is>
          <t xml:space="preserve">DCF_MSFT!B40</t>
        </is>
      </c>
    </row>
    <row r="18">
      <c r="A18" t="inlineStr">
        <is>
          <t xml:space="preserve">Intrinsic Value per Share</t>
        </is>
      </c>
      <c r="B18" s="6">
        <v>331.61709251726467</v>
      </c>
      <c r="C18" s="6">
        <v>331.61709251726467</v>
      </c>
      <c r="D18" s="8">
        <f>ABS(B18-C18)</f>
        <v>0.0</v>
      </c>
      <c r="E18" s="7">
        <f>IF(C18=0,"n/a (zero denom)",D18/ABS(C18))</f>
        <v>0.0</v>
      </c>
      <c r="F18" s="7">
        <f>'Tolerances'!$B$12</f>
        <v>0.005</v>
      </c>
      <c r="G18" t="str">
        <f>IF(C18=0,IF(D18&lt;=0.000001,"PASS","FAIL"),IF(E18&lt;=F18,"PASS","FAIL"))</f>
        <v/>
      </c>
      <c r="H18" t="inlineStr">
        <is>
          <t xml:space="preserve">DCF_MSFT!B41</t>
        </is>
      </c>
    </row>
    <row r="20">
      <c r="A20" s="3" t="inlineStr">
        <is>
          <t xml:space="preserve">Sensitivity reconciliation summary (full grid in the Sensitivity Reconciliation sheet)</t>
        </is>
      </c>
    </row>
    <row r="21">
      <c r="A21" s="2" t="inlineStr">
        <is>
          <t xml:space="preserve">Table</t>
        </is>
      </c>
      <c r="B21" s="2" t="inlineStr">
        <is>
          <t xml:space="preserve">Cells</t>
        </is>
      </c>
      <c r="C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6">
        <v>7</v>
      </c>
      <c r="C22" s="4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6">
        <v>7</v>
      </c>
      <c r="C23" s="4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6">
        <v>8</v>
      </c>
      <c r="C24" s="4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6">
        <v>7</v>
      </c>
      <c r="C25" s="4" t="inlineStr">
        <is>
          <t xml:space="preserve">PASS</t>
        </is>
      </c>
    </row>
    <row r="26">
      <c r="A26" t="inlineStr">
        <is>
          <t xml:space="preserve">Table 5 -- WACC x g two-way grid</t>
        </is>
      </c>
      <c r="B26" s="6">
        <v>36</v>
      </c>
      <c r="C26" s="4" t="inlineStr">
        <is>
          <t xml:space="preserve">PASS</t>
        </is>
      </c>
    </row>
  </sheetData>
</worksheet>
</file>

<file path=xl/worksheets/sheet5.xml><?xml version="1.0" encoding="utf-8"?>
<worksheet xmlns="http://schemas.openxmlformats.org/spreadsheetml/2006/main">
  <dimension ref="A1:H26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CAT (Caterpillar Inc.)</t>
        </is>
      </c>
    </row>
    <row r="2">
      <c r="A2" s="10" t="inlineStr">
        <is>
          <t xml:space="preserve">All metrics within tolerance.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0.073095112192894</v>
      </c>
      <c r="C5" s="5">
        <v>0.073095112192894</v>
      </c>
      <c r="D5" s="8">
        <f>ABS(B5-C5)</f>
        <v>0.0</v>
      </c>
      <c r="E5" s="7">
        <f>D5</f>
        <v>0.0</v>
      </c>
      <c r="F5" s="7">
        <f>'Tolerances'!$B$3</f>
        <v>0.0001</v>
      </c>
      <c r="G5" t="str">
        <f>IF(D5&lt;=F5,"PASS","FAIL")</f>
        <v/>
      </c>
      <c r="H5" t="inlineStr">
        <is>
          <t xml:space="preserve">DCF_CAT!B7</t>
        </is>
      </c>
    </row>
    <row r="6">
      <c r="A6" t="inlineStr">
        <is>
          <t xml:space="preserve">Historical average Operating Margin</t>
        </is>
      </c>
      <c r="B6" s="5">
        <v>0.1655950160952213</v>
      </c>
      <c r="C6" s="5">
        <v>0.1655950160952213</v>
      </c>
      <c r="D6" s="8">
        <f>ABS(B6-C6)</f>
        <v>0.0</v>
      </c>
      <c r="E6" s="7">
        <f>D6</f>
        <v>0.0</v>
      </c>
      <c r="F6" s="7">
        <f>'Tolerances'!$B$4</f>
        <v>0.0001</v>
      </c>
      <c r="G6" t="str">
        <f>IF(D6&lt;=F6,"PASS","FAIL")</f>
        <v/>
      </c>
      <c r="H6" t="inlineStr">
        <is>
          <t xml:space="preserve">DCF_CAT!B8</t>
        </is>
      </c>
    </row>
    <row r="7">
      <c r="A7" t="inlineStr">
        <is>
          <t xml:space="preserve">WACC (final, clamped [5%,20%])</t>
        </is>
      </c>
      <c r="B7" s="5">
        <v>0.12095875169517725</v>
      </c>
      <c r="C7" s="5">
        <v>0.12095875169517725</v>
      </c>
      <c r="D7" s="8">
        <f>ABS(B7-C7)</f>
        <v>0.0</v>
      </c>
      <c r="E7" s="7">
        <f>D7</f>
        <v>0.0</v>
      </c>
      <c r="F7" s="7">
        <f>'Tolerances'!$B$5</f>
        <v>0.0005</v>
      </c>
      <c r="G7" t="str">
        <f>IF(D7&lt;=F7,"PASS","FAIL")</f>
        <v/>
      </c>
      <c r="H7" t="inlineStr">
        <is>
          <t xml:space="preserve">DCF_CAT!B19</t>
        </is>
      </c>
    </row>
    <row r="8">
      <c r="A8" t="inlineStr">
        <is>
          <t xml:space="preserve">FCF Year 1</t>
        </is>
      </c>
      <c r="B8" s="6">
        <v>8355205000.088836</v>
      </c>
      <c r="C8" s="6">
        <v>8355205000.088836</v>
      </c>
      <c r="D8" s="8">
        <f>ABS(B8-C8)</f>
        <v>0.0</v>
      </c>
      <c r="E8" s="7">
        <f>IF(C8=0,"n/a (zero denom)",D8/ABS(C8))</f>
        <v>0.0</v>
      </c>
      <c r="F8" s="7">
        <f>'Tolerances'!$B$6</f>
        <v>0.001</v>
      </c>
      <c r="G8" t="str">
        <f>IF(C8=0,IF(D8&lt;=0.000001,"PASS","FAIL"),IF(E8&lt;=F8,"PASS","FAIL"))</f>
        <v/>
      </c>
      <c r="H8" t="inlineStr">
        <is>
          <t xml:space="preserve">DCF_CAT!C29</t>
        </is>
      </c>
    </row>
    <row r="9">
      <c r="A9" t="inlineStr">
        <is>
          <t xml:space="preserve">FCF Year 2</t>
        </is>
      </c>
      <c r="B9" s="6">
        <v>8965929646.96496</v>
      </c>
      <c r="C9" s="6">
        <v>8965929646.96496</v>
      </c>
      <c r="D9" s="8">
        <f>ABS(B9-C9)</f>
        <v>0.0</v>
      </c>
      <c r="E9" s="7">
        <f>IF(C9=0,"n/a (zero denom)",D9/ABS(C9))</f>
        <v>0.0</v>
      </c>
      <c r="F9" s="7">
        <f>'Tolerances'!$B$6</f>
        <v>0.001</v>
      </c>
      <c r="G9" t="str">
        <f>IF(C9=0,IF(D9&lt;=0.000001,"PASS","FAIL"),IF(E9&lt;=F9,"PASS","FAIL"))</f>
        <v/>
      </c>
      <c r="H9" t="inlineStr">
        <is>
          <t xml:space="preserve">DCF_CAT!D29</t>
        </is>
      </c>
    </row>
    <row r="10">
      <c r="A10" t="inlineStr">
        <is>
          <t xml:space="preserve">FCF Year 3</t>
        </is>
      </c>
      <c r="B10" s="6">
        <v>9621295280.423456</v>
      </c>
      <c r="C10" s="6">
        <v>9621295280.423456</v>
      </c>
      <c r="D10" s="8">
        <f>ABS(B10-C10)</f>
        <v>0.0</v>
      </c>
      <c r="E10" s="7">
        <f>IF(C10=0,"n/a (zero denom)",D10/ABS(C10))</f>
        <v>0.0</v>
      </c>
      <c r="F10" s="7">
        <f>'Tolerances'!$B$6</f>
        <v>0.001</v>
      </c>
      <c r="G10" t="str">
        <f>IF(C10=0,IF(D10&lt;=0.000001,"PASS","FAIL"),IF(E10&lt;=F10,"PASS","FAIL"))</f>
        <v/>
      </c>
      <c r="H10" t="inlineStr">
        <is>
          <t xml:space="preserve">DCF_CAT!E29</t>
        </is>
      </c>
    </row>
    <row r="11">
      <c r="A11" t="inlineStr">
        <is>
          <t xml:space="preserve">FCF Year 4</t>
        </is>
      </c>
      <c r="B11" s="6">
        <v>10324564938.386972</v>
      </c>
      <c r="C11" s="6">
        <v>10324564938.386972</v>
      </c>
      <c r="D11" s="8">
        <f>ABS(B11-C11)</f>
        <v>0.0</v>
      </c>
      <c r="E11" s="7">
        <f>IF(C11=0,"n/a (zero denom)",D11/ABS(C11))</f>
        <v>0.0</v>
      </c>
      <c r="F11" s="7">
        <f>'Tolerances'!$B$6</f>
        <v>0.001</v>
      </c>
      <c r="G11" t="str">
        <f>IF(C11=0,IF(D11&lt;=0.000001,"PASS","FAIL"),IF(E11&lt;=F11,"PASS","FAIL"))</f>
        <v/>
      </c>
      <c r="H11" t="inlineStr">
        <is>
          <t xml:space="preserve">DCF_CAT!F29</t>
        </is>
      </c>
    </row>
    <row r="12">
      <c r="A12" t="inlineStr">
        <is>
          <t xml:space="preserve">FCF Year 5</t>
        </is>
      </c>
      <c r="B12" s="6">
        <v>11079240170.901186</v>
      </c>
      <c r="C12" s="6">
        <v>11079240170.901186</v>
      </c>
      <c r="D12" s="8">
        <f>ABS(B12-C12)</f>
        <v>0.0</v>
      </c>
      <c r="E12" s="7">
        <f>IF(C12=0,"n/a (zero denom)",D12/ABS(C12))</f>
        <v>0.0</v>
      </c>
      <c r="F12" s="7">
        <f>'Tolerances'!$B$6</f>
        <v>0.001</v>
      </c>
      <c r="G12" t="str">
        <f>IF(C12=0,IF(D12&lt;=0.000001,"PASS","FAIL"),IF(E12&lt;=F12,"PASS","FAIL"))</f>
        <v/>
      </c>
      <c r="H12" t="inlineStr">
        <is>
          <t xml:space="preserve">DCF_CAT!G29</t>
        </is>
      </c>
    </row>
    <row r="13">
      <c r="A13" t="inlineStr">
        <is>
          <t xml:space="preserve">Terminal Value</t>
        </is>
      </c>
      <c r="B13" s="6">
        <v>118344819774.72891</v>
      </c>
      <c r="C13" s="6">
        <v>118344819774.72891</v>
      </c>
      <c r="D13" s="8">
        <f>ABS(B13-C13)</f>
        <v>0.0</v>
      </c>
      <c r="E13" s="7">
        <f>IF(C13=0,"n/a (zero denom)",D13/ABS(C13))</f>
        <v>0.0</v>
      </c>
      <c r="F13" s="7">
        <f>'Tolerances'!$B$7</f>
        <v>0.002</v>
      </c>
      <c r="G13" t="str">
        <f>IF(C13=0,IF(D13&lt;=0.000001,"PASS","FAIL"),IF(E13&lt;=F13,"PASS","FAIL"))</f>
        <v/>
      </c>
      <c r="H13" t="inlineStr">
        <is>
          <t xml:space="preserve">DCF_CAT!B32</t>
        </is>
      </c>
    </row>
    <row r="14">
      <c r="A14" t="inlineStr">
        <is>
          <t xml:space="preserve">PV of Explicit FCF (sum of pv_fcf series)</t>
        </is>
      </c>
      <c r="B14" s="6">
        <v>34218526042.022396</v>
      </c>
      <c r="C14" s="6">
        <v>34218526042.022396</v>
      </c>
      <c r="D14" s="8">
        <f>ABS(B14-C14)</f>
        <v>0.0</v>
      </c>
      <c r="E14" s="7">
        <f>IF(C14=0,"n/a (zero denom)",D14/ABS(C14))</f>
        <v>0.0</v>
      </c>
      <c r="F14" s="7">
        <f>'Tolerances'!$B$8</f>
        <v>0.002</v>
      </c>
      <c r="G14" t="str">
        <f>IF(C14=0,IF(D14&lt;=0.000001,"PASS","FAIL"),IF(E14&lt;=F14,"PASS","FAIL"))</f>
        <v/>
      </c>
      <c r="H14" t="inlineStr">
        <is>
          <t xml:space="preserve">DCF_CAT!B37</t>
        </is>
      </c>
    </row>
    <row r="15">
      <c r="A15" t="inlineStr">
        <is>
          <t xml:space="preserve">PV of Terminal Value</t>
        </is>
      </c>
      <c r="B15" s="6">
        <v>66865345437.2181</v>
      </c>
      <c r="C15" s="6">
        <v>66865345437.2181</v>
      </c>
      <c r="D15" s="8">
        <f>ABS(B15-C15)</f>
        <v>0.0</v>
      </c>
      <c r="E15" s="7">
        <f>IF(C15=0,"n/a (zero denom)",D15/ABS(C15))</f>
        <v>0.0</v>
      </c>
      <c r="F15" s="7">
        <f>'Tolerances'!$B$9</f>
        <v>0.002</v>
      </c>
      <c r="G15" t="str">
        <f>IF(C15=0,IF(D15&lt;=0.000001,"PASS","FAIL"),IF(E15&lt;=F15,"PASS","FAIL"))</f>
        <v/>
      </c>
      <c r="H15" t="inlineStr">
        <is>
          <t xml:space="preserve">DCF_CAT!B38</t>
        </is>
      </c>
    </row>
    <row r="16">
      <c r="A16" t="inlineStr">
        <is>
          <t xml:space="preserve">Enterprise Value</t>
        </is>
      </c>
      <c r="B16" s="6">
        <v>101083871479.2405</v>
      </c>
      <c r="C16" s="6">
        <v>101083871479.2405</v>
      </c>
      <c r="D16" s="8">
        <f>ABS(B16-C16)</f>
        <v>0.0</v>
      </c>
      <c r="E16" s="7">
        <f>IF(C16=0,"n/a (zero denom)",D16/ABS(C16))</f>
        <v>0.0</v>
      </c>
      <c r="F16" s="7">
        <f>'Tolerances'!$B$10</f>
        <v>0.002</v>
      </c>
      <c r="G16" t="str">
        <f>IF(C16=0,IF(D16&lt;=0.000001,"PASS","FAIL"),IF(E16&lt;=F16,"PASS","FAIL"))</f>
        <v/>
      </c>
      <c r="H16" t="inlineStr">
        <is>
          <t xml:space="preserve">DCF_CAT!B39</t>
        </is>
      </c>
    </row>
    <row r="17">
      <c r="A17" t="inlineStr">
        <is>
          <t xml:space="preserve">Equity Value</t>
        </is>
      </c>
      <c r="B17" s="6">
        <v>74853871479.2405</v>
      </c>
      <c r="C17" s="6">
        <v>74853871479.2405</v>
      </c>
      <c r="D17" s="8">
        <f>ABS(B17-C17)</f>
        <v>0.0</v>
      </c>
      <c r="E17" s="7">
        <f>IF(C17=0,"n/a (zero denom)",D17/ABS(C17))</f>
        <v>0.0</v>
      </c>
      <c r="F17" s="7">
        <f>'Tolerances'!$B$11</f>
        <v>0.002</v>
      </c>
      <c r="G17" t="str">
        <f>IF(C17=0,IF(D17&lt;=0.000001,"PASS","FAIL"),IF(E17&lt;=F17,"PASS","FAIL"))</f>
        <v/>
      </c>
      <c r="H17" t="inlineStr">
        <is>
          <t xml:space="preserve">DCF_CAT!B40</t>
        </is>
      </c>
    </row>
    <row r="18">
      <c r="A18" t="inlineStr">
        <is>
          <t xml:space="preserve">Intrinsic Value per Share</t>
        </is>
      </c>
      <c r="B18" s="6">
        <v>162.84089749188038</v>
      </c>
      <c r="C18" s="6">
        <v>162.84089749188038</v>
      </c>
      <c r="D18" s="8">
        <f>ABS(B18-C18)</f>
        <v>0.0</v>
      </c>
      <c r="E18" s="7">
        <f>IF(C18=0,"n/a (zero denom)",D18/ABS(C18))</f>
        <v>0.0</v>
      </c>
      <c r="F18" s="7">
        <f>'Tolerances'!$B$12</f>
        <v>0.005</v>
      </c>
      <c r="G18" t="str">
        <f>IF(C18=0,IF(D18&lt;=0.000001,"PASS","FAIL"),IF(E18&lt;=F18,"PASS","FAIL"))</f>
        <v/>
      </c>
      <c r="H18" t="inlineStr">
        <is>
          <t xml:space="preserve">DCF_CAT!B41</t>
        </is>
      </c>
    </row>
    <row r="20">
      <c r="A20" s="3" t="inlineStr">
        <is>
          <t xml:space="preserve">Sensitivity reconciliation summary (full grid in the Sensitivity Reconciliation sheet)</t>
        </is>
      </c>
    </row>
    <row r="21">
      <c r="A21" s="2" t="inlineStr">
        <is>
          <t xml:space="preserve">Table</t>
        </is>
      </c>
      <c r="B21" s="2" t="inlineStr">
        <is>
          <t xml:space="preserve">Cells</t>
        </is>
      </c>
      <c r="C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6">
        <v>7</v>
      </c>
      <c r="C22" s="4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6">
        <v>7</v>
      </c>
      <c r="C23" s="4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6">
        <v>8</v>
      </c>
      <c r="C24" s="4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6">
        <v>7</v>
      </c>
      <c r="C25" s="4" t="inlineStr">
        <is>
          <t xml:space="preserve">PASS</t>
        </is>
      </c>
    </row>
    <row r="26">
      <c r="A26" t="inlineStr">
        <is>
          <t xml:space="preserve">Table 5 -- WACC x g two-way grid</t>
        </is>
      </c>
      <c r="B26" s="6">
        <v>36</v>
      </c>
      <c r="C26" s="4" t="inlineStr">
        <is>
          <t xml:space="preserve">PASS</t>
        </is>
      </c>
    </row>
  </sheetData>
</worksheet>
</file>

<file path=xl/worksheets/sheet6.xml><?xml version="1.0" encoding="utf-8"?>
<worksheet xmlns="http://schemas.openxmlformats.org/spreadsheetml/2006/main">
  <dimension ref="A1:H26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INTC (Intel Corporation)</t>
        </is>
      </c>
    </row>
    <row r="2">
      <c r="A2" s="10" t="inlineStr">
        <is>
          <t xml:space="preserve">First divergence: Historical Revenue CAGR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-0.09554417293826767</v>
      </c>
      <c r="C5" s="5">
        <v>-0.09566849990677329</v>
      </c>
      <c r="D5" s="8">
        <f>ABS(B5-C5)</f>
        <v>0.00012432696850561697</v>
      </c>
      <c r="E5" s="7">
        <f>D5</f>
        <v>0.00012432696850561697</v>
      </c>
      <c r="F5" s="7">
        <f>'Tolerances'!$B$3</f>
        <v>0.0001</v>
      </c>
      <c r="G5" t="str">
        <f>IF(D5&lt;=F5,"PASS","FAIL")</f>
        <v/>
      </c>
      <c r="H5" t="inlineStr">
        <is>
          <t xml:space="preserve">DCF_INTC!B7</t>
        </is>
      </c>
    </row>
    <row r="6">
      <c r="A6" t="inlineStr">
        <is>
          <t xml:space="preserve">Historical average Operating Margin</t>
        </is>
      </c>
      <c r="B6" s="5">
        <v>0.004624851749122934</v>
      </c>
      <c r="C6" s="5">
        <v>0.004624851749122934</v>
      </c>
      <c r="D6" s="8">
        <f>ABS(B6-C6)</f>
        <v>0.0</v>
      </c>
      <c r="E6" s="7">
        <f>D6</f>
        <v>0.0</v>
      </c>
      <c r="F6" s="7">
        <f>'Tolerances'!$B$4</f>
        <v>0.0001</v>
      </c>
      <c r="G6" t="str">
        <f>IF(D6&lt;=F6,"PASS","FAIL")</f>
        <v/>
      </c>
      <c r="H6" t="inlineStr">
        <is>
          <t xml:space="preserve">DCF_INTC!B8</t>
        </is>
      </c>
    </row>
    <row r="7">
      <c r="A7" t="inlineStr">
        <is>
          <t xml:space="preserve">WACC (final, clamped [5%,20%])</t>
        </is>
      </c>
      <c r="B7" s="5">
        <v>0.15054644593281</v>
      </c>
      <c r="C7" s="5">
        <v>0.15054644593281</v>
      </c>
      <c r="D7" s="8">
        <f>ABS(B7-C7)</f>
        <v>0.0</v>
      </c>
      <c r="E7" s="7">
        <f>D7</f>
        <v>0.0</v>
      </c>
      <c r="F7" s="7">
        <f>'Tolerances'!$B$5</f>
        <v>0.0005</v>
      </c>
      <c r="G7" t="str">
        <f>IF(D7&lt;=F7,"PASS","FAIL")</f>
        <v/>
      </c>
      <c r="H7" t="inlineStr">
        <is>
          <t xml:space="preserve">DCF_INTC!B19</t>
        </is>
      </c>
    </row>
    <row r="8">
      <c r="A8" t="inlineStr">
        <is>
          <t xml:space="preserve">FCF Year 1</t>
        </is>
      </c>
      <c r="B8" s="6">
        <v>-423842264.73515886</v>
      </c>
      <c r="C8" s="6">
        <v>-423711351.14820355</v>
      </c>
      <c r="D8" s="8">
        <f>ABS(B8-C8)</f>
        <v>130913.58695530891</v>
      </c>
      <c r="E8" s="7">
        <f>IF(C8=0,"n/a (zero denom)",D8/ABS(C8))</f>
        <v>0.0003089687982173474</v>
      </c>
      <c r="F8" s="7">
        <f>'Tolerances'!$B$6</f>
        <v>0.001</v>
      </c>
      <c r="G8" t="str">
        <f>IF(C8=0,IF(D8&lt;=0.000001,"PASS","FAIL"),IF(E8&lt;=F8,"PASS","FAIL"))</f>
        <v/>
      </c>
      <c r="H8" t="inlineStr">
        <is>
          <t xml:space="preserve">DCF_INTC!C29</t>
        </is>
      </c>
    </row>
    <row r="9">
      <c r="A9" t="inlineStr">
        <is>
          <t xml:space="preserve">FCF Year 2</t>
        </is>
      </c>
      <c r="B9" s="6">
        <v>-383346606.09475577</v>
      </c>
      <c r="C9" s="6">
        <v>-383175521.79038286</v>
      </c>
      <c r="D9" s="8">
        <f>ABS(B9-C9)</f>
        <v>171084.30437290668</v>
      </c>
      <c r="E9" s="7">
        <f>IF(C9=0,"n/a (zero denom)",D9/ABS(C9))</f>
        <v>0.00044649069328206925</v>
      </c>
      <c r="F9" s="7">
        <f>'Tolerances'!$B$6</f>
        <v>0.001</v>
      </c>
      <c r="G9" t="str">
        <f>IF(C9=0,IF(D9&lt;=0.000001,"PASS","FAIL"),IF(E9&lt;=F9,"PASS","FAIL"))</f>
        <v/>
      </c>
      <c r="H9" t="inlineStr">
        <is>
          <t xml:space="preserve">DCF_INTC!D29</t>
        </is>
      </c>
    </row>
    <row r="10">
      <c r="A10" t="inlineStr">
        <is>
          <t xml:space="preserve">FCF Year 3</t>
        </is>
      </c>
      <c r="B10" s="6">
        <v>-346720071.6667405</v>
      </c>
      <c r="C10" s="6">
        <v>-346517694.4197018</v>
      </c>
      <c r="D10" s="8">
        <f>ABS(B10-C10)</f>
        <v>202377.24703866243</v>
      </c>
      <c r="E10" s="7">
        <f>IF(C10=0,"n/a (zero denom)",D10/ABS(C10))</f>
        <v>0.0005840314947771277</v>
      </c>
      <c r="F10" s="7">
        <f>'Tolerances'!$B$6</f>
        <v>0.001</v>
      </c>
      <c r="G10" t="str">
        <f>IF(C10=0,IF(D10&lt;=0.000001,"PASS","FAIL"),IF(E10&lt;=F10,"PASS","FAIL"))</f>
        <v/>
      </c>
      <c r="H10" t="inlineStr">
        <is>
          <t xml:space="preserve">DCF_INTC!E29</t>
        </is>
      </c>
    </row>
    <row r="11">
      <c r="A11" t="inlineStr">
        <is>
          <t xml:space="preserve">FCF Year 4</t>
        </is>
      </c>
      <c r="B11" s="6">
        <v>-313592989.17824495</v>
      </c>
      <c r="C11" s="6">
        <v>-313366866.4034153</v>
      </c>
      <c r="D11" s="8">
        <f>ABS(B11-C11)</f>
        <v>226122.77482962608</v>
      </c>
      <c r="E11" s="7">
        <f>IF(C11=0,"n/a (zero denom)",D11/ABS(C11))</f>
        <v>0.0007215912053016005</v>
      </c>
      <c r="F11" s="7">
        <f>'Tolerances'!$B$6</f>
        <v>0.001</v>
      </c>
      <c r="G11" t="str">
        <f>IF(C11=0,IF(D11&lt;=0.000001,"PASS","FAIL"),IF(E11&lt;=F11,"PASS","FAIL"))</f>
        <v/>
      </c>
      <c r="H11" t="inlineStr">
        <is>
          <t xml:space="preserve">DCF_INTC!F29</t>
        </is>
      </c>
    </row>
    <row r="12">
      <c r="A12" t="inlineStr">
        <is>
          <t xml:space="preserve">FCF Year 5</t>
        </is>
      </c>
      <c r="B12" s="6">
        <v>-283631006.38797045</v>
      </c>
      <c r="C12" s="6">
        <v>-283387528.37411445</v>
      </c>
      <c r="D12" s="8">
        <f>ABS(B12-C12)</f>
        <v>243478.01385599375</v>
      </c>
      <c r="E12" s="7">
        <f>IF(C12=0,"n/a (zero denom)",D12/ABS(C12))</f>
        <v>0.0008591698274546715</v>
      </c>
      <c r="F12" s="7">
        <f>'Tolerances'!$B$6</f>
        <v>0.001</v>
      </c>
      <c r="G12" t="str">
        <f>IF(C12=0,IF(D12&lt;=0.000001,"PASS","FAIL"),IF(E12&lt;=F12,"PASS","FAIL"))</f>
        <v/>
      </c>
      <c r="H12" t="inlineStr">
        <is>
          <t xml:space="preserve">DCF_INTC!G29</t>
        </is>
      </c>
    </row>
    <row r="13">
      <c r="A13" t="inlineStr">
        <is>
          <t xml:space="preserve">Terminal Value</t>
        </is>
      </c>
      <c r="B13" s="6">
        <v>-2315651226.8237233</v>
      </c>
      <c r="C13" s="6">
        <v>-2313663397.042098</v>
      </c>
      <c r="D13" s="8">
        <f>ABS(B13-C13)</f>
        <v>1987829.7816252708</v>
      </c>
      <c r="E13" s="7">
        <f>IF(C13=0,"n/a (zero denom)",D13/ABS(C13))</f>
        <v>0.000859169827454854</v>
      </c>
      <c r="F13" s="7">
        <f>'Tolerances'!$B$7</f>
        <v>0.002</v>
      </c>
      <c r="G13" t="str">
        <f>IF(C13=0,IF(D13&lt;=0.000001,"PASS","FAIL"),IF(E13&lt;=F13,"PASS","FAIL"))</f>
        <v/>
      </c>
      <c r="H13" t="inlineStr">
        <is>
          <t xml:space="preserve">DCF_INTC!B32</t>
        </is>
      </c>
    </row>
    <row r="14">
      <c r="A14" t="inlineStr">
        <is>
          <t xml:space="preserve">PV of Explicit FCF (sum of pv_fcf series)</t>
        </is>
      </c>
      <c r="B14" s="6">
        <v>-1205260295.0809765</v>
      </c>
      <c r="C14" s="6">
        <v>-1204634587.5650587</v>
      </c>
      <c r="D14" s="8">
        <f>ABS(B14-C14)</f>
        <v>625707.515917778</v>
      </c>
      <c r="E14" s="7">
        <f>IF(C14=0,"n/a (zero denom)",D14/ABS(C14))</f>
        <v>0.0005194168608279192</v>
      </c>
      <c r="F14" s="7">
        <f>'Tolerances'!$B$8</f>
        <v>0.002</v>
      </c>
      <c r="G14" t="str">
        <f>IF(C14=0,IF(D14&lt;=0.000001,"PASS","FAIL"),IF(E14&lt;=F14,"PASS","FAIL"))</f>
        <v/>
      </c>
      <c r="H14" t="inlineStr">
        <is>
          <t xml:space="preserve">DCF_INTC!B37</t>
        </is>
      </c>
    </row>
    <row r="15">
      <c r="A15" t="inlineStr">
        <is>
          <t xml:space="preserve">PV of Terminal Value</t>
        </is>
      </c>
      <c r="B15" s="6">
        <v>-1148556522.3441927</v>
      </c>
      <c r="C15" s="6">
        <v>-1147570564.3404362</v>
      </c>
      <c r="D15" s="8">
        <f>ABS(B15-C15)</f>
        <v>985958.0037565231</v>
      </c>
      <c r="E15" s="7">
        <f>IF(C15=0,"n/a (zero denom)",D15/ABS(C15))</f>
        <v>0.0008591698274547505</v>
      </c>
      <c r="F15" s="7">
        <f>'Tolerances'!$B$9</f>
        <v>0.002</v>
      </c>
      <c r="G15" t="str">
        <f>IF(C15=0,IF(D15&lt;=0.000001,"PASS","FAIL"),IF(E15&lt;=F15,"PASS","FAIL"))</f>
        <v/>
      </c>
      <c r="H15" t="inlineStr">
        <is>
          <t xml:space="preserve">DCF_INTC!B38</t>
        </is>
      </c>
    </row>
    <row r="16">
      <c r="A16" t="inlineStr">
        <is>
          <t xml:space="preserve">Enterprise Value</t>
        </is>
      </c>
      <c r="B16" s="6">
        <v>-2353816817.425169</v>
      </c>
      <c r="C16" s="6">
        <v>-2352205151.9054947</v>
      </c>
      <c r="D16" s="8">
        <f>ABS(B16-C16)</f>
        <v>1611665.5196743011</v>
      </c>
      <c r="E16" s="7">
        <f>IF(C16=0,"n/a (zero denom)",D16/ABS(C16))</f>
        <v>0.0006851721748711881</v>
      </c>
      <c r="F16" s="7">
        <f>'Tolerances'!$B$10</f>
        <v>0.002</v>
      </c>
      <c r="G16" t="str">
        <f>IF(C16=0,IF(D16&lt;=0.000001,"PASS","FAIL"),IF(E16&lt;=F16,"PASS","FAIL"))</f>
        <v/>
      </c>
      <c r="H16" t="inlineStr">
        <is>
          <t xml:space="preserve">DCF_INTC!B39</t>
        </is>
      </c>
    </row>
    <row r="17">
      <c r="A17" t="inlineStr">
        <is>
          <t xml:space="preserve">Equity Value</t>
        </is>
      </c>
      <c r="B17" s="6">
        <v>-34673816817.42517</v>
      </c>
      <c r="C17" s="6">
        <v>-34672205151.905495</v>
      </c>
      <c r="D17" s="8">
        <f>ABS(B17-C17)</f>
        <v>1611665.5196762085</v>
      </c>
      <c r="E17" s="7">
        <f>IF(C17=0,"n/a (zero denom)",D17/ABS(C17))</f>
        <v>4.6482925231181485e-05</v>
      </c>
      <c r="F17" s="7">
        <f>'Tolerances'!$B$11</f>
        <v>0.002</v>
      </c>
      <c r="G17" t="str">
        <f>IF(C17=0,IF(D17&lt;=0.000001,"PASS","FAIL"),IF(E17&lt;=F17,"PASS","FAIL"))</f>
        <v/>
      </c>
      <c r="H17" t="inlineStr">
        <is>
          <t xml:space="preserve">DCF_INTC!B40</t>
        </is>
      </c>
    </row>
    <row r="18">
      <c r="A18" t="inlineStr">
        <is>
          <t xml:space="preserve">Intrinsic Value per Share</t>
        </is>
      </c>
      <c r="B18" s="6">
        <v>-6.55942609896238</v>
      </c>
      <c r="C18" s="6">
        <v>-6.559121211821509</v>
      </c>
      <c r="D18" s="8">
        <f>ABS(B18-C18)</f>
        <v>0.00030488714087084645</v>
      </c>
      <c r="E18" s="7">
        <f>IF(C18=0,"n/a (zero denom)",D18/ABS(C18))</f>
        <v>4.648292523110384e-05</v>
      </c>
      <c r="F18" s="7">
        <f>'Tolerances'!$B$12</f>
        <v>0.005</v>
      </c>
      <c r="G18" t="str">
        <f>IF(C18=0,IF(D18&lt;=0.000001,"PASS","FAIL"),IF(E18&lt;=F18,"PASS","FAIL"))</f>
        <v/>
      </c>
      <c r="H18" t="inlineStr">
        <is>
          <t xml:space="preserve">DCF_INTC!B41</t>
        </is>
      </c>
    </row>
    <row r="20">
      <c r="A20" s="3" t="inlineStr">
        <is>
          <t xml:space="preserve">Sensitivity reconciliation summary (full grid in the Sensitivity Reconciliation sheet)</t>
        </is>
      </c>
    </row>
    <row r="21">
      <c r="A21" s="2" t="inlineStr">
        <is>
          <t xml:space="preserve">Table</t>
        </is>
      </c>
      <c r="B21" s="2" t="inlineStr">
        <is>
          <t xml:space="preserve">Cells</t>
        </is>
      </c>
      <c r="C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6">
        <v>7</v>
      </c>
      <c r="C22" s="4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6">
        <v>7</v>
      </c>
      <c r="C23" s="4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6">
        <v>8</v>
      </c>
      <c r="C24" s="4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6">
        <v>7</v>
      </c>
      <c r="C25" s="4" t="inlineStr">
        <is>
          <t xml:space="preserve">FAIL</t>
        </is>
      </c>
    </row>
    <row r="26">
      <c r="A26" t="inlineStr">
        <is>
          <t xml:space="preserve">Table 5 -- WACC x g two-way grid</t>
        </is>
      </c>
      <c r="B26" s="6">
        <v>36</v>
      </c>
      <c r="C26" s="4" t="inlineStr">
        <is>
          <t xml:space="preserve">PASS</t>
        </is>
      </c>
    </row>
  </sheetData>
</worksheet>
</file>

<file path=xl/worksheets/sheet7.xml><?xml version="1.0" encoding="utf-8"?>
<worksheet xmlns="http://schemas.openxmlformats.org/spreadsheetml/2006/main">
  <dimension ref="A1:H26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VZ (Verizon Communications Inc.)</t>
        </is>
      </c>
    </row>
    <row r="2">
      <c r="A2" s="10" t="inlineStr">
        <is>
          <t xml:space="preserve">All metrics within tolerance.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0.008457873514414072</v>
      </c>
      <c r="C5" s="5">
        <v>0.008457873514414072</v>
      </c>
      <c r="D5" s="8">
        <f>ABS(B5-C5)</f>
        <v>0.0</v>
      </c>
      <c r="E5" s="7">
        <f>D5</f>
        <v>0.0</v>
      </c>
      <c r="F5" s="7">
        <f>'Tolerances'!$B$3</f>
        <v>0.0001</v>
      </c>
      <c r="G5" t="str">
        <f>IF(D5&lt;=F5,"PASS","FAIL")</f>
        <v/>
      </c>
      <c r="H5" t="inlineStr">
        <is>
          <t xml:space="preserve">DCF_VZ!B7</t>
        </is>
      </c>
    </row>
    <row r="6">
      <c r="A6" t="inlineStr">
        <is>
          <t xml:space="preserve">Historical average Operating Margin</t>
        </is>
      </c>
      <c r="B6" s="5">
        <v>0.21216289003447653</v>
      </c>
      <c r="C6" s="5">
        <v>0.21216289003447653</v>
      </c>
      <c r="D6" s="8">
        <f>ABS(B6-C6)</f>
        <v>0.0</v>
      </c>
      <c r="E6" s="7">
        <f>D6</f>
        <v>0.0</v>
      </c>
      <c r="F6" s="7">
        <f>'Tolerances'!$B$4</f>
        <v>0.0001</v>
      </c>
      <c r="G6" t="str">
        <f>IF(D6&lt;=F6,"PASS","FAIL")</f>
        <v/>
      </c>
      <c r="H6" t="inlineStr">
        <is>
          <t xml:space="preserve">DCF_VZ!B8</t>
        </is>
      </c>
    </row>
    <row r="7">
      <c r="A7" t="inlineStr">
        <is>
          <t xml:space="preserve">WACC (final, clamped [5%,20%])</t>
        </is>
      </c>
      <c r="B7" s="5">
        <v>0.05</v>
      </c>
      <c r="C7" s="5">
        <v>0.05</v>
      </c>
      <c r="D7" s="8">
        <f>ABS(B7-C7)</f>
        <v>0.0</v>
      </c>
      <c r="E7" s="7">
        <f>D7</f>
        <v>0.0</v>
      </c>
      <c r="F7" s="7">
        <f>'Tolerances'!$B$5</f>
        <v>0.0005</v>
      </c>
      <c r="G7" t="str">
        <f>IF(D7&lt;=F7,"PASS","FAIL")</f>
        <v/>
      </c>
      <c r="H7" t="inlineStr">
        <is>
          <t xml:space="preserve">DCF_VZ!B19</t>
        </is>
      </c>
    </row>
    <row r="8">
      <c r="A8" t="inlineStr">
        <is>
          <t xml:space="preserve">FCF Year 1</t>
        </is>
      </c>
      <c r="B8" s="6">
        <v>21557635393.014256</v>
      </c>
      <c r="C8" s="6">
        <v>21557635393.014256</v>
      </c>
      <c r="D8" s="8">
        <f>ABS(B8-C8)</f>
        <v>0.0</v>
      </c>
      <c r="E8" s="7">
        <f>IF(C8=0,"n/a (zero denom)",D8/ABS(C8))</f>
        <v>0.0</v>
      </c>
      <c r="F8" s="7">
        <f>'Tolerances'!$B$6</f>
        <v>0.001</v>
      </c>
      <c r="G8" t="str">
        <f>IF(C8=0,IF(D8&lt;=0.000001,"PASS","FAIL"),IF(E8&lt;=F8,"PASS","FAIL"))</f>
        <v/>
      </c>
      <c r="H8" t="inlineStr">
        <is>
          <t xml:space="preserve">DCF_VZ!C29</t>
        </is>
      </c>
    </row>
    <row r="9">
      <c r="A9" t="inlineStr">
        <is>
          <t xml:space="preserve">FCF Year 2</t>
        </is>
      </c>
      <c r="B9" s="6">
        <v>21739967146.438225</v>
      </c>
      <c r="C9" s="6">
        <v>21739967146.438225</v>
      </c>
      <c r="D9" s="8">
        <f>ABS(B9-C9)</f>
        <v>0.0</v>
      </c>
      <c r="E9" s="7">
        <f>IF(C9=0,"n/a (zero denom)",D9/ABS(C9))</f>
        <v>0.0</v>
      </c>
      <c r="F9" s="7">
        <f>'Tolerances'!$B$6</f>
        <v>0.001</v>
      </c>
      <c r="G9" t="str">
        <f>IF(C9=0,IF(D9&lt;=0.000001,"PASS","FAIL"),IF(E9&lt;=F9,"PASS","FAIL"))</f>
        <v/>
      </c>
      <c r="H9" t="inlineStr">
        <is>
          <t xml:space="preserve">DCF_VZ!D29</t>
        </is>
      </c>
    </row>
    <row r="10">
      <c r="A10" t="inlineStr">
        <is>
          <t xml:space="preserve">FCF Year 3</t>
        </is>
      </c>
      <c r="B10" s="6">
        <v>21923841038.770325</v>
      </c>
      <c r="C10" s="6">
        <v>21923841038.770325</v>
      </c>
      <c r="D10" s="8">
        <f>ABS(B10-C10)</f>
        <v>0.0</v>
      </c>
      <c r="E10" s="7">
        <f>IF(C10=0,"n/a (zero denom)",D10/ABS(C10))</f>
        <v>0.0</v>
      </c>
      <c r="F10" s="7">
        <f>'Tolerances'!$B$6</f>
        <v>0.001</v>
      </c>
      <c r="G10" t="str">
        <f>IF(C10=0,IF(D10&lt;=0.000001,"PASS","FAIL"),IF(E10&lt;=F10,"PASS","FAIL"))</f>
        <v/>
      </c>
      <c r="H10" t="inlineStr">
        <is>
          <t xml:space="preserve">DCF_VZ!E29</t>
        </is>
      </c>
    </row>
    <row r="11">
      <c r="A11" t="inlineStr">
        <is>
          <t xml:space="preserve">FCF Year 4</t>
        </is>
      </c>
      <c r="B11" s="6">
        <v>22109270113.22636</v>
      </c>
      <c r="C11" s="6">
        <v>22109270113.22636</v>
      </c>
      <c r="D11" s="8">
        <f>ABS(B11-C11)</f>
        <v>0.0</v>
      </c>
      <c r="E11" s="7">
        <f>IF(C11=0,"n/a (zero denom)",D11/ABS(C11))</f>
        <v>0.0</v>
      </c>
      <c r="F11" s="7">
        <f>'Tolerances'!$B$6</f>
        <v>0.001</v>
      </c>
      <c r="G11" t="str">
        <f>IF(C11=0,IF(D11&lt;=0.000001,"PASS","FAIL"),IF(E11&lt;=F11,"PASS","FAIL"))</f>
        <v/>
      </c>
      <c r="H11" t="inlineStr">
        <is>
          <t xml:space="preserve">DCF_VZ!F29</t>
        </is>
      </c>
    </row>
    <row r="12">
      <c r="A12" t="inlineStr">
        <is>
          <t xml:space="preserve">FCF Year 5</t>
        </is>
      </c>
      <c r="B12" s="6">
        <v>22296267523.340042</v>
      </c>
      <c r="C12" s="6">
        <v>22296267523.340042</v>
      </c>
      <c r="D12" s="8">
        <f>ABS(B12-C12)</f>
        <v>0.0</v>
      </c>
      <c r="E12" s="7">
        <f>IF(C12=0,"n/a (zero denom)",D12/ABS(C12))</f>
        <v>0.0</v>
      </c>
      <c r="F12" s="7">
        <f>'Tolerances'!$B$6</f>
        <v>0.001</v>
      </c>
      <c r="G12" t="str">
        <f>IF(C12=0,IF(D12&lt;=0.000001,"PASS","FAIL"),IF(E12&lt;=F12,"PASS","FAIL"))</f>
        <v/>
      </c>
      <c r="H12" t="inlineStr">
        <is>
          <t xml:space="preserve">DCF_VZ!G29</t>
        </is>
      </c>
    </row>
    <row r="13">
      <c r="A13" t="inlineStr">
        <is>
          <t xml:space="preserve">Terminal Value</t>
        </is>
      </c>
      <c r="B13" s="6">
        <v>914146968456.9417</v>
      </c>
      <c r="C13" s="6">
        <v>914146968456.9417</v>
      </c>
      <c r="D13" s="8">
        <f>ABS(B13-C13)</f>
        <v>0.0</v>
      </c>
      <c r="E13" s="7">
        <f>IF(C13=0,"n/a (zero denom)",D13/ABS(C13))</f>
        <v>0.0</v>
      </c>
      <c r="F13" s="7">
        <f>'Tolerances'!$B$7</f>
        <v>0.002</v>
      </c>
      <c r="G13" t="str">
        <f>IF(C13=0,IF(D13&lt;=0.000001,"PASS","FAIL"),IF(E13&lt;=F13,"PASS","FAIL"))</f>
        <v/>
      </c>
      <c r="H13" t="inlineStr">
        <is>
          <t xml:space="preserve">DCF_VZ!B32</t>
        </is>
      </c>
    </row>
    <row r="14">
      <c r="A14" t="inlineStr">
        <is>
          <t xml:space="preserve">PV of Explicit FCF (sum of pv_fcf series)</t>
        </is>
      </c>
      <c r="B14" s="6">
        <v>94847570839.83777</v>
      </c>
      <c r="C14" s="6">
        <v>94847570839.83777</v>
      </c>
      <c r="D14" s="8">
        <f>ABS(B14-C14)</f>
        <v>0.0</v>
      </c>
      <c r="E14" s="7">
        <f>IF(C14=0,"n/a (zero denom)",D14/ABS(C14))</f>
        <v>0.0</v>
      </c>
      <c r="F14" s="7">
        <f>'Tolerances'!$B$8</f>
        <v>0.002</v>
      </c>
      <c r="G14" t="str">
        <f>IF(C14=0,IF(D14&lt;=0.000001,"PASS","FAIL"),IF(E14&lt;=F14,"PASS","FAIL"))</f>
        <v/>
      </c>
      <c r="H14" t="inlineStr">
        <is>
          <t xml:space="preserve">DCF_VZ!B37</t>
        </is>
      </c>
    </row>
    <row r="15">
      <c r="A15" t="inlineStr">
        <is>
          <t xml:space="preserve">PV of Terminal Value</t>
        </is>
      </c>
      <c r="B15" s="6">
        <v>716258069783.8307</v>
      </c>
      <c r="C15" s="6">
        <v>716258069783.8307</v>
      </c>
      <c r="D15" s="8">
        <f>ABS(B15-C15)</f>
        <v>0.0</v>
      </c>
      <c r="E15" s="7">
        <f>IF(C15=0,"n/a (zero denom)",D15/ABS(C15))</f>
        <v>0.0</v>
      </c>
      <c r="F15" s="7">
        <f>'Tolerances'!$B$9</f>
        <v>0.002</v>
      </c>
      <c r="G15" t="str">
        <f>IF(C15=0,IF(D15&lt;=0.000001,"PASS","FAIL"),IF(E15&lt;=F15,"PASS","FAIL"))</f>
        <v/>
      </c>
      <c r="H15" t="inlineStr">
        <is>
          <t xml:space="preserve">DCF_VZ!B38</t>
        </is>
      </c>
    </row>
    <row r="16">
      <c r="A16" t="inlineStr">
        <is>
          <t xml:space="preserve">Enterprise Value</t>
        </is>
      </c>
      <c r="B16" s="6">
        <v>811105640623.6685</v>
      </c>
      <c r="C16" s="6">
        <v>811105640623.6685</v>
      </c>
      <c r="D16" s="8">
        <f>ABS(B16-C16)</f>
        <v>0.0</v>
      </c>
      <c r="E16" s="7">
        <f>IF(C16=0,"n/a (zero denom)",D16/ABS(C16))</f>
        <v>0.0</v>
      </c>
      <c r="F16" s="7">
        <f>'Tolerances'!$B$10</f>
        <v>0.002</v>
      </c>
      <c r="G16" t="str">
        <f>IF(C16=0,IF(D16&lt;=0.000001,"PASS","FAIL"),IF(E16&lt;=F16,"PASS","FAIL"))</f>
        <v/>
      </c>
      <c r="H16" t="inlineStr">
        <is>
          <t xml:space="preserve">DCF_VZ!B39</t>
        </is>
      </c>
    </row>
    <row r="17">
      <c r="A17" t="inlineStr">
        <is>
          <t xml:space="preserve">Equity Value</t>
        </is>
      </c>
      <c r="B17" s="6">
        <v>672003640623.6685</v>
      </c>
      <c r="C17" s="6">
        <v>672003640623.6685</v>
      </c>
      <c r="D17" s="8">
        <f>ABS(B17-C17)</f>
        <v>0.0</v>
      </c>
      <c r="E17" s="7">
        <f>IF(C17=0,"n/a (zero denom)",D17/ABS(C17))</f>
        <v>0.0</v>
      </c>
      <c r="F17" s="7">
        <f>'Tolerances'!$B$11</f>
        <v>0.002</v>
      </c>
      <c r="G17" t="str">
        <f>IF(C17=0,IF(D17&lt;=0.000001,"PASS","FAIL"),IF(E17&lt;=F17,"PASS","FAIL"))</f>
        <v/>
      </c>
      <c r="H17" t="inlineStr">
        <is>
          <t xml:space="preserve">DCF_VZ!B40</t>
        </is>
      </c>
    </row>
    <row r="18">
      <c r="A18" t="inlineStr">
        <is>
          <t xml:space="preserve">Intrinsic Value per Share</t>
        </is>
      </c>
      <c r="B18" s="6">
        <v>161.74247894330927</v>
      </c>
      <c r="C18" s="6">
        <v>161.74247894330927</v>
      </c>
      <c r="D18" s="8">
        <f>ABS(B18-C18)</f>
        <v>0.0</v>
      </c>
      <c r="E18" s="7">
        <f>IF(C18=0,"n/a (zero denom)",D18/ABS(C18))</f>
        <v>0.0</v>
      </c>
      <c r="F18" s="7">
        <f>'Tolerances'!$B$12</f>
        <v>0.005</v>
      </c>
      <c r="G18" t="str">
        <f>IF(C18=0,IF(D18&lt;=0.000001,"PASS","FAIL"),IF(E18&lt;=F18,"PASS","FAIL"))</f>
        <v/>
      </c>
      <c r="H18" t="inlineStr">
        <is>
          <t xml:space="preserve">DCF_VZ!B41</t>
        </is>
      </c>
    </row>
    <row r="20">
      <c r="A20" s="3" t="inlineStr">
        <is>
          <t xml:space="preserve">Sensitivity reconciliation summary (full grid in the Sensitivity Reconciliation sheet)</t>
        </is>
      </c>
    </row>
    <row r="21">
      <c r="A21" s="2" t="inlineStr">
        <is>
          <t xml:space="preserve">Table</t>
        </is>
      </c>
      <c r="B21" s="2" t="inlineStr">
        <is>
          <t xml:space="preserve">Cells</t>
        </is>
      </c>
      <c r="C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6">
        <v>7</v>
      </c>
      <c r="C22" s="4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6">
        <v>7</v>
      </c>
      <c r="C23" s="4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6">
        <v>8</v>
      </c>
      <c r="C24" s="4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6">
        <v>7</v>
      </c>
      <c r="C25" s="4" t="inlineStr">
        <is>
          <t xml:space="preserve">PASS</t>
        </is>
      </c>
    </row>
    <row r="26">
      <c r="A26" t="inlineStr">
        <is>
          <t xml:space="preserve">Table 5 -- WACC x g two-way grid</t>
        </is>
      </c>
      <c r="B26" s="6">
        <v>36</v>
      </c>
      <c r="C26" s="4" t="inlineStr">
        <is>
          <t xml:space="preserve">PASS</t>
        </is>
      </c>
    </row>
  </sheetData>
</worksheet>
</file>

<file path=xl/worksheets/sheet8.xml><?xml version="1.0" encoding="utf-8"?>
<worksheet xmlns="http://schemas.openxmlformats.org/spreadsheetml/2006/main">
  <dimension ref="A1:G86"/>
  <sheetViews>
    <sheetView workbookViewId="0"/>
  </sheetViews>
  <sheetFormatPr defaultRowHeight="15"/>
  <cols>
    <col min="1" max="1" width="14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</cols>
  <sheetData>
    <row r="1">
      <c r="A1" s="1" t="inlineStr">
        <is>
          <t xml:space="preserve">Sensitivity reconciliation -- production recompute vs. workbook cached grid, all four companies</t>
        </is>
      </c>
    </row>
    <row r="2">
      <c r="A2" s="9" t="inlineStr">
        <is>
          <t xml:space="preserve">Table 1 (WACC) and Table 2 (terminal growth) IVPS rows shown with full live-formula reconciliation. Tables 3/4/5 (revenue growth, operating margin, two-way grid) are large (8-36 rows each per company); their PASS/FAIL and cell counts are summarized per company on each Detail_&lt;TICKER&gt; sheet, with the full per-cell numeric detail in reconciliation_results.json.</t>
        </is>
      </c>
    </row>
    <row r="4">
      <c r="A4" s="3" t="inlineStr">
        <is>
          <t xml:space="preserve">-- MSFT (Microsoft Corporation) --</t>
        </is>
      </c>
    </row>
    <row r="5">
      <c r="A5" s="10" t="inlineStr">
        <is>
          <t xml:space="preserve">Table 1 -- WACC sensitivity (Intrinsic Value/Share)</t>
        </is>
      </c>
    </row>
    <row r="6">
      <c r="A6" s="2" t="inlineStr">
        <is>
          <t xml:space="preserve">WACC</t>
        </is>
      </c>
      <c r="B6" s="2" t="inlineStr">
        <is>
          <t xml:space="preserve">Codebase IVPS</t>
        </is>
      </c>
      <c r="C6" s="2" t="inlineStr">
        <is>
          <t xml:space="preserve">Workbook IVPS</t>
        </is>
      </c>
      <c r="D6" s="2" t="inlineStr">
        <is>
          <t xml:space="preserve">Abs. Diff</t>
        </is>
      </c>
      <c r="E6" s="2" t="inlineStr">
        <is>
          <t xml:space="preserve">Rel. Diff</t>
        </is>
      </c>
      <c r="F6" s="2" t="inlineStr">
        <is>
          <t xml:space="preserve">Tolerance</t>
        </is>
      </c>
      <c r="G6" s="2" t="inlineStr">
        <is>
          <t xml:space="preserve">PASS/FAIL</t>
        </is>
      </c>
    </row>
    <row r="7">
      <c r="A7">
        <v>0.05</v>
      </c>
      <c r="B7" s="6">
        <v>1038.435859236888</v>
      </c>
      <c r="C7" s="6">
        <v>1038.435859236888</v>
      </c>
      <c r="D7" s="8">
        <f>ABS(B7-C7)</f>
        <v>0.0</v>
      </c>
      <c r="E7" s="7">
        <f>IF(C7=0,"n/a (zero denom)",D7/ABS(C7))</f>
        <v>0.0</v>
      </c>
      <c r="F7" s="7">
        <f>'Tolerances'!$B$13</f>
        <v>0.005</v>
      </c>
      <c r="G7" t="str">
        <f>IF(C7=0,IF(D7&lt;=0.000001,"PASS","FAIL"),IF(E7&lt;=F7,"PASS","FAIL"))</f>
        <v/>
      </c>
    </row>
    <row r="8">
      <c r="A8">
        <v>0.075</v>
      </c>
      <c r="B8" s="6">
        <v>507.8851354073267</v>
      </c>
      <c r="C8" s="6">
        <v>507.8851354073267</v>
      </c>
      <c r="D8" s="8">
        <f>ABS(B8-C8)</f>
        <v>0.0</v>
      </c>
      <c r="E8" s="7">
        <f>IF(C8=0,"n/a (zero denom)",D8/ABS(C8))</f>
        <v>0.0</v>
      </c>
      <c r="F8" s="7">
        <f>'Tolerances'!$B$13</f>
        <v>0.005</v>
      </c>
      <c r="G8" t="str">
        <f>IF(C8=0,IF(D8&lt;=0.000001,"PASS","FAIL"),IF(E8&lt;=F8,"PASS","FAIL"))</f>
        <v/>
      </c>
    </row>
    <row r="9">
      <c r="A9">
        <v>0.1</v>
      </c>
      <c r="B9" s="6">
        <v>331.6368590895439</v>
      </c>
      <c r="C9" s="6">
        <v>331.63685908954386</v>
      </c>
      <c r="D9" s="8">
        <f>ABS(B9-C9)</f>
        <v>5.684341886080802e-14</v>
      </c>
      <c r="E9" s="7">
        <f>IF(C9=0,"n/a (zero denom)",D9/ABS(C9))</f>
        <v>1.7140259685507383e-16</v>
      </c>
      <c r="F9" s="7">
        <f>'Tolerances'!$B$13</f>
        <v>0.005</v>
      </c>
      <c r="G9" t="str">
        <f>IF(C9=0,IF(D9&lt;=0.000001,"PASS","FAIL"),IF(E9&lt;=F9,"PASS","FAIL"))</f>
        <v/>
      </c>
    </row>
    <row r="10">
      <c r="A10">
        <v>0.125</v>
      </c>
      <c r="B10" s="6">
        <v>243.9125140047147</v>
      </c>
      <c r="C10" s="6">
        <v>243.9125140047147</v>
      </c>
      <c r="D10" s="8">
        <f>ABS(B10-C10)</f>
        <v>0.0</v>
      </c>
      <c r="E10" s="7">
        <f>IF(C10=0,"n/a (zero denom)",D10/ABS(C10))</f>
        <v>0.0</v>
      </c>
      <c r="F10" s="7">
        <f>'Tolerances'!$B$13</f>
        <v>0.005</v>
      </c>
      <c r="G10" t="str">
        <f>IF(C10=0,IF(D10&lt;=0.000001,"PASS","FAIL"),IF(E10&lt;=F10,"PASS","FAIL"))</f>
        <v/>
      </c>
    </row>
    <row r="11">
      <c r="A11">
        <v>0.15</v>
      </c>
      <c r="B11" s="6">
        <v>191.56201658691054</v>
      </c>
      <c r="C11" s="6">
        <v>191.56201658691054</v>
      </c>
      <c r="D11" s="8">
        <f>ABS(B11-C11)</f>
        <v>0.0</v>
      </c>
      <c r="E11" s="7">
        <f>IF(C11=0,"n/a (zero denom)",D11/ABS(C11))</f>
        <v>0.0</v>
      </c>
      <c r="F11" s="7">
        <f>'Tolerances'!$B$13</f>
        <v>0.005</v>
      </c>
      <c r="G11" t="str">
        <f>IF(C11=0,IF(D11&lt;=0.000001,"PASS","FAIL"),IF(E11&lt;=F11,"PASS","FAIL"))</f>
        <v/>
      </c>
    </row>
    <row r="12">
      <c r="A12">
        <v>0.175</v>
      </c>
      <c r="B12" s="6">
        <v>156.87262693590807</v>
      </c>
      <c r="C12" s="6">
        <v>156.87262693590807</v>
      </c>
      <c r="D12" s="8">
        <f>ABS(B12-C12)</f>
        <v>0.0</v>
      </c>
      <c r="E12" s="7">
        <f>IF(C12=0,"n/a (zero denom)",D12/ABS(C12))</f>
        <v>0.0</v>
      </c>
      <c r="F12" s="7">
        <f>'Tolerances'!$B$13</f>
        <v>0.005</v>
      </c>
      <c r="G12" t="str">
        <f>IF(C12=0,IF(D12&lt;=0.000001,"PASS","FAIL"),IF(E12&lt;=F12,"PASS","FAIL"))</f>
        <v/>
      </c>
    </row>
    <row r="13">
      <c r="A13">
        <v>0.2</v>
      </c>
      <c r="B13" s="6">
        <v>132.2560446531056</v>
      </c>
      <c r="C13" s="6">
        <v>132.2560446531056</v>
      </c>
      <c r="D13" s="8">
        <f>ABS(B13-C13)</f>
        <v>0.0</v>
      </c>
      <c r="E13" s="7">
        <f>IF(C13=0,"n/a (zero denom)",D13/ABS(C13))</f>
        <v>0.0</v>
      </c>
      <c r="F13" s="7">
        <f>'Tolerances'!$B$13</f>
        <v>0.005</v>
      </c>
      <c r="G13" t="str">
        <f>IF(C13=0,IF(D13&lt;=0.000001,"PASS","FAIL"),IF(E13&lt;=F13,"PASS","FAIL"))</f>
        <v/>
      </c>
    </row>
    <row r="14">
      <c r="A14" s="10" t="inlineStr">
        <is>
          <t xml:space="preserve">Table 2 -- Terminal growth sensitivity (Intrinsic Value/Share)</t>
        </is>
      </c>
    </row>
    <row r="15">
      <c r="A15" s="2" t="inlineStr">
        <is>
          <t xml:space="preserve">Terminal g</t>
        </is>
      </c>
      <c r="B15" s="2" t="inlineStr">
        <is>
          <t xml:space="preserve">Codebase IVPS</t>
        </is>
      </c>
      <c r="C15" s="2" t="inlineStr">
        <is>
          <t xml:space="preserve">Workbook IVPS</t>
        </is>
      </c>
      <c r="D15" s="2" t="inlineStr">
        <is>
          <t xml:space="preserve">Abs. Diff</t>
        </is>
      </c>
      <c r="E15" s="2" t="inlineStr">
        <is>
          <t xml:space="preserve">Rel. Diff</t>
        </is>
      </c>
      <c r="F15" s="2" t="inlineStr">
        <is>
          <t xml:space="preserve">Tolerance</t>
        </is>
      </c>
      <c r="G15" s="2" t="inlineStr">
        <is>
          <t xml:space="preserve">PASS/FAIL</t>
        </is>
      </c>
    </row>
    <row r="16">
      <c r="A16">
        <v>0.0</v>
      </c>
      <c r="B16" s="6">
        <v>264.8307577964704</v>
      </c>
      <c r="C16" s="6">
        <v>264.8307577964704</v>
      </c>
      <c r="D16" s="8">
        <f>ABS(B16-C16)</f>
        <v>0.0</v>
      </c>
      <c r="E16" s="7">
        <f>IF(C16=0,"n/a (zero denom)",D16/ABS(C16))</f>
        <v>0.0</v>
      </c>
      <c r="F16" s="7">
        <f>'Tolerances'!$B$13</f>
        <v>0.005</v>
      </c>
      <c r="G16" t="str">
        <f>IF(C16=0,IF(D16&lt;=0.000001,"PASS","FAIL"),IF(E16&lt;=F16,"PASS","FAIL"))</f>
        <v/>
      </c>
    </row>
    <row r="17">
      <c r="A17">
        <v>0.01</v>
      </c>
      <c r="B17" s="6">
        <v>287.0930779255169</v>
      </c>
      <c r="C17" s="6">
        <v>287.0930779255169</v>
      </c>
      <c r="D17" s="8">
        <f>ABS(B17-C17)</f>
        <v>0.0</v>
      </c>
      <c r="E17" s="7">
        <f>IF(C17=0,"n/a (zero denom)",D17/ABS(C17))</f>
        <v>0.0</v>
      </c>
      <c r="F17" s="7">
        <f>'Tolerances'!$B$13</f>
        <v>0.005</v>
      </c>
      <c r="G17" t="str">
        <f>IF(C17=0,IF(D17&lt;=0.000001,"PASS","FAIL"),IF(E17&lt;=F17,"PASS","FAIL"))</f>
        <v/>
      </c>
    </row>
    <row r="18">
      <c r="A18">
        <v>0.02</v>
      </c>
      <c r="B18" s="6">
        <v>314.9206848046955</v>
      </c>
      <c r="C18" s="6">
        <v>314.9206848046955</v>
      </c>
      <c r="D18" s="8">
        <f>ABS(B18-C18)</f>
        <v>0.0</v>
      </c>
      <c r="E18" s="7">
        <f>IF(C18=0,"n/a (zero denom)",D18/ABS(C18))</f>
        <v>0.0</v>
      </c>
      <c r="F18" s="7">
        <f>'Tolerances'!$B$13</f>
        <v>0.005</v>
      </c>
      <c r="G18" t="str">
        <f>IF(C18=0,IF(D18&lt;=0.000001,"PASS","FAIL"),IF(E18&lt;=F18,"PASS","FAIL"))</f>
        <v/>
      </c>
    </row>
    <row r="19">
      <c r="A19">
        <v>0.025</v>
      </c>
      <c r="B19" s="6">
        <v>331.61709251726467</v>
      </c>
      <c r="C19" s="6">
        <v>331.61709251726467</v>
      </c>
      <c r="D19" s="8">
        <f>ABS(B19-C19)</f>
        <v>0.0</v>
      </c>
      <c r="E19" s="7">
        <f>IF(C19=0,"n/a (zero denom)",D19/ABS(C19))</f>
        <v>0.0</v>
      </c>
      <c r="F19" s="7">
        <f>'Tolerances'!$B$13</f>
        <v>0.005</v>
      </c>
      <c r="G19" t="str">
        <f>IF(C19=0,IF(D19&lt;=0.000001,"PASS","FAIL"),IF(E19&lt;=F19,"PASS","FAIL"))</f>
        <v/>
      </c>
    </row>
    <row r="20">
      <c r="A20">
        <v>0.03</v>
      </c>
      <c r="B20" s="6">
        <v>350.6985576871804</v>
      </c>
      <c r="C20" s="6">
        <v>350.6985576871804</v>
      </c>
      <c r="D20" s="8">
        <f>ABS(B20-C20)</f>
        <v>0.0</v>
      </c>
      <c r="E20" s="7">
        <f>IF(C20=0,"n/a (zero denom)",D20/ABS(C20))</f>
        <v>0.0</v>
      </c>
      <c r="F20" s="7">
        <f>'Tolerances'!$B$13</f>
        <v>0.005</v>
      </c>
      <c r="G20" t="str">
        <f>IF(C20=0,IF(D20&lt;=0.000001,"PASS","FAIL"),IF(E20&lt;=F20,"PASS","FAIL"))</f>
        <v/>
      </c>
    </row>
    <row r="21">
      <c r="A21">
        <v>0.04</v>
      </c>
      <c r="B21" s="6">
        <v>398.40155028298227</v>
      </c>
      <c r="C21" s="6">
        <v>398.40155028298227</v>
      </c>
      <c r="D21" s="8">
        <f>ABS(B21-C21)</f>
        <v>0.0</v>
      </c>
      <c r="E21" s="7">
        <f>IF(C21=0,"n/a (zero denom)",D21/ABS(C21))</f>
        <v>0.0</v>
      </c>
      <c r="F21" s="7">
        <f>'Tolerances'!$B$13</f>
        <v>0.005</v>
      </c>
      <c r="G21" t="str">
        <f>IF(C21=0,IF(D21&lt;=0.000001,"PASS","FAIL"),IF(E21&lt;=F21,"PASS","FAIL"))</f>
        <v/>
      </c>
    </row>
    <row r="22">
      <c r="A22">
        <v>0.05</v>
      </c>
      <c r="B22" s="6">
        <v>465.1841311727465</v>
      </c>
      <c r="C22" s="6">
        <v>465.1841311727465</v>
      </c>
      <c r="D22" s="8">
        <f>ABS(B22-C22)</f>
        <v>0.0</v>
      </c>
      <c r="E22" s="7">
        <f>IF(C22=0,"n/a (zero denom)",D22/ABS(C22))</f>
        <v>0.0</v>
      </c>
      <c r="F22" s="7">
        <f>'Tolerances'!$B$13</f>
        <v>0.005</v>
      </c>
      <c r="G22" t="str">
        <f>IF(C22=0,IF(D22&lt;=0.000001,"PASS","FAIL"),IF(E22&lt;=F22,"PASS","FAIL"))</f>
        <v/>
      </c>
    </row>
    <row r="23">
      <c r="A23" s="9" t="inlineStr">
        <is>
          <t xml:space="preserve">Tables 3/4/5 summary: T3=PASS, T4=PASS, T5=PASS (36/36 cells).</t>
        </is>
      </c>
    </row>
    <row r="25">
      <c r="A25" s="3" t="inlineStr">
        <is>
          <t xml:space="preserve">-- CAT (Caterpillar Inc.) --</t>
        </is>
      </c>
    </row>
    <row r="26">
      <c r="A26" s="10" t="inlineStr">
        <is>
          <t xml:space="preserve">Table 1 -- WACC sensitivity (Intrinsic Value/Share)</t>
        </is>
      </c>
    </row>
    <row r="27">
      <c r="A27" s="2" t="inlineStr">
        <is>
          <t xml:space="preserve">WACC</t>
        </is>
      </c>
      <c r="B27" s="2" t="inlineStr">
        <is>
          <t xml:space="preserve">Codebase IVPS</t>
        </is>
      </c>
      <c r="C27" s="2" t="inlineStr">
        <is>
          <t xml:space="preserve">Workbook IVPS</t>
        </is>
      </c>
      <c r="D27" s="2" t="inlineStr">
        <is>
          <t xml:space="preserve">Abs. Diff</t>
        </is>
      </c>
      <c r="E27" s="2" t="inlineStr">
        <is>
          <t xml:space="preserve">Rel. Diff</t>
        </is>
      </c>
      <c r="F27" s="2" t="inlineStr">
        <is>
          <t xml:space="preserve">Tolerance</t>
        </is>
      </c>
      <c r="G27" s="2" t="inlineStr">
        <is>
          <t xml:space="preserve">PASS/FAIL</t>
        </is>
      </c>
    </row>
    <row r="28">
      <c r="A28">
        <v>0.05</v>
      </c>
      <c r="B28" s="6">
        <v>807.6615092612249</v>
      </c>
      <c r="C28" s="6">
        <v>807.6615092612249</v>
      </c>
      <c r="D28" s="8">
        <f>ABS(B28-C28)</f>
        <v>0.0</v>
      </c>
      <c r="E28" s="7">
        <f>IF(C28=0,"n/a (zero denom)",D28/ABS(C28))</f>
        <v>0.0</v>
      </c>
      <c r="F28" s="7">
        <f>'Tolerances'!$B$13</f>
        <v>0.005</v>
      </c>
      <c r="G28" t="str">
        <f>IF(C28=0,IF(D28&lt;=0.000001,"PASS","FAIL"),IF(E28&lt;=F28,"PASS","FAIL"))</f>
        <v/>
      </c>
    </row>
    <row r="29">
      <c r="A29">
        <v>0.075</v>
      </c>
      <c r="B29" s="6">
        <v>371.34814265906454</v>
      </c>
      <c r="C29" s="6">
        <v>371.34814265906454</v>
      </c>
      <c r="D29" s="8">
        <f>ABS(B29-C29)</f>
        <v>0.0</v>
      </c>
      <c r="E29" s="7">
        <f>IF(C29=0,"n/a (zero denom)",D29/ABS(C29))</f>
        <v>0.0</v>
      </c>
      <c r="F29" s="7">
        <f>'Tolerances'!$B$13</f>
        <v>0.005</v>
      </c>
      <c r="G29" t="str">
        <f>IF(C29=0,IF(D29&lt;=0.000001,"PASS","FAIL"),IF(E29&lt;=F29,"PASS","FAIL"))</f>
        <v/>
      </c>
    </row>
    <row r="30">
      <c r="A30">
        <v>0.1</v>
      </c>
      <c r="B30" s="6">
        <v>226.1443375673082</v>
      </c>
      <c r="C30" s="6">
        <v>226.1443375673082</v>
      </c>
      <c r="D30" s="8">
        <f>ABS(B30-C30)</f>
        <v>0.0</v>
      </c>
      <c r="E30" s="7">
        <f>IF(C30=0,"n/a (zero denom)",D30/ABS(C30))</f>
        <v>0.0</v>
      </c>
      <c r="F30" s="7">
        <f>'Tolerances'!$B$13</f>
        <v>0.005</v>
      </c>
      <c r="G30" t="str">
        <f>IF(C30=0,IF(D30&lt;=0.000001,"PASS","FAIL"),IF(E30&lt;=F30,"PASS","FAIL"))</f>
        <v/>
      </c>
    </row>
    <row r="31">
      <c r="A31">
        <v>0.125</v>
      </c>
      <c r="B31" s="6">
        <v>153.69799636329634</v>
      </c>
      <c r="C31" s="6">
        <v>153.69799636329634</v>
      </c>
      <c r="D31" s="8">
        <f>ABS(B31-C31)</f>
        <v>0.0</v>
      </c>
      <c r="E31" s="7">
        <f>IF(C31=0,"n/a (zero denom)",D31/ABS(C31))</f>
        <v>0.0</v>
      </c>
      <c r="F31" s="7">
        <f>'Tolerances'!$B$13</f>
        <v>0.005</v>
      </c>
      <c r="G31" t="str">
        <f>IF(C31=0,IF(D31&lt;=0.000001,"PASS","FAIL"),IF(E31&lt;=F31,"PASS","FAIL"))</f>
        <v/>
      </c>
    </row>
    <row r="32">
      <c r="A32">
        <v>0.15</v>
      </c>
      <c r="B32" s="6">
        <v>110.34085467377022</v>
      </c>
      <c r="C32" s="6">
        <v>110.34085467377022</v>
      </c>
      <c r="D32" s="8">
        <f>ABS(B32-C32)</f>
        <v>0.0</v>
      </c>
      <c r="E32" s="7">
        <f>IF(C32=0,"n/a (zero denom)",D32/ABS(C32))</f>
        <v>0.0</v>
      </c>
      <c r="F32" s="7">
        <f>'Tolerances'!$B$13</f>
        <v>0.005</v>
      </c>
      <c r="G32" t="str">
        <f>IF(C32=0,IF(D32&lt;=0.000001,"PASS","FAIL"),IF(E32&lt;=F32,"PASS","FAIL"))</f>
        <v/>
      </c>
    </row>
    <row r="33">
      <c r="A33">
        <v>0.175</v>
      </c>
      <c r="B33" s="6">
        <v>81.5183420439451</v>
      </c>
      <c r="C33" s="6">
        <v>81.5183420439451</v>
      </c>
      <c r="D33" s="8">
        <f>ABS(B33-C33)</f>
        <v>0.0</v>
      </c>
      <c r="E33" s="7">
        <f>IF(C33=0,"n/a (zero denom)",D33/ABS(C33))</f>
        <v>0.0</v>
      </c>
      <c r="F33" s="7">
        <f>'Tolerances'!$B$13</f>
        <v>0.005</v>
      </c>
      <c r="G33" t="str">
        <f>IF(C33=0,IF(D33&lt;=0.000001,"PASS","FAIL"),IF(E33&lt;=F33,"PASS","FAIL"))</f>
        <v/>
      </c>
    </row>
    <row r="34">
      <c r="A34">
        <v>0.2</v>
      </c>
      <c r="B34" s="6">
        <v>60.99388909969678</v>
      </c>
      <c r="C34" s="6">
        <v>60.99388909969678</v>
      </c>
      <c r="D34" s="8">
        <f>ABS(B34-C34)</f>
        <v>0.0</v>
      </c>
      <c r="E34" s="7">
        <f>IF(C34=0,"n/a (zero denom)",D34/ABS(C34))</f>
        <v>0.0</v>
      </c>
      <c r="F34" s="7">
        <f>'Tolerances'!$B$13</f>
        <v>0.005</v>
      </c>
      <c r="G34" t="str">
        <f>IF(C34=0,IF(D34&lt;=0.000001,"PASS","FAIL"),IF(E34&lt;=F34,"PASS","FAIL"))</f>
        <v/>
      </c>
    </row>
    <row r="35">
      <c r="A35" s="10" t="inlineStr">
        <is>
          <t xml:space="preserve">Table 2 -- Terminal growth sensitivity (Intrinsic Value/Share)</t>
        </is>
      </c>
    </row>
    <row r="36">
      <c r="A36" s="2" t="inlineStr">
        <is>
          <t xml:space="preserve">Terminal g</t>
        </is>
      </c>
      <c r="B36" s="2" t="inlineStr">
        <is>
          <t xml:space="preserve">Codebase IVPS</t>
        </is>
      </c>
      <c r="C36" s="2" t="inlineStr">
        <is>
          <t xml:space="preserve">Workbook IVPS</t>
        </is>
      </c>
      <c r="D36" s="2" t="inlineStr">
        <is>
          <t xml:space="preserve">Abs. Diff</t>
        </is>
      </c>
      <c r="E36" s="2" t="inlineStr">
        <is>
          <t xml:space="preserve">Rel. Diff</t>
        </is>
      </c>
      <c r="F36" s="2" t="inlineStr">
        <is>
          <t xml:space="preserve">Tolerance</t>
        </is>
      </c>
      <c r="G36" s="2" t="inlineStr">
        <is>
          <t xml:space="preserve">PASS/FAIL</t>
        </is>
      </c>
    </row>
    <row r="37">
      <c r="A37">
        <v>0.0</v>
      </c>
      <c r="B37" s="6">
        <v>129.96188298827533</v>
      </c>
      <c r="C37" s="6">
        <v>129.96188298827533</v>
      </c>
      <c r="D37" s="8">
        <f>ABS(B37-C37)</f>
        <v>0.0</v>
      </c>
      <c r="E37" s="7">
        <f>IF(C37=0,"n/a (zero denom)",D37/ABS(C37))</f>
        <v>0.0</v>
      </c>
      <c r="F37" s="7">
        <f>'Tolerances'!$B$13</f>
        <v>0.005</v>
      </c>
      <c r="G37" t="str">
        <f>IF(C37=0,IF(D37&lt;=0.000001,"PASS","FAIL"),IF(E37&lt;=F37,"PASS","FAIL"))</f>
        <v/>
      </c>
    </row>
    <row r="38">
      <c r="A38">
        <v>0.01</v>
      </c>
      <c r="B38" s="6">
        <v>141.33558408181673</v>
      </c>
      <c r="C38" s="6">
        <v>141.33558408181673</v>
      </c>
      <c r="D38" s="8">
        <f>ABS(B38-C38)</f>
        <v>0.0</v>
      </c>
      <c r="E38" s="7">
        <f>IF(C38=0,"n/a (zero denom)",D38/ABS(C38))</f>
        <v>0.0</v>
      </c>
      <c r="F38" s="7">
        <f>'Tolerances'!$B$13</f>
        <v>0.005</v>
      </c>
      <c r="G38" t="str">
        <f>IF(C38=0,IF(D38&lt;=0.000001,"PASS","FAIL"),IF(E38&lt;=F38,"PASS","FAIL"))</f>
        <v/>
      </c>
    </row>
    <row r="39">
      <c r="A39">
        <v>0.02</v>
      </c>
      <c r="B39" s="6">
        <v>154.96242339320813</v>
      </c>
      <c r="C39" s="6">
        <v>154.96242339320813</v>
      </c>
      <c r="D39" s="8">
        <f>ABS(B39-C39)</f>
        <v>0.0</v>
      </c>
      <c r="E39" s="7">
        <f>IF(C39=0,"n/a (zero denom)",D39/ABS(C39))</f>
        <v>0.0</v>
      </c>
      <c r="F39" s="7">
        <f>'Tolerances'!$B$13</f>
        <v>0.005</v>
      </c>
      <c r="G39" t="str">
        <f>IF(C39=0,IF(D39&lt;=0.000001,"PASS","FAIL"),IF(E39&lt;=F39,"PASS","FAIL"))</f>
        <v/>
      </c>
    </row>
    <row r="40">
      <c r="A40">
        <v>0.025</v>
      </c>
      <c r="B40" s="6">
        <v>162.84089749188038</v>
      </c>
      <c r="C40" s="6">
        <v>162.84089749188038</v>
      </c>
      <c r="D40" s="8">
        <f>ABS(B40-C40)</f>
        <v>0.0</v>
      </c>
      <c r="E40" s="7">
        <f>IF(C40=0,"n/a (zero denom)",D40/ABS(C40))</f>
        <v>0.0</v>
      </c>
      <c r="F40" s="7">
        <f>'Tolerances'!$B$13</f>
        <v>0.005</v>
      </c>
      <c r="G40" t="str">
        <f>IF(C40=0,IF(D40&lt;=0.000001,"PASS","FAIL"),IF(E40&lt;=F40,"PASS","FAIL"))</f>
        <v/>
      </c>
    </row>
    <row r="41">
      <c r="A41">
        <v>0.03</v>
      </c>
      <c r="B41" s="6">
        <v>171.5855305859042</v>
      </c>
      <c r="C41" s="6">
        <v>171.5855305859042</v>
      </c>
      <c r="D41" s="8">
        <f>ABS(B41-C41)</f>
        <v>0.0</v>
      </c>
      <c r="E41" s="7">
        <f>IF(C41=0,"n/a (zero denom)",D41/ABS(C41))</f>
        <v>0.0</v>
      </c>
      <c r="F41" s="7">
        <f>'Tolerances'!$B$13</f>
        <v>0.005</v>
      </c>
      <c r="G41" t="str">
        <f>IF(C41=0,IF(D41&lt;=0.000001,"PASS","FAIL"),IF(E41&lt;=F41,"PASS","FAIL"))</f>
        <v/>
      </c>
    </row>
    <row r="42">
      <c r="A42">
        <v>0.04</v>
      </c>
      <c r="B42" s="6">
        <v>192.31519990922325</v>
      </c>
      <c r="C42" s="6">
        <v>192.31519990922325</v>
      </c>
      <c r="D42" s="8">
        <f>ABS(B42-C42)</f>
        <v>0.0</v>
      </c>
      <c r="E42" s="7">
        <f>IF(C42=0,"n/a (zero denom)",D42/ABS(C42))</f>
        <v>0.0</v>
      </c>
      <c r="F42" s="7">
        <f>'Tolerances'!$B$13</f>
        <v>0.005</v>
      </c>
      <c r="G42" t="str">
        <f>IF(C42=0,IF(D42&lt;=0.000001,"PASS","FAIL"),IF(E42&lt;=F42,"PASS","FAIL"))</f>
        <v/>
      </c>
    </row>
    <row r="43">
      <c r="A43">
        <v>0.05</v>
      </c>
      <c r="B43" s="6">
        <v>218.88760711281637</v>
      </c>
      <c r="C43" s="6">
        <v>218.88760711281637</v>
      </c>
      <c r="D43" s="8">
        <f>ABS(B43-C43)</f>
        <v>0.0</v>
      </c>
      <c r="E43" s="7">
        <f>IF(C43=0,"n/a (zero denom)",D43/ABS(C43))</f>
        <v>0.0</v>
      </c>
      <c r="F43" s="7">
        <f>'Tolerances'!$B$13</f>
        <v>0.005</v>
      </c>
      <c r="G43" t="str">
        <f>IF(C43=0,IF(D43&lt;=0.000001,"PASS","FAIL"),IF(E43&lt;=F43,"PASS","FAIL"))</f>
        <v/>
      </c>
    </row>
    <row r="44">
      <c r="A44" s="9" t="inlineStr">
        <is>
          <t xml:space="preserve">Tables 3/4/5 summary: T3=PASS, T4=PASS, T5=PASS (36/36 cells).</t>
        </is>
      </c>
    </row>
    <row r="46">
      <c r="A46" s="3" t="inlineStr">
        <is>
          <t xml:space="preserve">-- INTC (Intel Corporation) --</t>
        </is>
      </c>
    </row>
    <row r="47">
      <c r="A47" s="10" t="inlineStr">
        <is>
          <t xml:space="preserve">Table 1 -- WACC sensitivity (Intrinsic Value/Share)</t>
        </is>
      </c>
    </row>
    <row r="48">
      <c r="A48" s="2" t="inlineStr">
        <is>
          <t xml:space="preserve">WACC</t>
        </is>
      </c>
      <c r="B48" s="2" t="inlineStr">
        <is>
          <t xml:space="preserve">Codebase IVPS</t>
        </is>
      </c>
      <c r="C48" s="2" t="inlineStr">
        <is>
          <t xml:space="preserve">Workbook IVPS</t>
        </is>
      </c>
      <c r="D48" s="2" t="inlineStr">
        <is>
          <t xml:space="preserve">Abs. Diff</t>
        </is>
      </c>
      <c r="E48" s="2" t="inlineStr">
        <is>
          <t xml:space="preserve">Rel. Diff</t>
        </is>
      </c>
      <c r="F48" s="2" t="inlineStr">
        <is>
          <t xml:space="preserve">Tolerance</t>
        </is>
      </c>
      <c r="G48" s="2" t="inlineStr">
        <is>
          <t xml:space="preserve">PASS/FAIL</t>
        </is>
      </c>
    </row>
    <row r="49">
      <c r="A49">
        <v>0.05</v>
      </c>
      <c r="B49" s="6">
        <v>-8.127463347817827</v>
      </c>
      <c r="C49" s="6">
        <v>-8.125826394123393</v>
      </c>
      <c r="D49" s="8">
        <f>ABS(B49-C49)</f>
        <v>0.0016369536944331742</v>
      </c>
      <c r="E49" s="7">
        <f>IF(C49=0,"n/a (zero denom)",D49/ABS(C49))</f>
        <v>0.00020145073436678647</v>
      </c>
      <c r="F49" s="7">
        <f>'Tolerances'!$B$13</f>
        <v>0.005</v>
      </c>
      <c r="G49" t="str">
        <f>IF(C49=0,IF(D49&lt;=0.000001,"PASS","FAIL"),IF(E49&lt;=F49,"PASS","FAIL"))</f>
        <v/>
      </c>
    </row>
    <row r="50">
      <c r="A50">
        <v>0.075</v>
      </c>
      <c r="B50" s="6">
        <v>-7.1522544217314605</v>
      </c>
      <c r="C50" s="6">
        <v>-7.151450733463588</v>
      </c>
      <c r="D50" s="8">
        <f>ABS(B50-C50)</f>
        <v>0.00080368826787236</v>
      </c>
      <c r="E50" s="7">
        <f>IF(C50=0,"n/a (zero denom)",D50/ABS(C50))</f>
        <v>0.00011238115143710401</v>
      </c>
      <c r="F50" s="7">
        <f>'Tolerances'!$B$13</f>
        <v>0.005</v>
      </c>
      <c r="G50" t="str">
        <f>IF(C50=0,IF(D50&lt;=0.000001,"PASS","FAIL"),IF(E50&lt;=F50,"PASS","FAIL"))</f>
        <v/>
      </c>
    </row>
    <row r="51">
      <c r="A51">
        <v>0.1</v>
      </c>
      <c r="B51" s="6">
        <v>-6.825402221004131</v>
      </c>
      <c r="C51" s="6">
        <v>-6.824875516575503</v>
      </c>
      <c r="D51" s="8">
        <f>ABS(B51-C51)</f>
        <v>0.0005267044286281219</v>
      </c>
      <c r="E51" s="7">
        <f>IF(C51=0,"n/a (zero denom)",D51/ABS(C51))</f>
        <v>7.717421766139477e-05</v>
      </c>
      <c r="F51" s="7">
        <f>'Tolerances'!$B$13</f>
        <v>0.005</v>
      </c>
      <c r="G51" t="str">
        <f>IF(C51=0,IF(D51&lt;=0.000001,"PASS","FAIL"),IF(E51&lt;=F51,"PASS","FAIL"))</f>
        <v/>
      </c>
    </row>
    <row r="52">
      <c r="A52">
        <v>0.125</v>
      </c>
      <c r="B52" s="6">
        <v>-6.660787032646581</v>
      </c>
      <c r="C52" s="6">
        <v>-6.6603983022201145</v>
      </c>
      <c r="D52" s="8">
        <f>ABS(B52-C52)</f>
        <v>0.00038873042646603295</v>
      </c>
      <c r="E52" s="7">
        <f>IF(C52=0,"n/a (zero denom)",D52/ABS(C52))</f>
        <v>5.8364441408324963e-05</v>
      </c>
      <c r="F52" s="7">
        <f>'Tolerances'!$B$13</f>
        <v>0.005</v>
      </c>
      <c r="G52" t="str">
        <f>IF(C52=0,IF(D52&lt;=0.000001,"PASS","FAIL"),IF(E52&lt;=F52,"PASS","FAIL"))</f>
        <v/>
      </c>
    </row>
    <row r="53">
      <c r="A53">
        <v>0.15</v>
      </c>
      <c r="B53" s="6">
        <v>-6.56116920735397</v>
      </c>
      <c r="C53" s="6">
        <v>-6.560862889252569</v>
      </c>
      <c r="D53" s="8">
        <f>ABS(B53-C53)</f>
        <v>0.0003063181014013594</v>
      </c>
      <c r="E53" s="7">
        <f>IF(C53=0,"n/a (zero denom)",D53/ABS(C53))</f>
        <v>4.668869119382801e-05</v>
      </c>
      <c r="F53" s="7">
        <f>'Tolerances'!$B$13</f>
        <v>0.005</v>
      </c>
      <c r="G53" t="str">
        <f>IF(C53=0,IF(D53&lt;=0.000001,"PASS","FAIL"),IF(E53&lt;=F53,"PASS","FAIL"))</f>
        <v/>
      </c>
    </row>
    <row r="54">
      <c r="A54">
        <v>0.175</v>
      </c>
      <c r="B54" s="6">
        <v>-6.494124442227381</v>
      </c>
      <c r="C54" s="6">
        <v>-6.493872786435655</v>
      </c>
      <c r="D54" s="8">
        <f>ABS(B54-C54)</f>
        <v>0.0002516557917262574</v>
      </c>
      <c r="E54" s="7">
        <f>IF(C54=0,"n/a (zero denom)",D54/ABS(C54))</f>
        <v>3.8752805914509726e-05</v>
      </c>
      <c r="F54" s="7">
        <f>'Tolerances'!$B$13</f>
        <v>0.005</v>
      </c>
      <c r="G54" t="str">
        <f>IF(C54=0,IF(D54&lt;=0.000001,"PASS","FAIL"),IF(E54&lt;=F54,"PASS","FAIL"))</f>
        <v/>
      </c>
    </row>
    <row r="55">
      <c r="A55">
        <v>0.2</v>
      </c>
      <c r="B55" s="6">
        <v>-6.44574852645009</v>
      </c>
      <c r="C55" s="6">
        <v>-6.445535699018852</v>
      </c>
      <c r="D55" s="8">
        <f>ABS(B55-C55)</f>
        <v>0.0002128274312376277</v>
      </c>
      <c r="E55" s="7">
        <f>IF(C55=0,"n/a (zero denom)",D55/ABS(C55))</f>
        <v>3.301935497309007e-05</v>
      </c>
      <c r="F55" s="7">
        <f>'Tolerances'!$B$13</f>
        <v>0.005</v>
      </c>
      <c r="G55" t="str">
        <f>IF(C55=0,IF(D55&lt;=0.000001,"PASS","FAIL"),IF(E55&lt;=F55,"PASS","FAIL"))</f>
        <v/>
      </c>
    </row>
    <row r="56">
      <c r="A56" s="10" t="inlineStr">
        <is>
          <t xml:space="preserve">Table 2 -- Terminal growth sensitivity (Intrinsic Value/Share)</t>
        </is>
      </c>
    </row>
    <row r="57">
      <c r="A57" s="2" t="inlineStr">
        <is>
          <t xml:space="preserve">Terminal g</t>
        </is>
      </c>
      <c r="B57" s="2" t="inlineStr">
        <is>
          <t xml:space="preserve">Codebase IVPS</t>
        </is>
      </c>
      <c r="C57" s="2" t="inlineStr">
        <is>
          <t xml:space="preserve">Workbook IVPS</t>
        </is>
      </c>
      <c r="D57" s="2" t="inlineStr">
        <is>
          <t xml:space="preserve">Abs. Diff</t>
        </is>
      </c>
      <c r="E57" s="2" t="inlineStr">
        <is>
          <t xml:space="preserve">Rel. Diff</t>
        </is>
      </c>
      <c r="F57" s="2" t="inlineStr">
        <is>
          <t xml:space="preserve">Tolerance</t>
        </is>
      </c>
      <c r="G57" s="2" t="inlineStr">
        <is>
          <t xml:space="preserve">PASS/FAIL</t>
        </is>
      </c>
    </row>
    <row r="58">
      <c r="A58">
        <v>0.0</v>
      </c>
      <c r="B58" s="6">
        <v>-6.5189250420497915</v>
      </c>
      <c r="C58" s="6">
        <v>-6.518654922323886</v>
      </c>
      <c r="D58" s="8">
        <f>ABS(B58-C58)</f>
        <v>0.0002701197259051824</v>
      </c>
      <c r="E58" s="7">
        <f>IF(C58=0,"n/a (zero denom)",D58/ABS(C58))</f>
        <v>4.1437954474338904e-05</v>
      </c>
      <c r="F58" s="7">
        <f>'Tolerances'!$B$13</f>
        <v>0.005</v>
      </c>
      <c r="G58" t="str">
        <f>IF(C58=0,IF(D58&lt;=0.000001,"PASS","FAIL"),IF(E58&lt;=F58,"PASS","FAIL"))</f>
        <v/>
      </c>
    </row>
    <row r="59">
      <c r="A59">
        <v>0.01</v>
      </c>
      <c r="B59" s="6">
        <v>-6.5333964538827995</v>
      </c>
      <c r="C59" s="6">
        <v>-6.533113911429718</v>
      </c>
      <c r="D59" s="8">
        <f>ABS(B59-C59)</f>
        <v>0.00028254245308190207</v>
      </c>
      <c r="E59" s="7">
        <f>IF(C59=0,"n/a (zero denom)",D59/ABS(C59))</f>
        <v>4.3247746313988576e-05</v>
      </c>
      <c r="F59" s="7">
        <f>'Tolerances'!$B$13</f>
        <v>0.005</v>
      </c>
      <c r="G59" t="str">
        <f>IF(C59=0,IF(D59&lt;=0.000001,"PASS","FAIL"),IF(E59&lt;=F59,"PASS","FAIL"))</f>
        <v/>
      </c>
    </row>
    <row r="60">
      <c r="A60">
        <v>0.02</v>
      </c>
      <c r="B60" s="6">
        <v>-6.550084917544311</v>
      </c>
      <c r="C60" s="6">
        <v>-6.549788049175181</v>
      </c>
      <c r="D60" s="8">
        <f>ABS(B60-C60)</f>
        <v>0.00029686836913001</v>
      </c>
      <c r="E60" s="7">
        <f>IF(C60=0,"n/a (zero denom)",D60/ABS(C60))</f>
        <v>4.532488179787663e-05</v>
      </c>
      <c r="F60" s="7">
        <f>'Tolerances'!$B$13</f>
        <v>0.005</v>
      </c>
      <c r="G60" t="str">
        <f>IF(C60=0,IF(D60&lt;=0.000001,"PASS","FAIL"),IF(E60&lt;=F60,"PASS","FAIL"))</f>
        <v/>
      </c>
    </row>
    <row r="61">
      <c r="A61">
        <v>0.025</v>
      </c>
      <c r="B61" s="6">
        <v>-6.55942609896238</v>
      </c>
      <c r="C61" s="6">
        <v>-6.559121211821509</v>
      </c>
      <c r="D61" s="8">
        <f>ABS(B61-C61)</f>
        <v>0.00030488714087084645</v>
      </c>
      <c r="E61" s="7">
        <f>IF(C61=0,"n/a (zero denom)",D61/ABS(C61))</f>
        <v>4.648292523110384e-05</v>
      </c>
      <c r="F61" s="7">
        <f>'Tolerances'!$B$13</f>
        <v>0.005</v>
      </c>
      <c r="G61" t="str">
        <f>IF(C61=0,IF(D61&lt;=0.000001,"PASS","FAIL"),IF(E61&lt;=F61,"PASS","FAIL"))</f>
        <v/>
      </c>
    </row>
    <row r="62">
      <c r="A62">
        <v>0.03</v>
      </c>
      <c r="B62" s="6">
        <v>-6.569542183476578</v>
      </c>
      <c r="C62" s="6">
        <v>-6.569228612362129</v>
      </c>
      <c r="D62" s="8">
        <f>ABS(B62-C62)</f>
        <v>0.00031357111444929586</v>
      </c>
      <c r="E62" s="7">
        <f>IF(C62=0,"n/a (zero denom)",D62/ABS(C62))</f>
        <v>4.77333234923824e-05</v>
      </c>
      <c r="F62" s="7">
        <f>'Tolerances'!$B$13</f>
        <v>0.005</v>
      </c>
      <c r="G62" t="str">
        <f>IF(C62=0,IF(D62&lt;=0.000001,"PASS","FAIL"),IF(E62&lt;=F62,"PASS","FAIL"))</f>
        <v/>
      </c>
    </row>
    <row r="63">
      <c r="A63">
        <v>0.04</v>
      </c>
      <c r="B63" s="6">
        <v>-6.592519646873012</v>
      </c>
      <c r="C63" s="6">
        <v>-6.59218635116208</v>
      </c>
      <c r="D63" s="8">
        <f>ABS(B63-C63)</f>
        <v>0.0003332957109325463</v>
      </c>
      <c r="E63" s="7">
        <f>IF(C63=0,"n/a (zero denom)",D63/ABS(C63))</f>
        <v>5.0559206487509635e-05</v>
      </c>
      <c r="F63" s="7">
        <f>'Tolerances'!$B$13</f>
        <v>0.005</v>
      </c>
      <c r="G63" t="str">
        <f>IF(C63=0,IF(D63&lt;=0.000001,"PASS","FAIL"),IF(E63&lt;=F63,"PASS","FAIL"))</f>
        <v/>
      </c>
    </row>
    <row r="64">
      <c r="A64">
        <v>0.05</v>
      </c>
      <c r="B64" s="6">
        <v>-6.620067627542984</v>
      </c>
      <c r="C64" s="6">
        <v>-6.619710683755964</v>
      </c>
      <c r="D64" s="8">
        <f>ABS(B64-C64)</f>
        <v>0.0003569437870201142</v>
      </c>
      <c r="E64" s="7">
        <f>IF(C64=0,"n/a (zero denom)",D64/ABS(C64))</f>
        <v>5.3921357604950115e-05</v>
      </c>
      <c r="F64" s="7">
        <f>'Tolerances'!$B$13</f>
        <v>0.005</v>
      </c>
      <c r="G64" t="str">
        <f>IF(C64=0,IF(D64&lt;=0.000001,"PASS","FAIL"),IF(E64&lt;=F64,"PASS","FAIL"))</f>
        <v/>
      </c>
    </row>
    <row r="65">
      <c r="A65" s="9" t="inlineStr">
        <is>
          <t xml:space="preserve">Tables 3/4/5 summary: T3=PASS, T4=FAIL, T5=PASS (36/36 cells).</t>
        </is>
      </c>
    </row>
    <row r="67">
      <c r="A67" s="3" t="inlineStr">
        <is>
          <t xml:space="preserve">-- VZ (Verizon Communications Inc.) --</t>
        </is>
      </c>
    </row>
    <row r="68">
      <c r="A68" s="10" t="inlineStr">
        <is>
          <t xml:space="preserve">Table 1 -- WACC sensitivity (Intrinsic Value/Share)</t>
        </is>
      </c>
    </row>
    <row r="69">
      <c r="A69" s="2" t="inlineStr">
        <is>
          <t xml:space="preserve">WACC</t>
        </is>
      </c>
      <c r="B69" s="2" t="inlineStr">
        <is>
          <t xml:space="preserve">Codebase IVPS</t>
        </is>
      </c>
      <c r="C69" s="2" t="inlineStr">
        <is>
          <t xml:space="preserve">Workbook IVPS</t>
        </is>
      </c>
      <c r="D69" s="2" t="inlineStr">
        <is>
          <t xml:space="preserve">Abs. Diff</t>
        </is>
      </c>
      <c r="E69" s="2" t="inlineStr">
        <is>
          <t xml:space="preserve">Rel. Diff</t>
        </is>
      </c>
      <c r="F69" s="2" t="inlineStr">
        <is>
          <t xml:space="preserve">Tolerance</t>
        </is>
      </c>
      <c r="G69" s="2" t="inlineStr">
        <is>
          <t xml:space="preserve">PASS/FAIL</t>
        </is>
      </c>
    </row>
    <row r="70">
      <c r="A70">
        <v>0.05</v>
      </c>
      <c r="B70" s="6">
        <v>161.74247894330927</v>
      </c>
      <c r="C70" s="6">
        <v>161.74247894330927</v>
      </c>
      <c r="D70" s="8">
        <f>ABS(B70-C70)</f>
        <v>0.0</v>
      </c>
      <c r="E70" s="7">
        <f>IF(C70=0,"n/a (zero denom)",D70/ABS(C70))</f>
        <v>0.0</v>
      </c>
      <c r="F70" s="7">
        <f>'Tolerances'!$B$13</f>
        <v>0.005</v>
      </c>
      <c r="G70" t="str">
        <f>IF(C70=0,IF(D70&lt;=0.000001,"PASS","FAIL"),IF(E70&lt;=F70,"PASS","FAIL"))</f>
        <v/>
      </c>
    </row>
    <row r="71">
      <c r="A71">
        <v>0.075</v>
      </c>
      <c r="B71" s="6">
        <v>64.4743225007735</v>
      </c>
      <c r="C71" s="6">
        <v>64.4743225007735</v>
      </c>
      <c r="D71" s="8">
        <f>ABS(B71-C71)</f>
        <v>0.0</v>
      </c>
      <c r="E71" s="7">
        <f>IF(C71=0,"n/a (zero denom)",D71/ABS(C71))</f>
        <v>0.0</v>
      </c>
      <c r="F71" s="7">
        <f>'Tolerances'!$B$13</f>
        <v>0.005</v>
      </c>
      <c r="G71" t="str">
        <f>IF(C71=0,IF(D71&lt;=0.000001,"PASS","FAIL"),IF(E71&lt;=F71,"PASS","FAIL"))</f>
        <v/>
      </c>
    </row>
    <row r="72">
      <c r="A72">
        <v>0.1</v>
      </c>
      <c r="B72" s="6">
        <v>32.03159507541137</v>
      </c>
      <c r="C72" s="6">
        <v>32.03159507541137</v>
      </c>
      <c r="D72" s="8">
        <f>ABS(B72-C72)</f>
        <v>0.0</v>
      </c>
      <c r="E72" s="7">
        <f>IF(C72=0,"n/a (zero denom)",D72/ABS(C72))</f>
        <v>0.0</v>
      </c>
      <c r="F72" s="7">
        <f>'Tolerances'!$B$13</f>
        <v>0.005</v>
      </c>
      <c r="G72" t="str">
        <f>IF(C72=0,IF(D72&lt;=0.000001,"PASS","FAIL"),IF(E72&lt;=F72,"PASS","FAIL"))</f>
        <v/>
      </c>
    </row>
    <row r="73">
      <c r="A73">
        <v>0.125</v>
      </c>
      <c r="B73" s="6">
        <v>15.796913343939572</v>
      </c>
      <c r="C73" s="6">
        <v>15.796913343939572</v>
      </c>
      <c r="D73" s="8">
        <f>ABS(B73-C73)</f>
        <v>0.0</v>
      </c>
      <c r="E73" s="7">
        <f>IF(C73=0,"n/a (zero denom)",D73/ABS(C73))</f>
        <v>0.0</v>
      </c>
      <c r="F73" s="7">
        <f>'Tolerances'!$B$13</f>
        <v>0.005</v>
      </c>
      <c r="G73" t="str">
        <f>IF(C73=0,IF(D73&lt;=0.000001,"PASS","FAIL"),IF(E73&lt;=F73,"PASS","FAIL"))</f>
        <v/>
      </c>
    </row>
    <row r="74">
      <c r="A74">
        <v>0.15</v>
      </c>
      <c r="B74" s="6">
        <v>6.04661914168476</v>
      </c>
      <c r="C74" s="6">
        <v>6.04661914168476</v>
      </c>
      <c r="D74" s="8">
        <f>ABS(B74-C74)</f>
        <v>0.0</v>
      </c>
      <c r="E74" s="7">
        <f>IF(C74=0,"n/a (zero denom)",D74/ABS(C74))</f>
        <v>0.0</v>
      </c>
      <c r="F74" s="7">
        <f>'Tolerances'!$B$13</f>
        <v>0.005</v>
      </c>
      <c r="G74" t="str">
        <f>IF(C74=0,IF(D74&lt;=0.000001,"PASS","FAIL"),IF(E74&lt;=F74,"PASS","FAIL"))</f>
        <v/>
      </c>
    </row>
    <row r="75">
      <c r="A75">
        <v>0.175</v>
      </c>
      <c r="B75" s="6">
        <v>-0.4606348352371206</v>
      </c>
      <c r="C75" s="6">
        <v>-0.4606348352371206</v>
      </c>
      <c r="D75" s="8">
        <f>ABS(B75-C75)</f>
        <v>0.0</v>
      </c>
      <c r="E75" s="7">
        <f>IF(C75=0,"n/a (zero denom)",D75/ABS(C75))</f>
        <v>0.0</v>
      </c>
      <c r="F75" s="7">
        <f>'Tolerances'!$B$13</f>
        <v>0.005</v>
      </c>
      <c r="G75" t="str">
        <f>IF(C75=0,IF(D75&lt;=0.000001,"PASS","FAIL"),IF(E75&lt;=F75,"PASS","FAIL"))</f>
        <v/>
      </c>
    </row>
    <row r="76">
      <c r="A76">
        <v>0.2</v>
      </c>
      <c r="B76" s="6">
        <v>-5.114090528443436</v>
      </c>
      <c r="C76" s="6">
        <v>-5.114090528443436</v>
      </c>
      <c r="D76" s="8">
        <f>ABS(B76-C76)</f>
        <v>0.0</v>
      </c>
      <c r="E76" s="7">
        <f>IF(C76=0,"n/a (zero denom)",D76/ABS(C76))</f>
        <v>0.0</v>
      </c>
      <c r="F76" s="7">
        <f>'Tolerances'!$B$13</f>
        <v>0.005</v>
      </c>
      <c r="G76" t="str">
        <f>IF(C76=0,IF(D76&lt;=0.000001,"PASS","FAIL"),IF(E76&lt;=F76,"PASS","FAIL"))</f>
        <v/>
      </c>
    </row>
    <row r="77">
      <c r="A77" s="10" t="inlineStr">
        <is>
          <t xml:space="preserve">Table 2 -- Terminal growth sensitivity (Intrinsic Value/Share)</t>
        </is>
      </c>
    </row>
    <row r="78">
      <c r="A78" s="2" t="inlineStr">
        <is>
          <t xml:space="preserve">Terminal g</t>
        </is>
      </c>
      <c r="B78" s="2" t="inlineStr">
        <is>
          <t xml:space="preserve">Codebase IVPS</t>
        </is>
      </c>
      <c r="C78" s="2" t="inlineStr">
        <is>
          <t xml:space="preserve">Workbook IVPS</t>
        </is>
      </c>
      <c r="D78" s="2" t="inlineStr">
        <is>
          <t xml:space="preserve">Abs. Diff</t>
        </is>
      </c>
      <c r="E78" s="2" t="inlineStr">
        <is>
          <t xml:space="preserve">Rel. Diff</t>
        </is>
      </c>
      <c r="F78" s="2" t="inlineStr">
        <is>
          <t xml:space="preserve">Tolerance</t>
        </is>
      </c>
      <c r="G78" s="2" t="inlineStr">
        <is>
          <t xml:space="preserve">PASS/FAIL</t>
        </is>
      </c>
    </row>
    <row r="79">
      <c r="A79">
        <v>0.0</v>
      </c>
      <c r="B79" s="6">
        <v>73.44314346424999</v>
      </c>
      <c r="C79" s="6">
        <v>73.44314346424999</v>
      </c>
      <c r="D79" s="8">
        <f>ABS(B79-C79)</f>
        <v>0.0</v>
      </c>
      <c r="E79" s="7">
        <f>IF(C79=0,"n/a (zero denom)",D79/ABS(C79))</f>
        <v>0.0</v>
      </c>
      <c r="F79" s="7">
        <f>'Tolerances'!$B$13</f>
        <v>0.005</v>
      </c>
      <c r="G79" t="str">
        <f>IF(C79=0,IF(D79&lt;=0.000001,"PASS","FAIL"),IF(E79&lt;=F79,"PASS","FAIL"))</f>
        <v/>
      </c>
    </row>
    <row r="80">
      <c r="A80">
        <v>0.01</v>
      </c>
      <c r="B80" s="6">
        <v>95.5179773340148</v>
      </c>
      <c r="C80" s="6">
        <v>95.5179773340148</v>
      </c>
      <c r="D80" s="8">
        <f>ABS(B80-C80)</f>
        <v>0.0</v>
      </c>
      <c r="E80" s="7">
        <f>IF(C80=0,"n/a (zero denom)",D80/ABS(C80))</f>
        <v>0.0</v>
      </c>
      <c r="F80" s="7">
        <f>'Tolerances'!$B$13</f>
        <v>0.005</v>
      </c>
      <c r="G80" t="str">
        <f>IF(C80=0,IF(D80&lt;=0.000001,"PASS","FAIL"),IF(E80&lt;=F80,"PASS","FAIL"))</f>
        <v/>
      </c>
    </row>
    <row r="81">
      <c r="A81">
        <v>0.02</v>
      </c>
      <c r="B81" s="6">
        <v>132.30936711695614</v>
      </c>
      <c r="C81" s="6">
        <v>132.30936711695614</v>
      </c>
      <c r="D81" s="8">
        <f>ABS(B81-C81)</f>
        <v>0.0</v>
      </c>
      <c r="E81" s="7">
        <f>IF(C81=0,"n/a (zero denom)",D81/ABS(C81))</f>
        <v>0.0</v>
      </c>
      <c r="F81" s="7">
        <f>'Tolerances'!$B$13</f>
        <v>0.005</v>
      </c>
      <c r="G81" t="str">
        <f>IF(C81=0,IF(D81&lt;=0.000001,"PASS","FAIL"),IF(E81&lt;=F81,"PASS","FAIL"))</f>
        <v/>
      </c>
    </row>
    <row r="82">
      <c r="A82">
        <v>0.025</v>
      </c>
      <c r="B82" s="6">
        <v>161.74247894330927</v>
      </c>
      <c r="C82" s="6">
        <v>161.74247894330927</v>
      </c>
      <c r="D82" s="8">
        <f>ABS(B82-C82)</f>
        <v>0.0</v>
      </c>
      <c r="E82" s="7">
        <f>IF(C82=0,"n/a (zero denom)",D82/ABS(C82))</f>
        <v>0.0</v>
      </c>
      <c r="F82" s="7">
        <f>'Tolerances'!$B$13</f>
        <v>0.005</v>
      </c>
      <c r="G82" t="str">
        <f>IF(C82=0,IF(D82&lt;=0.000001,"PASS","FAIL"),IF(E82&lt;=F82,"PASS","FAIL"))</f>
        <v/>
      </c>
    </row>
    <row r="83">
      <c r="A83">
        <v>0.03</v>
      </c>
      <c r="B83" s="6">
        <v>205.89214668283884</v>
      </c>
      <c r="C83" s="6">
        <v>205.89214668283884</v>
      </c>
      <c r="D83" s="8">
        <f>ABS(B83-C83)</f>
        <v>0.0</v>
      </c>
      <c r="E83" s="7">
        <f>IF(C83=0,"n/a (zero denom)",D83/ABS(C83))</f>
        <v>0.0</v>
      </c>
      <c r="F83" s="7">
        <f>'Tolerances'!$B$13</f>
        <v>0.005</v>
      </c>
      <c r="G83" t="str">
        <f>IF(C83=0,IF(D83&lt;=0.000001,"PASS","FAIL"),IF(E83&lt;=F83,"PASS","FAIL"))</f>
        <v/>
      </c>
    </row>
    <row r="84">
      <c r="A84">
        <v>0.04</v>
      </c>
      <c r="B84" s="6">
        <v>426.64048538048695</v>
      </c>
      <c r="C84" s="6">
        <v>426.64048538048695</v>
      </c>
      <c r="D84" s="8">
        <f>ABS(B84-C84)</f>
        <v>0.0</v>
      </c>
      <c r="E84" s="7">
        <f>IF(C84=0,"n/a (zero denom)",D84/ABS(C84))</f>
        <v>0.0</v>
      </c>
      <c r="F84" s="7">
        <f>'Tolerances'!$B$13</f>
        <v>0.005</v>
      </c>
      <c r="G84" t="str">
        <f>IF(C84=0,IF(D84&lt;=0.000001,"PASS","FAIL"),IF(E84&lt;=F84,"PASS","FAIL"))</f>
        <v/>
      </c>
    </row>
    <row r="85">
      <c r="A85" s="5">
        <v>0.05</v>
      </c>
      <c r="B85" s="4" t="inlineStr">
        <is>
          <t xml:space="preserve">n/a</t>
        </is>
      </c>
      <c r="C85" s="4" t="inlineStr">
        <is>
          <t xml:space="preserve">n/a</t>
        </is>
      </c>
      <c r="G85" s="4" t="inlineStr">
        <is>
          <t xml:space="preserve">PASS</t>
        </is>
      </c>
    </row>
    <row r="86">
      <c r="A86" s="9" t="inlineStr">
        <is>
          <t xml:space="preserve">Tables 3/4/5 summary: T3=PASS, T4=PASS, T5=PASS (36/36 cells).</t>
        </is>
      </c>
    </row>
  </sheetData>
</worksheet>
</file>

<file path=xl/worksheets/sheet9.xml><?xml version="1.0" encoding="utf-8"?>
<worksheet xmlns="http://schemas.openxmlformats.org/spreadsheetml/2006/main">
  <dimension ref="A1:A8"/>
  <sheetViews>
    <sheetView workbookViewId="0"/>
  </sheetViews>
  <sheetFormatPr defaultRowHeight="15"/>
  <cols>
    <col min="1" max="1" width="100" customWidth="1"/>
  </cols>
  <sheetData>
    <row r="1">
      <c r="A1" s="1" t="inlineStr">
        <is>
          <t xml:space="preserve">Findings</t>
        </is>
      </c>
    </row>
    <row r="3">
      <c r="A3" s="9" t="inlineStr">
        <is>
          <t xml:space="preserve">Overall verdict: NO-GO</t>
        </is>
      </c>
    </row>
    <row r="4">
      <c r="A4" s="9" t="inlineStr">
        <is>
          <t xml:space="preserve">Base-case divergence found for: INTC</t>
        </is>
      </c>
    </row>
    <row r="5">
      <c r="A5" s="9" t="inlineStr">
        <is>
          <t xml:space="preserve">  - INTC: first divergence at metric 'Historical Revenue CAGR'.</t>
        </is>
      </c>
    </row>
    <row r="6">
      <c r="A6" s="9" t="inlineStr">
        <is>
          <t xml:space="preserve">Root cause (INTC Revenue CAGR): the independent workbook's 'Years elapsed' formula (DCF_INTC!B5) computes COUNT(periods)-1 (a plain period count = 4), while docs/model-specifications/dcf.md's formula and src/dcf_model/dcf.py's calculate_historical_revenue_cagr compute the ACTUAL elapsed calendar days between the earliest and latest frozen fiscal-period-end dates, divided by 365.25 (= 4.005476 for INTC, whose fiscal year-end dates are not evenly spaced). MSFT/CAT/VZ's period-end dates recur on the same calendar day every year, so both methods coincidentally produce exactly 4.0 for them -- only INTC's irregular fiscal calendar exposes the difference. This is a specification-precision gap (the written spec names 'years_elapsed' without spelling out the day-count method in prose), not a numerical bug in either calculation path; neither path was modified in this session.</t>
        </is>
      </c>
    </row>
    <row r="7">
      <c r="A7" s="9" t="inlineStr">
        <is>
          <t xml:space="preserve">Directional bias: MSFT, CAT, and VZ match the workbook to full floating-point precision on every required metric (zero signed difference) -- no bias to investigate among them. INTC's nonzero differences are fully attributable to the single root cause above.</t>
        </is>
      </c>
    </row>
    <row r="8">
      <c r="A8" s="9" t="inlineStr">
        <is>
          <t xml:space="preserve">INTC sensitivity tables show a documented, mathematically-correct inverted direction (IV rises with WACC, falls with terminal growth, falls with revenue growth) caused by negative base-case FCF -- both the workbook and the production recompute agree on every inverted direction.</t>
        </is>
      </c>
    </row>
  </sheetData>
</worksheet>
</file>

<file path=xl/worksheets/sheet10.xml><?xml version="1.0" encoding="utf-8"?>
<worksheet xmlns="http://schemas.openxmlformats.org/spreadsheetml/2006/main">
  <dimension ref="A1:B12"/>
  <sheetViews>
    <sheetView workbookViewId="0"/>
  </sheetViews>
  <sheetFormatPr defaultRowHeight="15"/>
  <cols>
    <col min="1" max="1" width="44" customWidth="1"/>
    <col min="2" max="2" width="60" customWidth="1"/>
  </cols>
  <sheetData>
    <row r="1">
      <c r="A1" s="1" t="inlineStr">
        <is>
          <t xml:space="preserve">Sign-off</t>
        </is>
      </c>
    </row>
    <row r="3">
      <c r="A3" s="10" t="inlineStr">
        <is>
          <t xml:space="preserve">Source implementation commit</t>
        </is>
      </c>
      <c r="B3" s="4" t="inlineStr">
        <is>
          <t xml:space="preserve">776e76f56e6210f1050caa74c60962ed89162496</t>
        </is>
      </c>
    </row>
    <row r="4">
      <c r="A4" s="10" t="inlineStr">
        <is>
          <t xml:space="preserve">Branch</t>
        </is>
      </c>
      <c r="B4" s="4" t="inlineStr">
        <is>
          <t xml:space="preserve">remediation/valuation-engine-production-quality</t>
        </is>
      </c>
    </row>
    <row r="5">
      <c r="A5" s="10" t="inlineStr">
        <is>
          <t xml:space="preserve">Original independent workbook SHA-256</t>
        </is>
      </c>
      <c r="B5" s="4" t="inlineStr">
        <is>
          <t xml:space="preserve">942b5f096cf546d63487add31eb29b1b690f0819f923f01436093f9bbc75eba1</t>
        </is>
      </c>
    </row>
    <row r="6">
      <c r="A6" s="10" t="inlineStr">
        <is>
          <t xml:space="preserve">Frozen snapshot SHA-256 (MSFT)</t>
        </is>
      </c>
      <c r="B6" s="4" t="inlineStr">
        <is>
          <t xml:space="preserve">7c50a3e9fb2d27095a890ad8d11732d4ccc72ef9350998604adb3af7a3c845a8</t>
        </is>
      </c>
    </row>
    <row r="7">
      <c r="A7" s="10" t="inlineStr">
        <is>
          <t xml:space="preserve">Frozen snapshot SHA-256 (CAT)</t>
        </is>
      </c>
      <c r="B7" s="4" t="inlineStr">
        <is>
          <t xml:space="preserve">651d366c01415c2da33733058dabb9ac6e4f40cdf5b20e743c0b83ebc3a52c93</t>
        </is>
      </c>
    </row>
    <row r="8">
      <c r="A8" s="10" t="inlineStr">
        <is>
          <t xml:space="preserve">Frozen snapshot SHA-256 (INTC)</t>
        </is>
      </c>
      <c r="B8" s="4" t="inlineStr">
        <is>
          <t xml:space="preserve">d73e4b40bce2442a75affde82aaa563ffdea9c68c7257e70cc325663cff24930</t>
        </is>
      </c>
    </row>
    <row r="9">
      <c r="A9" s="10" t="inlineStr">
        <is>
          <t xml:space="preserve">Frozen snapshot SHA-256 (VZ)</t>
        </is>
      </c>
      <c r="B9" s="4" t="inlineStr">
        <is>
          <t xml:space="preserve">77b8ea27b8decaff5fe3b4aad857c632a852445eda0b7f2342f594cd3c4b5f3d</t>
        </is>
      </c>
    </row>
    <row r="10">
      <c r="A10" s="10" t="inlineStr">
        <is>
          <t xml:space="preserve">Overall reconciliation status</t>
        </is>
      </c>
      <c r="B10" s="4" t="inlineStr">
        <is>
          <t xml:space="preserve">NO-GO</t>
        </is>
      </c>
    </row>
    <row r="11">
      <c r="A11" s="10" t="inlineStr">
        <is>
          <t xml:space="preserve">Profitability established?</t>
        </is>
      </c>
      <c r="B11" s="4" t="inlineStr">
        <is>
          <t xml:space="preserve">NOT ESTABLISHED -- this reconciliation checks calculation agreement only</t>
        </is>
      </c>
    </row>
    <row r="12">
      <c r="A12" s="10" t="inlineStr">
        <is>
          <t xml:space="preserve">Second-reviewer sign-off</t>
        </is>
      </c>
      <c r="B12" s="4" t="inlineStr">
        <is>
          <t xml:space="preserve">PENDING -- not performed in this session</t>
        </is>
      </c>
    </row>
  </sheetData>
</worksheet>
</file>

<file path=docProps/app.xml><?xml version="1.0" encoding="utf-8"?>
<Properties xmlns="http://schemas.openxmlformats.org/officeDocument/2006/extended-properties">
  <Application>dcf_reconciliation xlsx_writer (stdlib-only)</Application>
  <TitlesOfParts>
    <vt:vector xmlns:vt="http://schemas.openxmlformats.org/officeDocument/2006/docPropsVTypes" size="10" baseType="lpstr">
      <vt:lpstr>Tolerances</vt:lpstr>
      <vt:lpstr>README</vt:lpstr>
      <vt:lpstr>Base Reconciliation</vt:lpstr>
      <vt:lpstr>Detail_MSFT</vt:lpstr>
      <vt:lpstr>Detail_CAT</vt:lpstr>
      <vt:lpstr>Detail_INTC</vt:lpstr>
      <vt:lpstr>Detail_VZ</vt:lpstr>
      <vt:lpstr>Sensitivity Reconciliation</vt:lpstr>
      <vt:lpstr>Findings</vt:lpstr>
      <vt:lpstr>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DCF Codebase-to-Workbook Reconciliation</dc:title>
  <dc:creator>Track A Phase 2B Reconciliation Session</dc:creator>
</cp:coreProperties>
</file>